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2"/>
  <mc:AlternateContent xmlns:mc="http://schemas.openxmlformats.org/markup-compatibility/2006">
    <mc:Choice Requires="x15">
      <x15ac:absPath xmlns:x15ac="http://schemas.microsoft.com/office/spreadsheetml/2010/11/ac" url="https://d.docs.live.net/ad7c007ebc703aea/Área de Trabalho/Rotula Felipe Maciel/G200/ESTOQUE/"/>
    </mc:Choice>
  </mc:AlternateContent>
  <xr:revisionPtr revIDLastSave="0" documentId="8_{6ABAD9B1-5A15-4D11-A8C4-68112F255C1D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PONTE" sheetId="31" state="hidden" r:id="rId1"/>
    <sheet name="Dashboard_Final" sheetId="1" state="hidden" r:id="rId2"/>
    <sheet name="Fluxo_Baixa" sheetId="2" state="hidden" r:id="rId3"/>
    <sheet name="Apontamento_Quadrantes" sheetId="22" r:id="rId4"/>
    <sheet name="Apontamento_Montagem" sheetId="3" r:id="rId5"/>
    <sheet name="REMESSAS" sheetId="6" r:id="rId6"/>
    <sheet name="Controle_Materiais" sheetId="4" r:id="rId7"/>
    <sheet name="CONSUMO FISICO" sheetId="19" r:id="rId8"/>
    <sheet name="INVENTARIO" sheetId="18" r:id="rId9"/>
    <sheet name="KPI INVENTARIO" sheetId="24" r:id="rId10"/>
    <sheet name="Fixadores" sheetId="5" r:id="rId11"/>
    <sheet name="Consumo_Joists" sheetId="7" r:id="rId12"/>
    <sheet name="Parametros" sheetId="8" state="hidden" r:id="rId13"/>
    <sheet name="BASE MATERIAL" sheetId="9" state="hidden" r:id="rId14"/>
    <sheet name="Dashboard" sheetId="10" state="hidden" r:id="rId15"/>
    <sheet name="lista geral fixadores, planejad" sheetId="16" state="hidden" r:id="rId16"/>
    <sheet name="INVENTÁRIO" sheetId="17" state="hidden" r:id="rId17"/>
    <sheet name="Gestao_Obra" sheetId="11" state="hidden" r:id="rId18"/>
    <sheet name="Mapa_Ruas_Estrutural" sheetId="12" state="hidden" r:id="rId19"/>
    <sheet name="Mapa_Tercas_DM002" sheetId="13" state="hidden" r:id="rId20"/>
    <sheet name="LOG_AJUSTES" sheetId="14" state="hidden" r:id="rId21"/>
    <sheet name="VBA_Processamento" sheetId="15" state="hidden" r:id="rId22"/>
    <sheet name="Criterio_Quadrantes" sheetId="20" state="hidden" r:id="rId23"/>
    <sheet name="Montagem_Vigas" sheetId="21" r:id="rId24"/>
    <sheet name="Consumo_Quadrantes" sheetId="23" r:id="rId25"/>
    <sheet name="Planilha1" sheetId="25" r:id="rId26"/>
    <sheet name="VBA_IFC_Baixa" sheetId="28" r:id="rId27"/>
  </sheets>
  <externalReferences>
    <externalReference r:id="rId28"/>
    <externalReference r:id="rId29"/>
  </externalReferences>
  <definedNames>
    <definedName name="_xlnm._FilterDatabase" localSheetId="3" hidden="1">Apontamento_Quadrantes!$A$4:$AF$67</definedName>
    <definedName name="_xlnm._FilterDatabase" localSheetId="7" hidden="1">'CONSUMO FISICO'!$A$2:$AD$30</definedName>
    <definedName name="_xlnm._FilterDatabase" localSheetId="8" hidden="1">INVENTARIO!$A$1:$Z$1</definedName>
    <definedName name="_xlnm._FilterDatabase" localSheetId="23" hidden="1">Montagem_Vigas!$A$4:$Q$134</definedName>
    <definedName name="_xleta.AVERAGE" hidden="1" xlm="1">#NAME?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6" l="1"/>
  <c r="B5" i="31" l="1"/>
  <c r="B28" i="31"/>
  <c r="B27" i="31"/>
  <c r="B26" i="31"/>
  <c r="B25" i="31"/>
  <c r="B24" i="31"/>
  <c r="C16" i="31"/>
  <c r="E40" i="3"/>
  <c r="F44" i="24" l="1"/>
  <c r="F45" i="24"/>
  <c r="F46" i="24"/>
  <c r="F47" i="24"/>
  <c r="F48" i="24"/>
  <c r="H15" i="24"/>
  <c r="H16" i="24"/>
  <c r="H17" i="24"/>
  <c r="H22" i="24"/>
  <c r="H25" i="24"/>
  <c r="H26" i="24"/>
  <c r="H27" i="24"/>
  <c r="H29" i="24"/>
  <c r="H30" i="24"/>
  <c r="H32" i="24"/>
  <c r="H34" i="24"/>
  <c r="H35" i="24"/>
  <c r="H36" i="24"/>
  <c r="H37" i="24"/>
  <c r="W4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3" i="6"/>
  <c r="B62" i="24" l="1"/>
  <c r="C62" i="24"/>
  <c r="B63" i="24"/>
  <c r="C63" i="24"/>
  <c r="F53" i="24"/>
  <c r="F54" i="24"/>
  <c r="F55" i="24"/>
  <c r="F56" i="24"/>
  <c r="F57" i="24"/>
  <c r="F58" i="24"/>
  <c r="C11" i="24"/>
  <c r="E11" i="24"/>
  <c r="H11" i="24"/>
  <c r="C12" i="24"/>
  <c r="E12" i="24"/>
  <c r="C13" i="24"/>
  <c r="E13" i="24"/>
  <c r="C14" i="24"/>
  <c r="E14" i="24"/>
  <c r="C15" i="24"/>
  <c r="C48" i="24" s="1"/>
  <c r="E15" i="24"/>
  <c r="E48" i="24"/>
  <c r="C16" i="24"/>
  <c r="E16" i="24"/>
  <c r="C17" i="24"/>
  <c r="E17" i="24"/>
  <c r="C18" i="24"/>
  <c r="E18" i="24"/>
  <c r="C19" i="24"/>
  <c r="E19" i="24"/>
  <c r="C20" i="24"/>
  <c r="E20" i="24"/>
  <c r="C21" i="24"/>
  <c r="E21" i="24"/>
  <c r="C22" i="24"/>
  <c r="E22" i="24"/>
  <c r="C23" i="24"/>
  <c r="E23" i="24"/>
  <c r="C24" i="24"/>
  <c r="E24" i="24"/>
  <c r="C25" i="24"/>
  <c r="E25" i="24"/>
  <c r="C26" i="24"/>
  <c r="E26" i="24"/>
  <c r="C27" i="24"/>
  <c r="E27" i="24"/>
  <c r="C28" i="24"/>
  <c r="E28" i="24"/>
  <c r="C29" i="24"/>
  <c r="E29" i="24"/>
  <c r="C30" i="24"/>
  <c r="E30" i="24"/>
  <c r="C31" i="24"/>
  <c r="E31" i="24"/>
  <c r="C32" i="24"/>
  <c r="E32" i="24"/>
  <c r="C33" i="24"/>
  <c r="E33" i="24"/>
  <c r="C34" i="24"/>
  <c r="E34" i="24"/>
  <c r="C53" i="24" s="1"/>
  <c r="E43" i="24"/>
  <c r="F43" i="24" s="1"/>
  <c r="C35" i="24"/>
  <c r="C44" i="24" s="1"/>
  <c r="I44" i="24" s="1"/>
  <c r="E35" i="24"/>
  <c r="E54" i="24"/>
  <c r="C36" i="24"/>
  <c r="C45" i="24" s="1"/>
  <c r="E36" i="24"/>
  <c r="C55" i="24" s="1"/>
  <c r="E55" i="24"/>
  <c r="C37" i="24"/>
  <c r="C46" i="24" s="1"/>
  <c r="E37" i="24"/>
  <c r="C56" i="24" s="1"/>
  <c r="E56" i="24"/>
  <c r="C38" i="24"/>
  <c r="E38" i="24"/>
  <c r="C57" i="24" s="1"/>
  <c r="H38" i="24"/>
  <c r="E47" i="24" s="1"/>
  <c r="B7" i="24"/>
  <c r="V15" i="7"/>
  <c r="G48" i="24" l="1"/>
  <c r="J48" i="24" s="1"/>
  <c r="G35" i="24"/>
  <c r="F35" i="24" s="1"/>
  <c r="D54" i="24" s="1"/>
  <c r="G31" i="24"/>
  <c r="F31" i="24" s="1"/>
  <c r="G27" i="24"/>
  <c r="F27" i="24" s="1"/>
  <c r="G23" i="24"/>
  <c r="D23" i="24" s="1"/>
  <c r="G19" i="24"/>
  <c r="D19" i="24" s="1"/>
  <c r="G15" i="24"/>
  <c r="D15" i="24" s="1"/>
  <c r="D48" i="24" s="1"/>
  <c r="G11" i="24"/>
  <c r="F11" i="24" s="1"/>
  <c r="G12" i="24"/>
  <c r="D12" i="24" s="1"/>
  <c r="D62" i="24"/>
  <c r="G62" i="24" s="1"/>
  <c r="D63" i="24"/>
  <c r="G63" i="24" s="1"/>
  <c r="G34" i="24"/>
  <c r="F34" i="24" s="1"/>
  <c r="D53" i="24" s="1"/>
  <c r="G30" i="24"/>
  <c r="D30" i="24" s="1"/>
  <c r="G33" i="24"/>
  <c r="F33" i="24" s="1"/>
  <c r="G29" i="24"/>
  <c r="F29" i="24" s="1"/>
  <c r="G25" i="24"/>
  <c r="D25" i="24" s="1"/>
  <c r="G21" i="24"/>
  <c r="F21" i="24" s="1"/>
  <c r="G17" i="24"/>
  <c r="D17" i="24" s="1"/>
  <c r="G13" i="24"/>
  <c r="D13" i="24" s="1"/>
  <c r="E46" i="24"/>
  <c r="G24" i="24"/>
  <c r="D24" i="24" s="1"/>
  <c r="G20" i="24"/>
  <c r="F20" i="24" s="1"/>
  <c r="G16" i="24"/>
  <c r="D16" i="24" s="1"/>
  <c r="F63" i="24"/>
  <c r="E53" i="24"/>
  <c r="F62" i="24"/>
  <c r="G26" i="24"/>
  <c r="D26" i="24" s="1"/>
  <c r="G18" i="24"/>
  <c r="D18" i="24" s="1"/>
  <c r="G14" i="24"/>
  <c r="D14" i="24" s="1"/>
  <c r="I48" i="24"/>
  <c r="G44" i="24"/>
  <c r="H44" i="24" s="1"/>
  <c r="G38" i="24"/>
  <c r="D38" i="24" s="1"/>
  <c r="D47" i="24" s="1"/>
  <c r="G46" i="24"/>
  <c r="H46" i="24" s="1"/>
  <c r="I46" i="24"/>
  <c r="I55" i="24"/>
  <c r="G55" i="24"/>
  <c r="H55" i="24" s="1"/>
  <c r="I45" i="24"/>
  <c r="G45" i="24"/>
  <c r="H45" i="24" s="1"/>
  <c r="G53" i="24"/>
  <c r="H53" i="24" s="1"/>
  <c r="I53" i="24"/>
  <c r="G57" i="24"/>
  <c r="H57" i="24" s="1"/>
  <c r="I57" i="24"/>
  <c r="G56" i="24"/>
  <c r="H56" i="24" s="1"/>
  <c r="I56" i="24"/>
  <c r="G36" i="24"/>
  <c r="F36" i="24" s="1"/>
  <c r="D55" i="24" s="1"/>
  <c r="G32" i="24"/>
  <c r="F32" i="24" s="1"/>
  <c r="G28" i="24"/>
  <c r="D28" i="24" s="1"/>
  <c r="G22" i="24"/>
  <c r="F22" i="24" s="1"/>
  <c r="C54" i="24"/>
  <c r="C47" i="24"/>
  <c r="E45" i="24"/>
  <c r="E58" i="24"/>
  <c r="C58" i="24"/>
  <c r="G37" i="24"/>
  <c r="F37" i="24" s="1"/>
  <c r="D56" i="24" s="1"/>
  <c r="C43" i="24"/>
  <c r="I43" i="24" s="1"/>
  <c r="E44" i="24"/>
  <c r="E57" i="24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S18" i="7"/>
  <c r="S19" i="7"/>
  <c r="R18" i="7"/>
  <c r="R19" i="7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H12" i="24" s="1"/>
  <c r="O164" i="4"/>
  <c r="H13" i="24" s="1"/>
  <c r="O165" i="4"/>
  <c r="H14" i="24" s="1"/>
  <c r="O169" i="4"/>
  <c r="H18" i="24" s="1"/>
  <c r="O170" i="4"/>
  <c r="H19" i="24" s="1"/>
  <c r="O171" i="4"/>
  <c r="H20" i="24" s="1"/>
  <c r="O172" i="4"/>
  <c r="H21" i="24" s="1"/>
  <c r="O174" i="4"/>
  <c r="H23" i="24" s="1"/>
  <c r="O175" i="4"/>
  <c r="H24" i="24" s="1"/>
  <c r="O182" i="4"/>
  <c r="H31" i="24" s="1"/>
  <c r="O184" i="4"/>
  <c r="H33" i="24" s="1"/>
  <c r="H48" i="24" l="1"/>
  <c r="D33" i="24"/>
  <c r="F19" i="24"/>
  <c r="F15" i="24"/>
  <c r="D58" i="24" s="1"/>
  <c r="F13" i="24"/>
  <c r="F12" i="24"/>
  <c r="D21" i="24"/>
  <c r="F23" i="24"/>
  <c r="D29" i="24"/>
  <c r="D34" i="24"/>
  <c r="D43" i="24" s="1"/>
  <c r="F30" i="24"/>
  <c r="F25" i="24"/>
  <c r="D11" i="24"/>
  <c r="F16" i="24"/>
  <c r="D27" i="24"/>
  <c r="D31" i="24"/>
  <c r="D35" i="24"/>
  <c r="D44" i="24" s="1"/>
  <c r="D20" i="24"/>
  <c r="F18" i="24"/>
  <c r="J44" i="24"/>
  <c r="J57" i="24"/>
  <c r="J45" i="24"/>
  <c r="F24" i="24"/>
  <c r="D32" i="24"/>
  <c r="D22" i="24"/>
  <c r="F14" i="24"/>
  <c r="F17" i="24"/>
  <c r="F26" i="24"/>
  <c r="F38" i="24"/>
  <c r="D57" i="24" s="1"/>
  <c r="J56" i="24"/>
  <c r="J53" i="24"/>
  <c r="I58" i="24"/>
  <c r="G58" i="24"/>
  <c r="H58" i="24" s="1"/>
  <c r="E63" i="24"/>
  <c r="D36" i="24"/>
  <c r="D45" i="24" s="1"/>
  <c r="J55" i="24"/>
  <c r="I47" i="24"/>
  <c r="G47" i="24"/>
  <c r="H47" i="24" s="1"/>
  <c r="E62" i="24"/>
  <c r="G43" i="24"/>
  <c r="H43" i="24" s="1"/>
  <c r="G54" i="24"/>
  <c r="H54" i="24" s="1"/>
  <c r="I54" i="24"/>
  <c r="F28" i="24"/>
  <c r="D37" i="24"/>
  <c r="D46" i="24" s="1"/>
  <c r="J46" i="24"/>
  <c r="T18" i="7"/>
  <c r="T19" i="7"/>
  <c r="J58" i="24" l="1"/>
  <c r="J43" i="24"/>
  <c r="J47" i="24"/>
  <c r="J54" i="24"/>
  <c r="AA190" i="4"/>
  <c r="AP190" i="4"/>
  <c r="AA191" i="4"/>
  <c r="AP191" i="4"/>
  <c r="J190" i="4"/>
  <c r="J191" i="4"/>
  <c r="K31" i="18"/>
  <c r="H31" i="18"/>
  <c r="G31" i="18"/>
  <c r="H30" i="18"/>
  <c r="G30" i="18"/>
  <c r="E31" i="18" l="1"/>
  <c r="I31" i="18" s="1"/>
  <c r="J31" i="18" s="1"/>
  <c r="E30" i="18"/>
  <c r="I30" i="18" s="1"/>
  <c r="AJ190" i="4"/>
  <c r="AM190" i="4" s="1"/>
  <c r="T191" i="4"/>
  <c r="S191" i="4"/>
  <c r="AJ191" i="4"/>
  <c r="AM191" i="4" s="1"/>
  <c r="T190" i="4"/>
  <c r="S190" i="4"/>
  <c r="M190" i="4"/>
  <c r="L190" i="4"/>
  <c r="K190" i="4"/>
  <c r="M191" i="4"/>
  <c r="L191" i="4"/>
  <c r="K191" i="4"/>
  <c r="L31" i="18"/>
  <c r="M31" i="18" s="1"/>
  <c r="L30" i="18"/>
  <c r="M30" i="18" s="1"/>
  <c r="AN190" i="4" l="1"/>
  <c r="AB191" i="4"/>
  <c r="X191" i="4"/>
  <c r="Y191" i="4" s="1"/>
  <c r="X190" i="4"/>
  <c r="Y190" i="4" s="1"/>
  <c r="AB190" i="4"/>
  <c r="AN191" i="4"/>
  <c r="N31" i="18"/>
  <c r="R31" i="18" s="1"/>
  <c r="O31" i="18"/>
  <c r="P31" i="18" s="1"/>
  <c r="Q31" i="18" s="1"/>
  <c r="J30" i="18"/>
  <c r="K30" i="18" s="1"/>
  <c r="N30" i="18"/>
  <c r="Z190" i="4" l="1"/>
  <c r="Z191" i="4"/>
  <c r="R30" i="18"/>
  <c r="O30" i="18"/>
  <c r="P30" i="18" s="1"/>
  <c r="Q30" i="18" s="1"/>
  <c r="C36" i="3" l="1"/>
  <c r="F39" i="3" s="1"/>
  <c r="Q17" i="7" l="1"/>
  <c r="Q16" i="7"/>
  <c r="U16" i="7"/>
  <c r="U17" i="7"/>
  <c r="G13" i="18" l="1"/>
  <c r="G17" i="18" s="1"/>
  <c r="G12" i="18"/>
  <c r="G21" i="18"/>
  <c r="G20" i="18" l="1"/>
  <c r="G23" i="18" s="1"/>
  <c r="G29" i="18" l="1"/>
  <c r="C35" i="3"/>
  <c r="B39" i="3" s="1"/>
  <c r="B40" i="3" s="1"/>
  <c r="D9" i="23" l="1"/>
  <c r="F9" i="23" s="1"/>
  <c r="D8" i="23"/>
  <c r="F8" i="23" s="1"/>
  <c r="D7" i="23"/>
  <c r="F7" i="23" s="1"/>
  <c r="D6" i="23"/>
  <c r="F6" i="23" s="1"/>
  <c r="D5" i="23"/>
  <c r="F5" i="23" s="1"/>
  <c r="P67" i="22"/>
  <c r="N67" i="22"/>
  <c r="M67" i="22"/>
  <c r="P66" i="22"/>
  <c r="N66" i="22"/>
  <c r="M66" i="22"/>
  <c r="P65" i="22"/>
  <c r="N65" i="22"/>
  <c r="M65" i="22"/>
  <c r="P64" i="22"/>
  <c r="N64" i="22"/>
  <c r="M64" i="22"/>
  <c r="P63" i="22"/>
  <c r="N63" i="22"/>
  <c r="M63" i="22"/>
  <c r="P62" i="22"/>
  <c r="N62" i="22"/>
  <c r="M62" i="22"/>
  <c r="P61" i="22"/>
  <c r="N61" i="22"/>
  <c r="M61" i="22"/>
  <c r="P60" i="22"/>
  <c r="N60" i="22"/>
  <c r="M60" i="22"/>
  <c r="P59" i="22"/>
  <c r="N59" i="22"/>
  <c r="M59" i="22"/>
  <c r="P58" i="22"/>
  <c r="N58" i="22"/>
  <c r="M58" i="22"/>
  <c r="P57" i="22"/>
  <c r="N57" i="22"/>
  <c r="M57" i="22"/>
  <c r="P56" i="22"/>
  <c r="N56" i="22"/>
  <c r="M56" i="22"/>
  <c r="P55" i="22"/>
  <c r="N55" i="22"/>
  <c r="M55" i="22"/>
  <c r="P54" i="22"/>
  <c r="N54" i="22"/>
  <c r="M54" i="22"/>
  <c r="P53" i="22"/>
  <c r="N53" i="22"/>
  <c r="M53" i="22"/>
  <c r="P52" i="22"/>
  <c r="N52" i="22"/>
  <c r="M52" i="22"/>
  <c r="P51" i="22"/>
  <c r="N51" i="22"/>
  <c r="M51" i="22"/>
  <c r="P50" i="22"/>
  <c r="N50" i="22"/>
  <c r="M50" i="22"/>
  <c r="P49" i="22"/>
  <c r="N49" i="22"/>
  <c r="M49" i="22"/>
  <c r="P48" i="22"/>
  <c r="N48" i="22"/>
  <c r="M48" i="22"/>
  <c r="P47" i="22"/>
  <c r="N47" i="22"/>
  <c r="M47" i="22"/>
  <c r="P46" i="22"/>
  <c r="N46" i="22"/>
  <c r="M46" i="22"/>
  <c r="P45" i="22"/>
  <c r="N45" i="22"/>
  <c r="M45" i="22"/>
  <c r="P44" i="22"/>
  <c r="N44" i="22"/>
  <c r="M44" i="22"/>
  <c r="P43" i="22"/>
  <c r="N43" i="22"/>
  <c r="M43" i="22"/>
  <c r="P42" i="22"/>
  <c r="N42" i="22"/>
  <c r="M42" i="22"/>
  <c r="P41" i="22"/>
  <c r="N41" i="22"/>
  <c r="M41" i="22"/>
  <c r="P40" i="22"/>
  <c r="N40" i="22"/>
  <c r="M40" i="22"/>
  <c r="P39" i="22"/>
  <c r="N39" i="22"/>
  <c r="M39" i="22"/>
  <c r="P38" i="22"/>
  <c r="N38" i="22"/>
  <c r="M38" i="22"/>
  <c r="P37" i="22"/>
  <c r="N37" i="22"/>
  <c r="M37" i="22"/>
  <c r="P36" i="22"/>
  <c r="N36" i="22"/>
  <c r="M36" i="22"/>
  <c r="P35" i="22"/>
  <c r="N35" i="22"/>
  <c r="M35" i="22"/>
  <c r="P34" i="22"/>
  <c r="N34" i="22"/>
  <c r="M34" i="22"/>
  <c r="P33" i="22"/>
  <c r="N33" i="22"/>
  <c r="M33" i="22"/>
  <c r="P32" i="22"/>
  <c r="N32" i="22"/>
  <c r="M32" i="22"/>
  <c r="P31" i="22"/>
  <c r="N31" i="22"/>
  <c r="M31" i="22"/>
  <c r="P30" i="22"/>
  <c r="N30" i="22"/>
  <c r="M30" i="22"/>
  <c r="P29" i="22"/>
  <c r="N29" i="22"/>
  <c r="M29" i="22"/>
  <c r="P28" i="22"/>
  <c r="N28" i="22"/>
  <c r="M28" i="22"/>
  <c r="P27" i="22"/>
  <c r="N27" i="22"/>
  <c r="M27" i="22"/>
  <c r="P26" i="22"/>
  <c r="N26" i="22"/>
  <c r="M26" i="22"/>
  <c r="P25" i="22"/>
  <c r="N25" i="22"/>
  <c r="M25" i="22"/>
  <c r="P24" i="22"/>
  <c r="N24" i="22"/>
  <c r="M24" i="22"/>
  <c r="P23" i="22"/>
  <c r="N23" i="22"/>
  <c r="M23" i="22"/>
  <c r="P22" i="22"/>
  <c r="N22" i="22"/>
  <c r="M22" i="22"/>
  <c r="P21" i="22"/>
  <c r="N21" i="22"/>
  <c r="M21" i="22"/>
  <c r="P20" i="22"/>
  <c r="N20" i="22"/>
  <c r="M20" i="22"/>
  <c r="P19" i="22"/>
  <c r="N19" i="22"/>
  <c r="M19" i="22"/>
  <c r="P18" i="22"/>
  <c r="N18" i="22"/>
  <c r="M18" i="22"/>
  <c r="P17" i="22"/>
  <c r="N17" i="22"/>
  <c r="M17" i="22"/>
  <c r="P16" i="22"/>
  <c r="N16" i="22"/>
  <c r="M16" i="22"/>
  <c r="P15" i="22"/>
  <c r="N15" i="22"/>
  <c r="M15" i="22"/>
  <c r="P14" i="22"/>
  <c r="N14" i="22"/>
  <c r="M14" i="22"/>
  <c r="P13" i="22"/>
  <c r="N13" i="22"/>
  <c r="M13" i="22"/>
  <c r="P12" i="22"/>
  <c r="N12" i="22"/>
  <c r="M12" i="22"/>
  <c r="P11" i="22"/>
  <c r="N11" i="22"/>
  <c r="M11" i="22"/>
  <c r="P10" i="22"/>
  <c r="N10" i="22"/>
  <c r="M10" i="22"/>
  <c r="P9" i="22"/>
  <c r="N9" i="22"/>
  <c r="M9" i="22"/>
  <c r="P8" i="22"/>
  <c r="N8" i="22"/>
  <c r="M8" i="22"/>
  <c r="P7" i="22"/>
  <c r="N7" i="22"/>
  <c r="M7" i="22"/>
  <c r="P6" i="22"/>
  <c r="N6" i="22"/>
  <c r="M6" i="22"/>
  <c r="P5" i="22"/>
  <c r="N5" i="22"/>
  <c r="M5" i="22"/>
  <c r="O134" i="21"/>
  <c r="K134" i="21"/>
  <c r="P134" i="21" s="1"/>
  <c r="H134" i="21"/>
  <c r="G134" i="21"/>
  <c r="O133" i="21"/>
  <c r="K133" i="21"/>
  <c r="P133" i="21" s="1"/>
  <c r="H133" i="21"/>
  <c r="G133" i="21"/>
  <c r="O132" i="21"/>
  <c r="K132" i="21"/>
  <c r="P132" i="21" s="1"/>
  <c r="H132" i="21"/>
  <c r="G132" i="21"/>
  <c r="O131" i="21"/>
  <c r="K131" i="21"/>
  <c r="P131" i="21" s="1"/>
  <c r="H131" i="21"/>
  <c r="G131" i="21"/>
  <c r="O130" i="21"/>
  <c r="K130" i="21"/>
  <c r="P130" i="21" s="1"/>
  <c r="H130" i="21"/>
  <c r="G130" i="21"/>
  <c r="O129" i="21"/>
  <c r="K129" i="21"/>
  <c r="P129" i="21" s="1"/>
  <c r="H129" i="21"/>
  <c r="G129" i="21"/>
  <c r="O128" i="21"/>
  <c r="K128" i="21"/>
  <c r="P128" i="21" s="1"/>
  <c r="H128" i="21"/>
  <c r="G128" i="21"/>
  <c r="O127" i="21"/>
  <c r="K127" i="21"/>
  <c r="P127" i="21" s="1"/>
  <c r="H127" i="21"/>
  <c r="G127" i="21"/>
  <c r="O126" i="21"/>
  <c r="K126" i="21"/>
  <c r="P126" i="21" s="1"/>
  <c r="H126" i="21"/>
  <c r="G126" i="21"/>
  <c r="O125" i="21"/>
  <c r="K125" i="21"/>
  <c r="P125" i="21" s="1"/>
  <c r="H125" i="21"/>
  <c r="G125" i="21"/>
  <c r="O124" i="21"/>
  <c r="K124" i="21"/>
  <c r="P124" i="21" s="1"/>
  <c r="H124" i="21"/>
  <c r="G124" i="21"/>
  <c r="O123" i="21"/>
  <c r="K123" i="21"/>
  <c r="P123" i="21" s="1"/>
  <c r="H123" i="21"/>
  <c r="G123" i="21"/>
  <c r="O122" i="21"/>
  <c r="K122" i="21"/>
  <c r="P122" i="21" s="1"/>
  <c r="H122" i="21"/>
  <c r="G122" i="21"/>
  <c r="O121" i="21"/>
  <c r="K121" i="21"/>
  <c r="P121" i="21" s="1"/>
  <c r="H121" i="21"/>
  <c r="G121" i="21"/>
  <c r="O120" i="21"/>
  <c r="K120" i="21"/>
  <c r="P120" i="21" s="1"/>
  <c r="H120" i="21"/>
  <c r="G120" i="21"/>
  <c r="O119" i="21"/>
  <c r="K119" i="21"/>
  <c r="P119" i="21" s="1"/>
  <c r="H119" i="21"/>
  <c r="G119" i="21"/>
  <c r="O118" i="21"/>
  <c r="K118" i="21"/>
  <c r="P118" i="21" s="1"/>
  <c r="H118" i="21"/>
  <c r="G118" i="21"/>
  <c r="O117" i="21"/>
  <c r="K117" i="21"/>
  <c r="P117" i="21" s="1"/>
  <c r="H117" i="21"/>
  <c r="G117" i="21"/>
  <c r="O116" i="21"/>
  <c r="K116" i="21"/>
  <c r="P116" i="21" s="1"/>
  <c r="H116" i="21"/>
  <c r="G116" i="21"/>
  <c r="O115" i="21"/>
  <c r="K115" i="21"/>
  <c r="P115" i="21" s="1"/>
  <c r="H115" i="21"/>
  <c r="G115" i="21"/>
  <c r="O114" i="21"/>
  <c r="K114" i="21"/>
  <c r="P114" i="21" s="1"/>
  <c r="H114" i="21"/>
  <c r="G114" i="21"/>
  <c r="O113" i="21"/>
  <c r="K113" i="21"/>
  <c r="P113" i="21" s="1"/>
  <c r="H113" i="21"/>
  <c r="G113" i="21"/>
  <c r="O112" i="21"/>
  <c r="K112" i="21"/>
  <c r="P112" i="21" s="1"/>
  <c r="H112" i="21"/>
  <c r="G112" i="21"/>
  <c r="O111" i="21"/>
  <c r="K111" i="21"/>
  <c r="P111" i="21" s="1"/>
  <c r="H111" i="21"/>
  <c r="G111" i="21"/>
  <c r="O110" i="21"/>
  <c r="K110" i="21"/>
  <c r="P110" i="21" s="1"/>
  <c r="H110" i="21"/>
  <c r="G110" i="21"/>
  <c r="O109" i="21"/>
  <c r="K109" i="21"/>
  <c r="P109" i="21" s="1"/>
  <c r="H109" i="21"/>
  <c r="G109" i="21"/>
  <c r="O108" i="21"/>
  <c r="K108" i="21"/>
  <c r="P108" i="21" s="1"/>
  <c r="H108" i="21"/>
  <c r="G108" i="21"/>
  <c r="O107" i="21"/>
  <c r="K107" i="21"/>
  <c r="P107" i="21" s="1"/>
  <c r="H107" i="21"/>
  <c r="G107" i="21"/>
  <c r="O106" i="21"/>
  <c r="K106" i="21"/>
  <c r="P106" i="21" s="1"/>
  <c r="H106" i="21"/>
  <c r="G106" i="21"/>
  <c r="O105" i="21"/>
  <c r="K105" i="21"/>
  <c r="P105" i="21" s="1"/>
  <c r="H105" i="21"/>
  <c r="G105" i="21"/>
  <c r="O104" i="21"/>
  <c r="K104" i="21"/>
  <c r="P104" i="21" s="1"/>
  <c r="H104" i="21"/>
  <c r="G104" i="21"/>
  <c r="O103" i="21"/>
  <c r="K103" i="21"/>
  <c r="P103" i="21" s="1"/>
  <c r="H103" i="21"/>
  <c r="G103" i="21"/>
  <c r="O102" i="21"/>
  <c r="K102" i="21"/>
  <c r="P102" i="21" s="1"/>
  <c r="H102" i="21"/>
  <c r="G102" i="21"/>
  <c r="O101" i="21"/>
  <c r="K101" i="21"/>
  <c r="P101" i="21" s="1"/>
  <c r="H101" i="21"/>
  <c r="G101" i="21"/>
  <c r="O100" i="21"/>
  <c r="K100" i="21"/>
  <c r="P100" i="21" s="1"/>
  <c r="H100" i="21"/>
  <c r="G100" i="21"/>
  <c r="O99" i="21"/>
  <c r="K99" i="21"/>
  <c r="P99" i="21" s="1"/>
  <c r="H99" i="21"/>
  <c r="G99" i="21"/>
  <c r="O98" i="21"/>
  <c r="K98" i="21"/>
  <c r="P98" i="21" s="1"/>
  <c r="H98" i="21"/>
  <c r="G98" i="21"/>
  <c r="O97" i="21"/>
  <c r="K97" i="21"/>
  <c r="P97" i="21" s="1"/>
  <c r="H97" i="21"/>
  <c r="G97" i="21"/>
  <c r="O96" i="21"/>
  <c r="K96" i="21"/>
  <c r="P96" i="21" s="1"/>
  <c r="H96" i="21"/>
  <c r="G96" i="21"/>
  <c r="O95" i="21"/>
  <c r="K95" i="21"/>
  <c r="P95" i="21" s="1"/>
  <c r="H95" i="21"/>
  <c r="G95" i="21"/>
  <c r="O94" i="21"/>
  <c r="K94" i="21"/>
  <c r="P94" i="21" s="1"/>
  <c r="H94" i="21"/>
  <c r="G94" i="21"/>
  <c r="O93" i="21"/>
  <c r="K93" i="21"/>
  <c r="P93" i="21" s="1"/>
  <c r="H93" i="21"/>
  <c r="G93" i="21"/>
  <c r="O92" i="21"/>
  <c r="K92" i="21"/>
  <c r="P92" i="21" s="1"/>
  <c r="H92" i="21"/>
  <c r="G92" i="21"/>
  <c r="O91" i="21"/>
  <c r="K91" i="21"/>
  <c r="P91" i="21" s="1"/>
  <c r="H91" i="21"/>
  <c r="G91" i="21"/>
  <c r="O90" i="21"/>
  <c r="K90" i="21"/>
  <c r="P90" i="21" s="1"/>
  <c r="H90" i="21"/>
  <c r="G90" i="21"/>
  <c r="O89" i="21"/>
  <c r="K89" i="21"/>
  <c r="P89" i="21" s="1"/>
  <c r="H89" i="21"/>
  <c r="G89" i="21"/>
  <c r="O88" i="21"/>
  <c r="K88" i="21"/>
  <c r="P88" i="21" s="1"/>
  <c r="H88" i="21"/>
  <c r="G88" i="21"/>
  <c r="O87" i="21"/>
  <c r="K87" i="21"/>
  <c r="P87" i="21" s="1"/>
  <c r="H87" i="21"/>
  <c r="G87" i="21"/>
  <c r="O86" i="21"/>
  <c r="K86" i="21"/>
  <c r="P86" i="21" s="1"/>
  <c r="H86" i="21"/>
  <c r="G86" i="21"/>
  <c r="O85" i="21"/>
  <c r="K85" i="21"/>
  <c r="P85" i="21" s="1"/>
  <c r="H85" i="21"/>
  <c r="G85" i="21"/>
  <c r="O84" i="21"/>
  <c r="K84" i="21"/>
  <c r="P84" i="21" s="1"/>
  <c r="H84" i="21"/>
  <c r="G84" i="21"/>
  <c r="O83" i="21"/>
  <c r="K83" i="21"/>
  <c r="P83" i="21" s="1"/>
  <c r="H83" i="21"/>
  <c r="G83" i="21"/>
  <c r="O82" i="21"/>
  <c r="K82" i="21"/>
  <c r="P82" i="21" s="1"/>
  <c r="H82" i="21"/>
  <c r="G82" i="21"/>
  <c r="O81" i="21"/>
  <c r="K81" i="21"/>
  <c r="P81" i="21" s="1"/>
  <c r="H81" i="21"/>
  <c r="G81" i="21"/>
  <c r="O80" i="21"/>
  <c r="K80" i="21"/>
  <c r="P80" i="21" s="1"/>
  <c r="H80" i="21"/>
  <c r="G80" i="21"/>
  <c r="O79" i="21"/>
  <c r="K79" i="21"/>
  <c r="P79" i="21" s="1"/>
  <c r="H79" i="21"/>
  <c r="G79" i="21"/>
  <c r="O78" i="21"/>
  <c r="K78" i="21"/>
  <c r="P78" i="21" s="1"/>
  <c r="H78" i="21"/>
  <c r="G78" i="21"/>
  <c r="O77" i="21"/>
  <c r="K77" i="21"/>
  <c r="P77" i="21" s="1"/>
  <c r="H77" i="21"/>
  <c r="G77" i="21"/>
  <c r="O76" i="21"/>
  <c r="K76" i="21"/>
  <c r="P76" i="21" s="1"/>
  <c r="H76" i="21"/>
  <c r="G76" i="21"/>
  <c r="O75" i="21"/>
  <c r="K75" i="21"/>
  <c r="P75" i="21" s="1"/>
  <c r="H75" i="21"/>
  <c r="G75" i="21"/>
  <c r="O74" i="21"/>
  <c r="K74" i="21"/>
  <c r="P74" i="21" s="1"/>
  <c r="H74" i="21"/>
  <c r="G74" i="21"/>
  <c r="O73" i="21"/>
  <c r="K73" i="21"/>
  <c r="P73" i="21" s="1"/>
  <c r="H73" i="21"/>
  <c r="G73" i="21"/>
  <c r="O72" i="21"/>
  <c r="K72" i="21"/>
  <c r="P72" i="21" s="1"/>
  <c r="H72" i="21"/>
  <c r="G72" i="21"/>
  <c r="O71" i="21"/>
  <c r="K71" i="21"/>
  <c r="P71" i="21" s="1"/>
  <c r="H71" i="21"/>
  <c r="G71" i="21"/>
  <c r="O70" i="21"/>
  <c r="K70" i="21"/>
  <c r="P70" i="21" s="1"/>
  <c r="H70" i="21"/>
  <c r="G70" i="21"/>
  <c r="O69" i="21"/>
  <c r="K69" i="21"/>
  <c r="P69" i="21" s="1"/>
  <c r="H69" i="21"/>
  <c r="G69" i="21"/>
  <c r="O68" i="21"/>
  <c r="K68" i="21"/>
  <c r="P68" i="21" s="1"/>
  <c r="H68" i="21"/>
  <c r="G68" i="21"/>
  <c r="O67" i="21"/>
  <c r="K67" i="21"/>
  <c r="P67" i="21" s="1"/>
  <c r="H67" i="21"/>
  <c r="G67" i="21"/>
  <c r="O66" i="21"/>
  <c r="K66" i="21"/>
  <c r="P66" i="21" s="1"/>
  <c r="H66" i="21"/>
  <c r="G66" i="21"/>
  <c r="O65" i="21"/>
  <c r="K65" i="21"/>
  <c r="P65" i="21" s="1"/>
  <c r="H65" i="21"/>
  <c r="G65" i="21"/>
  <c r="O64" i="21"/>
  <c r="K64" i="21"/>
  <c r="P64" i="21" s="1"/>
  <c r="H64" i="21"/>
  <c r="G64" i="21"/>
  <c r="O63" i="21"/>
  <c r="K63" i="21"/>
  <c r="P63" i="21" s="1"/>
  <c r="H63" i="21"/>
  <c r="G63" i="21"/>
  <c r="O62" i="21"/>
  <c r="K62" i="21"/>
  <c r="P62" i="21" s="1"/>
  <c r="H62" i="21"/>
  <c r="G62" i="21"/>
  <c r="O61" i="21"/>
  <c r="K61" i="21"/>
  <c r="P61" i="21" s="1"/>
  <c r="H61" i="21"/>
  <c r="G61" i="21"/>
  <c r="O60" i="21"/>
  <c r="K60" i="21"/>
  <c r="P60" i="21" s="1"/>
  <c r="H60" i="21"/>
  <c r="G60" i="21"/>
  <c r="O59" i="21"/>
  <c r="K59" i="21"/>
  <c r="P59" i="21" s="1"/>
  <c r="H59" i="21"/>
  <c r="G59" i="21"/>
  <c r="O58" i="21"/>
  <c r="K58" i="21"/>
  <c r="P58" i="21" s="1"/>
  <c r="H58" i="21"/>
  <c r="G58" i="21"/>
  <c r="O57" i="21"/>
  <c r="K57" i="21"/>
  <c r="P57" i="21" s="1"/>
  <c r="H57" i="21"/>
  <c r="G57" i="21"/>
  <c r="O56" i="21"/>
  <c r="K56" i="21"/>
  <c r="P56" i="21" s="1"/>
  <c r="H56" i="21"/>
  <c r="G56" i="21"/>
  <c r="O55" i="21"/>
  <c r="K55" i="21"/>
  <c r="P55" i="21" s="1"/>
  <c r="H55" i="21"/>
  <c r="G55" i="21"/>
  <c r="O54" i="21"/>
  <c r="K54" i="21"/>
  <c r="P54" i="21" s="1"/>
  <c r="H54" i="21"/>
  <c r="G54" i="21"/>
  <c r="O53" i="21"/>
  <c r="K53" i="21"/>
  <c r="P53" i="21" s="1"/>
  <c r="H53" i="21"/>
  <c r="G53" i="21"/>
  <c r="O52" i="21"/>
  <c r="K52" i="21"/>
  <c r="P52" i="21" s="1"/>
  <c r="H52" i="21"/>
  <c r="G52" i="21"/>
  <c r="O51" i="21"/>
  <c r="K51" i="21"/>
  <c r="P51" i="21" s="1"/>
  <c r="H51" i="21"/>
  <c r="G51" i="21"/>
  <c r="O50" i="21"/>
  <c r="K50" i="21"/>
  <c r="P50" i="21" s="1"/>
  <c r="H50" i="21"/>
  <c r="G50" i="21"/>
  <c r="O49" i="21"/>
  <c r="K49" i="21"/>
  <c r="P49" i="21" s="1"/>
  <c r="H49" i="21"/>
  <c r="G49" i="21"/>
  <c r="O48" i="21"/>
  <c r="K48" i="21"/>
  <c r="P48" i="21" s="1"/>
  <c r="H48" i="21"/>
  <c r="G48" i="21"/>
  <c r="O47" i="21"/>
  <c r="K47" i="21"/>
  <c r="P47" i="21" s="1"/>
  <c r="H47" i="21"/>
  <c r="G47" i="21"/>
  <c r="O46" i="21"/>
  <c r="K46" i="21"/>
  <c r="P46" i="21" s="1"/>
  <c r="H46" i="21"/>
  <c r="G46" i="21"/>
  <c r="O45" i="21"/>
  <c r="K45" i="21"/>
  <c r="P45" i="21" s="1"/>
  <c r="H45" i="21"/>
  <c r="G45" i="21"/>
  <c r="O44" i="21"/>
  <c r="K44" i="21"/>
  <c r="P44" i="21" s="1"/>
  <c r="H44" i="21"/>
  <c r="G44" i="21"/>
  <c r="O43" i="21"/>
  <c r="K43" i="21"/>
  <c r="P43" i="21" s="1"/>
  <c r="H43" i="21"/>
  <c r="G43" i="21"/>
  <c r="O42" i="21"/>
  <c r="K42" i="21"/>
  <c r="P42" i="21" s="1"/>
  <c r="H42" i="21"/>
  <c r="G42" i="21"/>
  <c r="O41" i="21"/>
  <c r="K41" i="21"/>
  <c r="P41" i="21" s="1"/>
  <c r="H41" i="21"/>
  <c r="G41" i="21"/>
  <c r="O40" i="21"/>
  <c r="K40" i="21"/>
  <c r="P40" i="21" s="1"/>
  <c r="H40" i="21"/>
  <c r="G40" i="21"/>
  <c r="O39" i="21"/>
  <c r="K39" i="21"/>
  <c r="P39" i="21" s="1"/>
  <c r="H39" i="21"/>
  <c r="G39" i="21"/>
  <c r="O38" i="21"/>
  <c r="K38" i="21"/>
  <c r="P38" i="21" s="1"/>
  <c r="H38" i="21"/>
  <c r="G38" i="21"/>
  <c r="O37" i="21"/>
  <c r="K37" i="21"/>
  <c r="P37" i="21" s="1"/>
  <c r="H37" i="21"/>
  <c r="G37" i="21"/>
  <c r="O36" i="21"/>
  <c r="K36" i="21"/>
  <c r="P36" i="21" s="1"/>
  <c r="H36" i="21"/>
  <c r="G36" i="21"/>
  <c r="O35" i="21"/>
  <c r="K35" i="21"/>
  <c r="P35" i="21" s="1"/>
  <c r="H35" i="21"/>
  <c r="G35" i="21"/>
  <c r="O34" i="21"/>
  <c r="K34" i="21"/>
  <c r="P34" i="21" s="1"/>
  <c r="H34" i="21"/>
  <c r="G34" i="21"/>
  <c r="O33" i="21"/>
  <c r="K33" i="21"/>
  <c r="P33" i="21" s="1"/>
  <c r="H33" i="21"/>
  <c r="G33" i="21"/>
  <c r="O32" i="21"/>
  <c r="K32" i="21"/>
  <c r="P32" i="21" s="1"/>
  <c r="H32" i="21"/>
  <c r="G32" i="21"/>
  <c r="O31" i="21"/>
  <c r="K31" i="21"/>
  <c r="P31" i="21" s="1"/>
  <c r="H31" i="21"/>
  <c r="G31" i="21"/>
  <c r="O30" i="21"/>
  <c r="K30" i="21"/>
  <c r="P30" i="21" s="1"/>
  <c r="H30" i="21"/>
  <c r="G30" i="21"/>
  <c r="O29" i="21"/>
  <c r="K29" i="21"/>
  <c r="P29" i="21" s="1"/>
  <c r="H29" i="21"/>
  <c r="G29" i="21"/>
  <c r="O28" i="21"/>
  <c r="K28" i="21"/>
  <c r="P28" i="21" s="1"/>
  <c r="H28" i="21"/>
  <c r="G28" i="21"/>
  <c r="O27" i="21"/>
  <c r="K27" i="21"/>
  <c r="P27" i="21" s="1"/>
  <c r="H27" i="21"/>
  <c r="G27" i="21"/>
  <c r="O26" i="21"/>
  <c r="K26" i="21"/>
  <c r="P26" i="21" s="1"/>
  <c r="H26" i="21"/>
  <c r="G26" i="21"/>
  <c r="O25" i="21"/>
  <c r="K25" i="21"/>
  <c r="P25" i="21" s="1"/>
  <c r="H25" i="21"/>
  <c r="G25" i="21"/>
  <c r="O24" i="21"/>
  <c r="K24" i="21"/>
  <c r="P24" i="21" s="1"/>
  <c r="H24" i="21"/>
  <c r="G24" i="21"/>
  <c r="O23" i="21"/>
  <c r="K23" i="21"/>
  <c r="P23" i="21" s="1"/>
  <c r="H23" i="21"/>
  <c r="G23" i="21"/>
  <c r="O22" i="21"/>
  <c r="K22" i="21"/>
  <c r="P22" i="21" s="1"/>
  <c r="H22" i="21"/>
  <c r="G22" i="21"/>
  <c r="O21" i="21"/>
  <c r="K21" i="21"/>
  <c r="P21" i="21" s="1"/>
  <c r="H21" i="21"/>
  <c r="G21" i="21"/>
  <c r="O20" i="21"/>
  <c r="K20" i="21"/>
  <c r="P20" i="21" s="1"/>
  <c r="H20" i="21"/>
  <c r="G20" i="21"/>
  <c r="O19" i="21"/>
  <c r="K19" i="21"/>
  <c r="P19" i="21" s="1"/>
  <c r="H19" i="21"/>
  <c r="G19" i="21"/>
  <c r="O18" i="21"/>
  <c r="K18" i="21"/>
  <c r="P18" i="21" s="1"/>
  <c r="H18" i="21"/>
  <c r="G18" i="21"/>
  <c r="O17" i="21"/>
  <c r="K17" i="21"/>
  <c r="P17" i="21" s="1"/>
  <c r="H17" i="21"/>
  <c r="G17" i="21"/>
  <c r="O16" i="21"/>
  <c r="K16" i="21"/>
  <c r="P16" i="21" s="1"/>
  <c r="H16" i="21"/>
  <c r="G16" i="21"/>
  <c r="O15" i="21"/>
  <c r="K15" i="21"/>
  <c r="P15" i="21" s="1"/>
  <c r="H15" i="21"/>
  <c r="G15" i="21"/>
  <c r="O14" i="21"/>
  <c r="K14" i="21"/>
  <c r="P14" i="21" s="1"/>
  <c r="H14" i="21"/>
  <c r="G14" i="21"/>
  <c r="O13" i="21"/>
  <c r="K13" i="21"/>
  <c r="P13" i="21" s="1"/>
  <c r="H13" i="21"/>
  <c r="G13" i="21"/>
  <c r="O12" i="21"/>
  <c r="K12" i="21"/>
  <c r="P12" i="21" s="1"/>
  <c r="H12" i="21"/>
  <c r="G12" i="21"/>
  <c r="O11" i="21"/>
  <c r="K11" i="21"/>
  <c r="P11" i="21" s="1"/>
  <c r="H11" i="21"/>
  <c r="G11" i="21"/>
  <c r="O10" i="21"/>
  <c r="K10" i="21"/>
  <c r="P10" i="21" s="1"/>
  <c r="H10" i="21"/>
  <c r="G10" i="21"/>
  <c r="O9" i="21"/>
  <c r="K9" i="21"/>
  <c r="P9" i="21" s="1"/>
  <c r="H9" i="21"/>
  <c r="G9" i="21"/>
  <c r="O8" i="21"/>
  <c r="K8" i="21"/>
  <c r="P8" i="21" s="1"/>
  <c r="H8" i="21"/>
  <c r="G8" i="21"/>
  <c r="O7" i="21"/>
  <c r="K7" i="21"/>
  <c r="P7" i="21" s="1"/>
  <c r="H7" i="21"/>
  <c r="G7" i="21"/>
  <c r="O6" i="21"/>
  <c r="K6" i="21"/>
  <c r="P6" i="21" s="1"/>
  <c r="H6" i="21"/>
  <c r="G6" i="21"/>
  <c r="O5" i="21"/>
  <c r="K5" i="21"/>
  <c r="P5" i="21" s="1"/>
  <c r="H5" i="21"/>
  <c r="G5" i="21"/>
  <c r="C45" i="11"/>
  <c r="B45" i="11"/>
  <c r="A45" i="11"/>
  <c r="C44" i="11"/>
  <c r="B44" i="11"/>
  <c r="A44" i="11"/>
  <c r="C43" i="11"/>
  <c r="B43" i="11"/>
  <c r="A43" i="11"/>
  <c r="C42" i="11"/>
  <c r="B42" i="11"/>
  <c r="A42" i="11"/>
  <c r="C41" i="11"/>
  <c r="B41" i="11"/>
  <c r="A41" i="11"/>
  <c r="C40" i="11"/>
  <c r="B40" i="11"/>
  <c r="A40" i="11"/>
  <c r="C39" i="11"/>
  <c r="B39" i="11"/>
  <c r="A39" i="11"/>
  <c r="C38" i="11"/>
  <c r="B38" i="11"/>
  <c r="A38" i="11"/>
  <c r="C37" i="11"/>
  <c r="B37" i="11"/>
  <c r="A37" i="11"/>
  <c r="C36" i="11"/>
  <c r="B36" i="11"/>
  <c r="A36" i="11"/>
  <c r="C35" i="11"/>
  <c r="B35" i="11"/>
  <c r="A35" i="11"/>
  <c r="C34" i="11"/>
  <c r="B34" i="11"/>
  <c r="A34" i="11"/>
  <c r="C33" i="11"/>
  <c r="B33" i="11"/>
  <c r="A33" i="11"/>
  <c r="C32" i="11"/>
  <c r="B32" i="11"/>
  <c r="A32" i="11"/>
  <c r="C31" i="11"/>
  <c r="B31" i="11"/>
  <c r="A31" i="11"/>
  <c r="C30" i="11"/>
  <c r="B30" i="11"/>
  <c r="A30" i="11"/>
  <c r="C29" i="11"/>
  <c r="B29" i="11"/>
  <c r="A29" i="11"/>
  <c r="C28" i="11"/>
  <c r="B28" i="11"/>
  <c r="A28" i="11"/>
  <c r="C27" i="11"/>
  <c r="B27" i="11"/>
  <c r="A27" i="11"/>
  <c r="C26" i="11"/>
  <c r="B26" i="11"/>
  <c r="A26" i="11"/>
  <c r="C25" i="11"/>
  <c r="B25" i="11"/>
  <c r="A25" i="11"/>
  <c r="C24" i="11"/>
  <c r="B24" i="11"/>
  <c r="A24" i="11"/>
  <c r="C23" i="11"/>
  <c r="B23" i="11"/>
  <c r="A23" i="11"/>
  <c r="C22" i="11"/>
  <c r="B22" i="11"/>
  <c r="A22" i="11"/>
  <c r="C21" i="11"/>
  <c r="B21" i="11"/>
  <c r="A21" i="11"/>
  <c r="C20" i="11"/>
  <c r="B20" i="11"/>
  <c r="A20" i="11"/>
  <c r="C19" i="11"/>
  <c r="B19" i="11"/>
  <c r="A19" i="11"/>
  <c r="C18" i="11"/>
  <c r="B18" i="11"/>
  <c r="A18" i="11"/>
  <c r="C17" i="11"/>
  <c r="B17" i="11"/>
  <c r="A17" i="11"/>
  <c r="C16" i="11"/>
  <c r="B16" i="11"/>
  <c r="A16" i="11"/>
  <c r="I8" i="11"/>
  <c r="H8" i="11"/>
  <c r="G8" i="11"/>
  <c r="F8" i="11"/>
  <c r="E8" i="11"/>
  <c r="D8" i="11"/>
  <c r="I7" i="11"/>
  <c r="H7" i="11"/>
  <c r="G7" i="11"/>
  <c r="F7" i="11"/>
  <c r="E7" i="11"/>
  <c r="D7" i="11"/>
  <c r="I6" i="11"/>
  <c r="H6" i="11"/>
  <c r="G6" i="11"/>
  <c r="F6" i="11"/>
  <c r="E6" i="11"/>
  <c r="D6" i="11"/>
  <c r="I5" i="11"/>
  <c r="H5" i="11"/>
  <c r="G5" i="11"/>
  <c r="F5" i="11"/>
  <c r="E5" i="11"/>
  <c r="D5" i="11"/>
  <c r="I4" i="11"/>
  <c r="H4" i="11"/>
  <c r="G4" i="11"/>
  <c r="F4" i="11"/>
  <c r="E4" i="11"/>
  <c r="D4" i="11"/>
  <c r="T59" i="16"/>
  <c r="S59" i="16" s="1"/>
  <c r="R59" i="16"/>
  <c r="T58" i="16"/>
  <c r="S58" i="16" s="1"/>
  <c r="R58" i="16"/>
  <c r="T57" i="16"/>
  <c r="S57" i="16" s="1"/>
  <c r="R57" i="16"/>
  <c r="T56" i="16"/>
  <c r="S56" i="16" s="1"/>
  <c r="R56" i="16"/>
  <c r="T55" i="16"/>
  <c r="S55" i="16" s="1"/>
  <c r="R55" i="16"/>
  <c r="T54" i="16"/>
  <c r="S54" i="16" s="1"/>
  <c r="R54" i="16"/>
  <c r="T53" i="16"/>
  <c r="S53" i="16" s="1"/>
  <c r="R53" i="16"/>
  <c r="T52" i="16"/>
  <c r="S52" i="16" s="1"/>
  <c r="R52" i="16"/>
  <c r="T51" i="16"/>
  <c r="S51" i="16" s="1"/>
  <c r="R51" i="16"/>
  <c r="T50" i="16"/>
  <c r="S50" i="16" s="1"/>
  <c r="R50" i="16"/>
  <c r="T49" i="16"/>
  <c r="S49" i="16" s="1"/>
  <c r="R49" i="16"/>
  <c r="T48" i="16"/>
  <c r="S48" i="16" s="1"/>
  <c r="R48" i="16"/>
  <c r="T47" i="16"/>
  <c r="S47" i="16" s="1"/>
  <c r="R47" i="16"/>
  <c r="T46" i="16"/>
  <c r="S46" i="16" s="1"/>
  <c r="R46" i="16"/>
  <c r="T45" i="16"/>
  <c r="S45" i="16" s="1"/>
  <c r="R45" i="16"/>
  <c r="T44" i="16"/>
  <c r="S44" i="16" s="1"/>
  <c r="R44" i="16"/>
  <c r="T43" i="16"/>
  <c r="S43" i="16" s="1"/>
  <c r="R43" i="16"/>
  <c r="T42" i="16"/>
  <c r="S42" i="16" s="1"/>
  <c r="R42" i="16"/>
  <c r="T41" i="16"/>
  <c r="S41" i="16" s="1"/>
  <c r="R41" i="16"/>
  <c r="T40" i="16"/>
  <c r="S40" i="16" s="1"/>
  <c r="R40" i="16"/>
  <c r="T39" i="16"/>
  <c r="S39" i="16" s="1"/>
  <c r="R39" i="16"/>
  <c r="T38" i="16"/>
  <c r="S38" i="16" s="1"/>
  <c r="R38" i="16"/>
  <c r="T37" i="16"/>
  <c r="S37" i="16" s="1"/>
  <c r="R37" i="16"/>
  <c r="T36" i="16"/>
  <c r="S36" i="16" s="1"/>
  <c r="R36" i="16"/>
  <c r="T35" i="16"/>
  <c r="S35" i="16" s="1"/>
  <c r="R35" i="16"/>
  <c r="T34" i="16"/>
  <c r="S34" i="16" s="1"/>
  <c r="R34" i="16"/>
  <c r="T33" i="16"/>
  <c r="S33" i="16" s="1"/>
  <c r="R33" i="16"/>
  <c r="T32" i="16"/>
  <c r="S32" i="16" s="1"/>
  <c r="R32" i="16"/>
  <c r="T31" i="16"/>
  <c r="S31" i="16" s="1"/>
  <c r="R31" i="16"/>
  <c r="T30" i="16"/>
  <c r="S30" i="16" s="1"/>
  <c r="R30" i="16"/>
  <c r="T29" i="16"/>
  <c r="S29" i="16" s="1"/>
  <c r="R29" i="16"/>
  <c r="T28" i="16"/>
  <c r="S28" i="16" s="1"/>
  <c r="R28" i="16"/>
  <c r="T27" i="16"/>
  <c r="S27" i="16" s="1"/>
  <c r="R27" i="16"/>
  <c r="T26" i="16"/>
  <c r="S26" i="16" s="1"/>
  <c r="R26" i="16"/>
  <c r="T25" i="16"/>
  <c r="S25" i="16" s="1"/>
  <c r="R25" i="16"/>
  <c r="T24" i="16"/>
  <c r="S24" i="16" s="1"/>
  <c r="R24" i="16"/>
  <c r="T23" i="16"/>
  <c r="S23" i="16" s="1"/>
  <c r="R23" i="16"/>
  <c r="T22" i="16"/>
  <c r="S22" i="16" s="1"/>
  <c r="R22" i="16"/>
  <c r="T21" i="16"/>
  <c r="S21" i="16" s="1"/>
  <c r="R21" i="16"/>
  <c r="T20" i="16"/>
  <c r="S20" i="16" s="1"/>
  <c r="R20" i="16"/>
  <c r="T19" i="16"/>
  <c r="S19" i="16" s="1"/>
  <c r="R19" i="16"/>
  <c r="T18" i="16"/>
  <c r="S18" i="16" s="1"/>
  <c r="R18" i="16"/>
  <c r="T17" i="16"/>
  <c r="S17" i="16" s="1"/>
  <c r="R17" i="16"/>
  <c r="T16" i="16"/>
  <c r="S16" i="16" s="1"/>
  <c r="R16" i="16"/>
  <c r="T15" i="16"/>
  <c r="S15" i="16" s="1"/>
  <c r="R15" i="16"/>
  <c r="T14" i="16"/>
  <c r="S14" i="16" s="1"/>
  <c r="R14" i="16"/>
  <c r="T13" i="16"/>
  <c r="S13" i="16" s="1"/>
  <c r="R13" i="16"/>
  <c r="T12" i="16"/>
  <c r="S12" i="16" s="1"/>
  <c r="R12" i="16"/>
  <c r="T11" i="16"/>
  <c r="S11" i="16" s="1"/>
  <c r="R11" i="16"/>
  <c r="T10" i="16"/>
  <c r="S10" i="16" s="1"/>
  <c r="R10" i="16"/>
  <c r="T9" i="16"/>
  <c r="S9" i="16" s="1"/>
  <c r="R9" i="16"/>
  <c r="T8" i="16"/>
  <c r="S8" i="16" s="1"/>
  <c r="R8" i="16"/>
  <c r="T7" i="16"/>
  <c r="S7" i="16" s="1"/>
  <c r="R7" i="16"/>
  <c r="T6" i="16"/>
  <c r="S6" i="16" s="1"/>
  <c r="R6" i="16"/>
  <c r="T5" i="16"/>
  <c r="S5" i="16" s="1"/>
  <c r="R5" i="16"/>
  <c r="T4" i="16"/>
  <c r="S4" i="16" s="1"/>
  <c r="R4" i="16"/>
  <c r="T3" i="16"/>
  <c r="S3" i="16" s="1"/>
  <c r="R3" i="16" s="1"/>
  <c r="B65" i="10"/>
  <c r="B64" i="10"/>
  <c r="B63" i="10"/>
  <c r="B62" i="10"/>
  <c r="G58" i="10"/>
  <c r="F58" i="10"/>
  <c r="E58" i="10"/>
  <c r="D58" i="10"/>
  <c r="C58" i="10"/>
  <c r="B58" i="10"/>
  <c r="A58" i="10"/>
  <c r="G57" i="10"/>
  <c r="F57" i="10"/>
  <c r="E57" i="10"/>
  <c r="D57" i="10"/>
  <c r="C57" i="10"/>
  <c r="B57" i="10"/>
  <c r="A57" i="10"/>
  <c r="G56" i="10"/>
  <c r="F56" i="10"/>
  <c r="E56" i="10"/>
  <c r="D56" i="10"/>
  <c r="C56" i="10"/>
  <c r="B56" i="10"/>
  <c r="A56" i="10"/>
  <c r="G55" i="10"/>
  <c r="F55" i="10"/>
  <c r="E55" i="10"/>
  <c r="D55" i="10"/>
  <c r="C55" i="10"/>
  <c r="B55" i="10"/>
  <c r="A55" i="10"/>
  <c r="G54" i="10"/>
  <c r="F54" i="10"/>
  <c r="E54" i="10"/>
  <c r="D54" i="10"/>
  <c r="C54" i="10"/>
  <c r="B54" i="10"/>
  <c r="A54" i="10"/>
  <c r="H15" i="10"/>
  <c r="G15" i="10"/>
  <c r="F15" i="10"/>
  <c r="E15" i="10"/>
  <c r="D15" i="10"/>
  <c r="C15" i="10"/>
  <c r="B15" i="10"/>
  <c r="A15" i="10"/>
  <c r="H14" i="10"/>
  <c r="G14" i="10"/>
  <c r="F14" i="10"/>
  <c r="E14" i="10"/>
  <c r="D14" i="10"/>
  <c r="C14" i="10"/>
  <c r="B14" i="10"/>
  <c r="A14" i="10"/>
  <c r="L13" i="10"/>
  <c r="H13" i="10"/>
  <c r="G13" i="10"/>
  <c r="F13" i="10"/>
  <c r="E13" i="10"/>
  <c r="D13" i="10"/>
  <c r="C13" i="10"/>
  <c r="B13" i="10"/>
  <c r="A13" i="10"/>
  <c r="L12" i="10"/>
  <c r="H12" i="10"/>
  <c r="G12" i="10"/>
  <c r="F12" i="10"/>
  <c r="E12" i="10"/>
  <c r="D12" i="10"/>
  <c r="C12" i="10"/>
  <c r="B12" i="10"/>
  <c r="A12" i="10"/>
  <c r="L11" i="10"/>
  <c r="H11" i="10"/>
  <c r="G11" i="10"/>
  <c r="F11" i="10"/>
  <c r="E11" i="10"/>
  <c r="D11" i="10"/>
  <c r="C11" i="10"/>
  <c r="B11" i="10"/>
  <c r="A11" i="10"/>
  <c r="P37" i="8"/>
  <c r="P36" i="8"/>
  <c r="P35" i="8"/>
  <c r="P34" i="8"/>
  <c r="Q25" i="7"/>
  <c r="AD24" i="7"/>
  <c r="AG24" i="7" s="1"/>
  <c r="U24" i="7"/>
  <c r="Q24" i="7"/>
  <c r="AD23" i="7"/>
  <c r="AG23" i="7" s="1"/>
  <c r="U23" i="7"/>
  <c r="Q23" i="7"/>
  <c r="AD22" i="7"/>
  <c r="AE22" i="7" s="1"/>
  <c r="U22" i="7"/>
  <c r="Q22" i="7"/>
  <c r="AD21" i="7"/>
  <c r="U21" i="7"/>
  <c r="Q21" i="7"/>
  <c r="AD20" i="7"/>
  <c r="AE20" i="7" s="1"/>
  <c r="U20" i="7"/>
  <c r="Q20" i="7"/>
  <c r="AH19" i="7"/>
  <c r="AI19" i="7" s="1"/>
  <c r="AG19" i="7"/>
  <c r="AA19" i="7"/>
  <c r="AH18" i="7"/>
  <c r="AI18" i="7" s="1"/>
  <c r="AG18" i="7"/>
  <c r="AA18" i="7"/>
  <c r="AG17" i="7"/>
  <c r="AA17" i="7"/>
  <c r="AH15" i="7"/>
  <c r="AI15" i="7" s="1"/>
  <c r="AD15" i="7"/>
  <c r="AG15" i="7" s="1"/>
  <c r="U15" i="7"/>
  <c r="Q15" i="7"/>
  <c r="AD14" i="7"/>
  <c r="AE14" i="7" s="1"/>
  <c r="U14" i="7"/>
  <c r="Q14" i="7"/>
  <c r="AD13" i="7"/>
  <c r="AE13" i="7" s="1"/>
  <c r="U13" i="7"/>
  <c r="Q13" i="7"/>
  <c r="AD12" i="7"/>
  <c r="U12" i="7"/>
  <c r="Q12" i="7"/>
  <c r="AD11" i="7"/>
  <c r="AG11" i="7" s="1"/>
  <c r="U11" i="7"/>
  <c r="Q11" i="7"/>
  <c r="AD10" i="7"/>
  <c r="AE10" i="7" s="1"/>
  <c r="U10" i="7"/>
  <c r="Q10" i="7"/>
  <c r="AD9" i="7"/>
  <c r="AE9" i="7" s="1"/>
  <c r="U9" i="7"/>
  <c r="Q9" i="7"/>
  <c r="AD8" i="7"/>
  <c r="AG8" i="7" s="1"/>
  <c r="U8" i="7"/>
  <c r="Q8" i="7"/>
  <c r="AD7" i="7"/>
  <c r="AE7" i="7" s="1"/>
  <c r="U7" i="7"/>
  <c r="Q7" i="7"/>
  <c r="AH6" i="7"/>
  <c r="AI6" i="7" s="1"/>
  <c r="AD6" i="7"/>
  <c r="AE6" i="7" s="1"/>
  <c r="U6" i="7"/>
  <c r="Q6" i="7"/>
  <c r="AD5" i="7"/>
  <c r="AE5" i="7" s="1"/>
  <c r="U5" i="7"/>
  <c r="Q5" i="7"/>
  <c r="AD4" i="7"/>
  <c r="Z4" i="7"/>
  <c r="U4" i="7"/>
  <c r="Q4" i="7"/>
  <c r="N8" i="5"/>
  <c r="N7" i="5"/>
  <c r="N6" i="5"/>
  <c r="N5" i="5"/>
  <c r="N4" i="5"/>
  <c r="L14" i="10" s="1"/>
  <c r="BF363" i="4"/>
  <c r="BE363" i="4"/>
  <c r="BF362" i="4"/>
  <c r="BE362" i="4"/>
  <c r="BF361" i="4"/>
  <c r="BE361" i="4"/>
  <c r="BF360" i="4"/>
  <c r="BE360" i="4"/>
  <c r="BF359" i="4"/>
  <c r="BE359" i="4"/>
  <c r="BF358" i="4"/>
  <c r="BE358" i="4"/>
  <c r="BF357" i="4"/>
  <c r="BE357" i="4"/>
  <c r="BF356" i="4"/>
  <c r="BE356" i="4"/>
  <c r="BF355" i="4"/>
  <c r="BE355" i="4"/>
  <c r="BF354" i="4"/>
  <c r="BE354" i="4"/>
  <c r="BF353" i="4"/>
  <c r="BE353" i="4"/>
  <c r="BF352" i="4"/>
  <c r="BE352" i="4"/>
  <c r="BF351" i="4"/>
  <c r="BE351" i="4"/>
  <c r="BF350" i="4"/>
  <c r="BE350" i="4"/>
  <c r="BF349" i="4"/>
  <c r="BE349" i="4"/>
  <c r="BF348" i="4"/>
  <c r="BE348" i="4"/>
  <c r="BF347" i="4"/>
  <c r="BE347" i="4"/>
  <c r="BF346" i="4"/>
  <c r="BE346" i="4"/>
  <c r="BF345" i="4"/>
  <c r="BE345" i="4"/>
  <c r="BF344" i="4"/>
  <c r="BE344" i="4"/>
  <c r="BF343" i="4"/>
  <c r="BE343" i="4"/>
  <c r="BF342" i="4"/>
  <c r="BE342" i="4"/>
  <c r="BF341" i="4"/>
  <c r="BE341" i="4"/>
  <c r="BF340" i="4"/>
  <c r="BE340" i="4"/>
  <c r="BF339" i="4"/>
  <c r="BE339" i="4"/>
  <c r="BF338" i="4"/>
  <c r="BE338" i="4"/>
  <c r="BF337" i="4"/>
  <c r="BE337" i="4"/>
  <c r="BF336" i="4"/>
  <c r="BE336" i="4"/>
  <c r="BF335" i="4"/>
  <c r="BE335" i="4"/>
  <c r="BF334" i="4"/>
  <c r="BE334" i="4"/>
  <c r="BF333" i="4"/>
  <c r="BE333" i="4"/>
  <c r="BF332" i="4"/>
  <c r="BE332" i="4"/>
  <c r="BF331" i="4"/>
  <c r="BE331" i="4"/>
  <c r="BF330" i="4"/>
  <c r="BE330" i="4"/>
  <c r="BF329" i="4"/>
  <c r="BE329" i="4"/>
  <c r="BF328" i="4"/>
  <c r="BE328" i="4"/>
  <c r="BF327" i="4"/>
  <c r="BE327" i="4"/>
  <c r="BF326" i="4"/>
  <c r="BE326" i="4"/>
  <c r="BF325" i="4"/>
  <c r="BE325" i="4"/>
  <c r="BF324" i="4"/>
  <c r="BE324" i="4"/>
  <c r="BF323" i="4"/>
  <c r="BE323" i="4"/>
  <c r="BF322" i="4"/>
  <c r="BE322" i="4"/>
  <c r="BF321" i="4"/>
  <c r="BE321" i="4"/>
  <c r="BF320" i="4"/>
  <c r="BE320" i="4"/>
  <c r="BF319" i="4"/>
  <c r="BE319" i="4"/>
  <c r="BF318" i="4"/>
  <c r="BE318" i="4"/>
  <c r="BF317" i="4"/>
  <c r="BE317" i="4"/>
  <c r="BF316" i="4"/>
  <c r="BE316" i="4"/>
  <c r="BF315" i="4"/>
  <c r="BE315" i="4"/>
  <c r="BF314" i="4"/>
  <c r="BE314" i="4"/>
  <c r="BF313" i="4"/>
  <c r="BE313" i="4"/>
  <c r="BF312" i="4"/>
  <c r="BE312" i="4"/>
  <c r="BF311" i="4"/>
  <c r="BE311" i="4"/>
  <c r="BF310" i="4"/>
  <c r="BE310" i="4"/>
  <c r="BF309" i="4"/>
  <c r="BE309" i="4"/>
  <c r="BF308" i="4"/>
  <c r="BE308" i="4"/>
  <c r="BF307" i="4"/>
  <c r="BE307" i="4"/>
  <c r="BF306" i="4"/>
  <c r="BE306" i="4"/>
  <c r="BF305" i="4"/>
  <c r="BE305" i="4"/>
  <c r="BF304" i="4"/>
  <c r="BE304" i="4"/>
  <c r="BF303" i="4"/>
  <c r="BE303" i="4"/>
  <c r="BF302" i="4"/>
  <c r="BE302" i="4"/>
  <c r="BF301" i="4"/>
  <c r="BE301" i="4"/>
  <c r="BF300" i="4"/>
  <c r="BE300" i="4"/>
  <c r="BF299" i="4"/>
  <c r="BE299" i="4"/>
  <c r="BF298" i="4"/>
  <c r="BE298" i="4"/>
  <c r="BF297" i="4"/>
  <c r="BE297" i="4"/>
  <c r="BF296" i="4"/>
  <c r="BE296" i="4"/>
  <c r="BF295" i="4"/>
  <c r="BE295" i="4"/>
  <c r="BF294" i="4"/>
  <c r="BE294" i="4"/>
  <c r="BF293" i="4"/>
  <c r="BE293" i="4"/>
  <c r="BF292" i="4"/>
  <c r="BE292" i="4"/>
  <c r="BF291" i="4"/>
  <c r="BE291" i="4"/>
  <c r="BF290" i="4"/>
  <c r="BE290" i="4"/>
  <c r="BF289" i="4"/>
  <c r="BE289" i="4"/>
  <c r="BF288" i="4"/>
  <c r="BE288" i="4"/>
  <c r="BF287" i="4"/>
  <c r="BE287" i="4"/>
  <c r="BF286" i="4"/>
  <c r="BE286" i="4"/>
  <c r="BF285" i="4"/>
  <c r="BE285" i="4"/>
  <c r="BF284" i="4"/>
  <c r="BE284" i="4"/>
  <c r="BF283" i="4"/>
  <c r="BE283" i="4"/>
  <c r="BF282" i="4"/>
  <c r="BE282" i="4"/>
  <c r="BF281" i="4"/>
  <c r="BE281" i="4"/>
  <c r="BF280" i="4"/>
  <c r="BE280" i="4"/>
  <c r="BF279" i="4"/>
  <c r="BE279" i="4"/>
  <c r="BF278" i="4"/>
  <c r="BE278" i="4"/>
  <c r="BF277" i="4"/>
  <c r="BE277" i="4"/>
  <c r="BF276" i="4"/>
  <c r="BE276" i="4"/>
  <c r="BF275" i="4"/>
  <c r="BE275" i="4"/>
  <c r="BF274" i="4"/>
  <c r="BE274" i="4"/>
  <c r="BF273" i="4"/>
  <c r="BE273" i="4"/>
  <c r="BF272" i="4"/>
  <c r="BE272" i="4"/>
  <c r="BF271" i="4"/>
  <c r="BE271" i="4"/>
  <c r="BF270" i="4"/>
  <c r="BE270" i="4"/>
  <c r="BF269" i="4"/>
  <c r="BE269" i="4"/>
  <c r="BF268" i="4"/>
  <c r="BE268" i="4"/>
  <c r="BF267" i="4"/>
  <c r="BE267" i="4"/>
  <c r="BF266" i="4"/>
  <c r="BE266" i="4"/>
  <c r="BF265" i="4"/>
  <c r="BE265" i="4"/>
  <c r="BF264" i="4"/>
  <c r="BE264" i="4"/>
  <c r="BF263" i="4"/>
  <c r="BE263" i="4"/>
  <c r="BF262" i="4"/>
  <c r="BE262" i="4"/>
  <c r="BF261" i="4"/>
  <c r="BE261" i="4"/>
  <c r="BF260" i="4"/>
  <c r="BE260" i="4"/>
  <c r="BF259" i="4"/>
  <c r="BE259" i="4"/>
  <c r="BF258" i="4"/>
  <c r="BE258" i="4"/>
  <c r="BF257" i="4"/>
  <c r="BE257" i="4"/>
  <c r="BF256" i="4"/>
  <c r="BE256" i="4"/>
  <c r="BF255" i="4"/>
  <c r="BE255" i="4"/>
  <c r="BF254" i="4"/>
  <c r="BE254" i="4"/>
  <c r="BF253" i="4"/>
  <c r="BE253" i="4"/>
  <c r="BF252" i="4"/>
  <c r="BE252" i="4"/>
  <c r="BF251" i="4"/>
  <c r="BE251" i="4"/>
  <c r="BF250" i="4"/>
  <c r="BE250" i="4"/>
  <c r="BF249" i="4"/>
  <c r="BE249" i="4"/>
  <c r="BF248" i="4"/>
  <c r="BE248" i="4"/>
  <c r="BF247" i="4"/>
  <c r="BE247" i="4"/>
  <c r="BF246" i="4"/>
  <c r="BE246" i="4"/>
  <c r="BF245" i="4"/>
  <c r="BE245" i="4"/>
  <c r="BF244" i="4"/>
  <c r="BE244" i="4"/>
  <c r="BF243" i="4"/>
  <c r="BE243" i="4"/>
  <c r="BF242" i="4"/>
  <c r="BE242" i="4"/>
  <c r="BF241" i="4"/>
  <c r="BE241" i="4"/>
  <c r="BF240" i="4"/>
  <c r="BE240" i="4"/>
  <c r="BF239" i="4"/>
  <c r="BE239" i="4"/>
  <c r="BF238" i="4"/>
  <c r="BE238" i="4"/>
  <c r="BF237" i="4"/>
  <c r="BE237" i="4"/>
  <c r="BF236" i="4"/>
  <c r="BE236" i="4"/>
  <c r="BF235" i="4"/>
  <c r="BE235" i="4"/>
  <c r="BF234" i="4"/>
  <c r="BE234" i="4"/>
  <c r="BF233" i="4"/>
  <c r="BE233" i="4"/>
  <c r="BF232" i="4"/>
  <c r="BE232" i="4"/>
  <c r="BF231" i="4"/>
  <c r="BE231" i="4"/>
  <c r="BF230" i="4"/>
  <c r="BE230" i="4"/>
  <c r="BF229" i="4"/>
  <c r="BE229" i="4"/>
  <c r="BF228" i="4"/>
  <c r="BE228" i="4"/>
  <c r="BF227" i="4"/>
  <c r="BE227" i="4"/>
  <c r="BF226" i="4"/>
  <c r="BE226" i="4"/>
  <c r="BF225" i="4"/>
  <c r="BE225" i="4"/>
  <c r="BF224" i="4"/>
  <c r="BE224" i="4"/>
  <c r="BF223" i="4"/>
  <c r="BE223" i="4"/>
  <c r="BF222" i="4"/>
  <c r="BE222" i="4"/>
  <c r="BF221" i="4"/>
  <c r="BE221" i="4"/>
  <c r="BF220" i="4"/>
  <c r="BE220" i="4"/>
  <c r="BF219" i="4"/>
  <c r="BE219" i="4"/>
  <c r="BF218" i="4"/>
  <c r="BE218" i="4"/>
  <c r="BF217" i="4"/>
  <c r="BE217" i="4"/>
  <c r="BF216" i="4"/>
  <c r="BE216" i="4"/>
  <c r="BF215" i="4"/>
  <c r="BE215" i="4"/>
  <c r="BF214" i="4"/>
  <c r="BE214" i="4"/>
  <c r="BF213" i="4"/>
  <c r="BE213" i="4"/>
  <c r="BF212" i="4"/>
  <c r="BE212" i="4"/>
  <c r="BF211" i="4"/>
  <c r="BE211" i="4"/>
  <c r="BF210" i="4"/>
  <c r="BE210" i="4"/>
  <c r="BF209" i="4"/>
  <c r="BE209" i="4"/>
  <c r="BF208" i="4"/>
  <c r="BE208" i="4"/>
  <c r="BF207" i="4"/>
  <c r="BE207" i="4"/>
  <c r="BF206" i="4"/>
  <c r="BE206" i="4"/>
  <c r="BF205" i="4"/>
  <c r="BE205" i="4"/>
  <c r="BF204" i="4"/>
  <c r="BE204" i="4"/>
  <c r="BF203" i="4"/>
  <c r="BE203" i="4"/>
  <c r="BF202" i="4"/>
  <c r="BE202" i="4"/>
  <c r="BF201" i="4"/>
  <c r="BE201" i="4"/>
  <c r="BF200" i="4"/>
  <c r="BE200" i="4"/>
  <c r="BF199" i="4"/>
  <c r="BE199" i="4"/>
  <c r="BF198" i="4"/>
  <c r="BE198" i="4"/>
  <c r="BF197" i="4"/>
  <c r="BE197" i="4"/>
  <c r="BF196" i="4"/>
  <c r="BE196" i="4"/>
  <c r="BF195" i="4"/>
  <c r="BE195" i="4"/>
  <c r="BF194" i="4"/>
  <c r="BE194" i="4"/>
  <c r="BF193" i="4"/>
  <c r="BE193" i="4"/>
  <c r="BF192" i="4"/>
  <c r="BE192" i="4"/>
  <c r="BF191" i="4"/>
  <c r="BE191" i="4"/>
  <c r="BF190" i="4"/>
  <c r="BE190" i="4"/>
  <c r="BD189" i="4"/>
  <c r="BA189" i="4" s="1"/>
  <c r="BB189" i="4"/>
  <c r="AY189" i="4"/>
  <c r="AV189" i="4"/>
  <c r="AP189" i="4"/>
  <c r="AA189" i="4"/>
  <c r="BD188" i="4"/>
  <c r="BA188" i="4" s="1"/>
  <c r="BB188" i="4"/>
  <c r="AY188" i="4"/>
  <c r="AV188" i="4"/>
  <c r="AP188" i="4"/>
  <c r="AA188" i="4"/>
  <c r="BD187" i="4"/>
  <c r="BA187" i="4" s="1"/>
  <c r="BB187" i="4"/>
  <c r="AY187" i="4"/>
  <c r="AV187" i="4"/>
  <c r="AP187" i="4"/>
  <c r="AA187" i="4"/>
  <c r="BD186" i="4"/>
  <c r="BA186" i="4" s="1"/>
  <c r="BB186" i="4"/>
  <c r="AY186" i="4"/>
  <c r="AV186" i="4"/>
  <c r="AP186" i="4"/>
  <c r="AA186" i="4"/>
  <c r="BD185" i="4"/>
  <c r="BA185" i="4" s="1"/>
  <c r="BB185" i="4"/>
  <c r="AY185" i="4"/>
  <c r="AV185" i="4"/>
  <c r="AP185" i="4"/>
  <c r="AA185" i="4"/>
  <c r="BD184" i="4"/>
  <c r="BA184" i="4" s="1"/>
  <c r="BB184" i="4"/>
  <c r="AV184" i="4"/>
  <c r="AT184" i="4"/>
  <c r="AP184" i="4"/>
  <c r="AN184" i="4"/>
  <c r="AM184" i="4"/>
  <c r="AA184" i="4"/>
  <c r="BD183" i="4"/>
  <c r="BB183" i="4"/>
  <c r="AV183" i="4"/>
  <c r="AP183" i="4"/>
  <c r="AN183" i="4"/>
  <c r="AM183" i="4"/>
  <c r="AA183" i="4"/>
  <c r="BD182" i="4"/>
  <c r="BB182" i="4"/>
  <c r="AV182" i="4"/>
  <c r="AT182" i="4"/>
  <c r="AP182" i="4"/>
  <c r="AN182" i="4"/>
  <c r="AM182" i="4"/>
  <c r="AA182" i="4"/>
  <c r="BD181" i="4"/>
  <c r="BA181" i="4" s="1"/>
  <c r="BB181" i="4"/>
  <c r="AV181" i="4"/>
  <c r="AP181" i="4"/>
  <c r="AN181" i="4"/>
  <c r="AM181" i="4"/>
  <c r="AA181" i="4"/>
  <c r="BD180" i="4"/>
  <c r="BB180" i="4"/>
  <c r="AV180" i="4"/>
  <c r="AP180" i="4"/>
  <c r="AN180" i="4"/>
  <c r="AM180" i="4"/>
  <c r="AA180" i="4"/>
  <c r="BD179" i="4"/>
  <c r="BA179" i="4" s="1"/>
  <c r="BB179" i="4"/>
  <c r="AV179" i="4"/>
  <c r="AP179" i="4"/>
  <c r="AN179" i="4"/>
  <c r="AM179" i="4"/>
  <c r="AA179" i="4"/>
  <c r="BD178" i="4"/>
  <c r="AY178" i="4" s="1"/>
  <c r="BB178" i="4"/>
  <c r="AV178" i="4"/>
  <c r="AP178" i="4"/>
  <c r="AN178" i="4"/>
  <c r="AM178" i="4"/>
  <c r="AA178" i="4"/>
  <c r="BD177" i="4"/>
  <c r="BA177" i="4" s="1"/>
  <c r="BB177" i="4"/>
  <c r="AV177" i="4"/>
  <c r="AP177" i="4"/>
  <c r="AN177" i="4"/>
  <c r="AM177" i="4"/>
  <c r="AA177" i="4"/>
  <c r="BD176" i="4"/>
  <c r="AY176" i="4" s="1"/>
  <c r="BB176" i="4"/>
  <c r="AV176" i="4"/>
  <c r="AP176" i="4"/>
  <c r="AN176" i="4"/>
  <c r="AM176" i="4"/>
  <c r="AA176" i="4"/>
  <c r="BD175" i="4"/>
  <c r="AY175" i="4" s="1"/>
  <c r="BB175" i="4"/>
  <c r="AV175" i="4"/>
  <c r="AT175" i="4"/>
  <c r="AP175" i="4"/>
  <c r="AN175" i="4"/>
  <c r="AM175" i="4"/>
  <c r="AA175" i="4"/>
  <c r="BD174" i="4"/>
  <c r="BA174" i="4" s="1"/>
  <c r="BB174" i="4"/>
  <c r="AV174" i="4"/>
  <c r="AT174" i="4"/>
  <c r="AP174" i="4"/>
  <c r="AN174" i="4"/>
  <c r="AM174" i="4"/>
  <c r="AA174" i="4"/>
  <c r="BD173" i="4"/>
  <c r="BB173" i="4"/>
  <c r="AV173" i="4"/>
  <c r="AP173" i="4"/>
  <c r="AN173" i="4"/>
  <c r="AM173" i="4"/>
  <c r="AA173" i="4"/>
  <c r="BD172" i="4"/>
  <c r="AY172" i="4" s="1"/>
  <c r="BB172" i="4"/>
  <c r="AV172" i="4"/>
  <c r="AT172" i="4"/>
  <c r="AP172" i="4"/>
  <c r="AN172" i="4"/>
  <c r="AM172" i="4"/>
  <c r="AA172" i="4"/>
  <c r="BD171" i="4"/>
  <c r="BA171" i="4" s="1"/>
  <c r="BB171" i="4"/>
  <c r="AV171" i="4"/>
  <c r="AT171" i="4"/>
  <c r="AP171" i="4"/>
  <c r="AN171" i="4"/>
  <c r="AM171" i="4"/>
  <c r="AA171" i="4"/>
  <c r="BD170" i="4"/>
  <c r="AY170" i="4" s="1"/>
  <c r="BB170" i="4"/>
  <c r="AV170" i="4"/>
  <c r="AT170" i="4"/>
  <c r="AP170" i="4"/>
  <c r="AN170" i="4"/>
  <c r="AM170" i="4"/>
  <c r="AA170" i="4"/>
  <c r="BD169" i="4"/>
  <c r="BA169" i="4" s="1"/>
  <c r="BB169" i="4"/>
  <c r="AV169" i="4"/>
  <c r="AT169" i="4"/>
  <c r="AP169" i="4"/>
  <c r="AN169" i="4"/>
  <c r="AM169" i="4"/>
  <c r="AA169" i="4"/>
  <c r="BD168" i="4"/>
  <c r="BB168" i="4"/>
  <c r="AV168" i="4"/>
  <c r="AP168" i="4"/>
  <c r="AN168" i="4"/>
  <c r="AM168" i="4"/>
  <c r="AA168" i="4"/>
  <c r="BD167" i="4"/>
  <c r="BA167" i="4" s="1"/>
  <c r="BB167" i="4"/>
  <c r="AV167" i="4"/>
  <c r="AP167" i="4"/>
  <c r="AN167" i="4"/>
  <c r="AM167" i="4"/>
  <c r="AA167" i="4"/>
  <c r="BD166" i="4"/>
  <c r="BA166" i="4" s="1"/>
  <c r="BB166" i="4"/>
  <c r="AY166" i="4"/>
  <c r="AV166" i="4"/>
  <c r="AP166" i="4"/>
  <c r="AA166" i="4"/>
  <c r="BD165" i="4"/>
  <c r="BA165" i="4" s="1"/>
  <c r="BB165" i="4"/>
  <c r="AV165" i="4"/>
  <c r="AT165" i="4"/>
  <c r="AP165" i="4"/>
  <c r="AN165" i="4"/>
  <c r="AM165" i="4"/>
  <c r="AA165" i="4"/>
  <c r="BD164" i="4"/>
  <c r="BA164" i="4" s="1"/>
  <c r="BB164" i="4"/>
  <c r="AV164" i="4"/>
  <c r="AT164" i="4"/>
  <c r="AP164" i="4"/>
  <c r="AN164" i="4"/>
  <c r="AM164" i="4"/>
  <c r="AA164" i="4"/>
  <c r="BD163" i="4"/>
  <c r="BA163" i="4" s="1"/>
  <c r="BB163" i="4"/>
  <c r="AV163" i="4"/>
  <c r="AT163" i="4"/>
  <c r="AP163" i="4"/>
  <c r="AN163" i="4"/>
  <c r="AM163" i="4"/>
  <c r="AA163" i="4"/>
  <c r="BD162" i="4"/>
  <c r="BA162" i="4" s="1"/>
  <c r="BB162" i="4"/>
  <c r="AV162" i="4"/>
  <c r="AT162" i="4"/>
  <c r="AP162" i="4"/>
  <c r="AN162" i="4"/>
  <c r="AM162" i="4"/>
  <c r="AA162" i="4"/>
  <c r="BD161" i="4"/>
  <c r="BA161" i="4" s="1"/>
  <c r="BB161" i="4"/>
  <c r="AV161" i="4"/>
  <c r="AT161" i="4"/>
  <c r="AP161" i="4"/>
  <c r="AN161" i="4"/>
  <c r="AM161" i="4"/>
  <c r="AA161" i="4"/>
  <c r="BD160" i="4"/>
  <c r="AY160" i="4" s="1"/>
  <c r="BB160" i="4"/>
  <c r="AV160" i="4"/>
  <c r="AT160" i="4"/>
  <c r="AP160" i="4"/>
  <c r="AN160" i="4"/>
  <c r="AM160" i="4"/>
  <c r="AA160" i="4"/>
  <c r="BD159" i="4"/>
  <c r="BA159" i="4" s="1"/>
  <c r="BB159" i="4"/>
  <c r="AV159" i="4"/>
  <c r="AT159" i="4"/>
  <c r="AP159" i="4"/>
  <c r="AN159" i="4"/>
  <c r="AM159" i="4"/>
  <c r="AA159" i="4"/>
  <c r="BD158" i="4"/>
  <c r="BA158" i="4" s="1"/>
  <c r="BB158" i="4"/>
  <c r="AV158" i="4"/>
  <c r="AT158" i="4"/>
  <c r="AP158" i="4"/>
  <c r="AN158" i="4"/>
  <c r="AM158" i="4"/>
  <c r="AA158" i="4"/>
  <c r="BD157" i="4"/>
  <c r="BA157" i="4" s="1"/>
  <c r="BB157" i="4"/>
  <c r="AV157" i="4"/>
  <c r="AT157" i="4"/>
  <c r="AP157" i="4"/>
  <c r="AN157" i="4"/>
  <c r="AM157" i="4"/>
  <c r="AA157" i="4"/>
  <c r="BD156" i="4"/>
  <c r="BA156" i="4" s="1"/>
  <c r="BB156" i="4"/>
  <c r="AV156" i="4"/>
  <c r="AT156" i="4"/>
  <c r="AP156" i="4"/>
  <c r="AN156" i="4"/>
  <c r="AM156" i="4"/>
  <c r="AA156" i="4"/>
  <c r="BD155" i="4"/>
  <c r="BA155" i="4" s="1"/>
  <c r="BB155" i="4"/>
  <c r="AV155" i="4"/>
  <c r="AT155" i="4"/>
  <c r="AP155" i="4"/>
  <c r="AN155" i="4"/>
  <c r="AM155" i="4"/>
  <c r="AA155" i="4"/>
  <c r="BD154" i="4"/>
  <c r="AY154" i="4" s="1"/>
  <c r="BB154" i="4"/>
  <c r="AV154" i="4"/>
  <c r="AT154" i="4"/>
  <c r="AP154" i="4"/>
  <c r="AN154" i="4"/>
  <c r="AM154" i="4"/>
  <c r="AA154" i="4"/>
  <c r="BD153" i="4"/>
  <c r="BA153" i="4" s="1"/>
  <c r="BB153" i="4"/>
  <c r="AV153" i="4"/>
  <c r="AT153" i="4"/>
  <c r="AP153" i="4"/>
  <c r="AN153" i="4"/>
  <c r="AM153" i="4"/>
  <c r="AA153" i="4"/>
  <c r="BD152" i="4"/>
  <c r="BA152" i="4" s="1"/>
  <c r="BB152" i="4"/>
  <c r="AV152" i="4"/>
  <c r="AT152" i="4"/>
  <c r="AP152" i="4"/>
  <c r="AN152" i="4"/>
  <c r="AM152" i="4"/>
  <c r="AA152" i="4"/>
  <c r="BD151" i="4"/>
  <c r="AY151" i="4" s="1"/>
  <c r="BB151" i="4"/>
  <c r="AV151" i="4"/>
  <c r="AT151" i="4"/>
  <c r="AP151" i="4"/>
  <c r="AN151" i="4"/>
  <c r="AM151" i="4"/>
  <c r="AA151" i="4"/>
  <c r="BD150" i="4"/>
  <c r="BA150" i="4" s="1"/>
  <c r="BB150" i="4"/>
  <c r="AV150" i="4"/>
  <c r="AT150" i="4"/>
  <c r="AP150" i="4"/>
  <c r="AN150" i="4"/>
  <c r="AM150" i="4"/>
  <c r="AA150" i="4"/>
  <c r="BD149" i="4"/>
  <c r="BA149" i="4" s="1"/>
  <c r="BB149" i="4"/>
  <c r="AV149" i="4"/>
  <c r="AT149" i="4"/>
  <c r="AP149" i="4"/>
  <c r="AN149" i="4"/>
  <c r="AM149" i="4"/>
  <c r="AA149" i="4"/>
  <c r="BD148" i="4"/>
  <c r="AY148" i="4" s="1"/>
  <c r="BB148" i="4"/>
  <c r="AV148" i="4"/>
  <c r="AT148" i="4"/>
  <c r="AP148" i="4"/>
  <c r="AN148" i="4"/>
  <c r="AM148" i="4"/>
  <c r="AA148" i="4"/>
  <c r="BD147" i="4"/>
  <c r="BA147" i="4" s="1"/>
  <c r="BB147" i="4"/>
  <c r="AV147" i="4"/>
  <c r="AT147" i="4"/>
  <c r="AP147" i="4"/>
  <c r="AN147" i="4"/>
  <c r="AM147" i="4"/>
  <c r="AA147" i="4"/>
  <c r="BD146" i="4"/>
  <c r="BA146" i="4" s="1"/>
  <c r="BB146" i="4"/>
  <c r="AV146" i="4"/>
  <c r="AT146" i="4"/>
  <c r="AP146" i="4"/>
  <c r="AN146" i="4"/>
  <c r="AM146" i="4"/>
  <c r="AA146" i="4"/>
  <c r="BD145" i="4"/>
  <c r="BA145" i="4" s="1"/>
  <c r="BB145" i="4"/>
  <c r="AV145" i="4"/>
  <c r="AT145" i="4"/>
  <c r="AP145" i="4"/>
  <c r="AN145" i="4"/>
  <c r="AM145" i="4"/>
  <c r="AA145" i="4"/>
  <c r="BD144" i="4"/>
  <c r="BA144" i="4" s="1"/>
  <c r="BB144" i="4"/>
  <c r="AV144" i="4"/>
  <c r="AT144" i="4"/>
  <c r="AP144" i="4"/>
  <c r="AN144" i="4"/>
  <c r="AM144" i="4"/>
  <c r="AA144" i="4"/>
  <c r="BD143" i="4"/>
  <c r="BA143" i="4" s="1"/>
  <c r="BB143" i="4"/>
  <c r="AV143" i="4"/>
  <c r="AT143" i="4"/>
  <c r="AP143" i="4"/>
  <c r="AN143" i="4"/>
  <c r="AM143" i="4"/>
  <c r="AA143" i="4"/>
  <c r="BD142" i="4"/>
  <c r="AY142" i="4" s="1"/>
  <c r="BB142" i="4"/>
  <c r="AV142" i="4"/>
  <c r="AT142" i="4"/>
  <c r="AP142" i="4"/>
  <c r="AN142" i="4"/>
  <c r="AM142" i="4"/>
  <c r="AA142" i="4"/>
  <c r="BD141" i="4"/>
  <c r="BA141" i="4" s="1"/>
  <c r="BB141" i="4"/>
  <c r="AV141" i="4"/>
  <c r="AT141" i="4"/>
  <c r="AP141" i="4"/>
  <c r="AN141" i="4"/>
  <c r="AM141" i="4"/>
  <c r="AA141" i="4"/>
  <c r="BD140" i="4"/>
  <c r="BA140" i="4" s="1"/>
  <c r="BB140" i="4"/>
  <c r="AV140" i="4"/>
  <c r="AT140" i="4"/>
  <c r="AP140" i="4"/>
  <c r="AN140" i="4"/>
  <c r="AM140" i="4"/>
  <c r="AA140" i="4"/>
  <c r="BD139" i="4"/>
  <c r="BA139" i="4" s="1"/>
  <c r="BB139" i="4"/>
  <c r="AV139" i="4"/>
  <c r="AT139" i="4"/>
  <c r="AP139" i="4"/>
  <c r="AN139" i="4"/>
  <c r="AM139" i="4"/>
  <c r="AA139" i="4"/>
  <c r="BD138" i="4"/>
  <c r="BA138" i="4" s="1"/>
  <c r="BB138" i="4"/>
  <c r="AV138" i="4"/>
  <c r="AT138" i="4"/>
  <c r="AP138" i="4"/>
  <c r="AN138" i="4"/>
  <c r="AM138" i="4"/>
  <c r="AA138" i="4"/>
  <c r="BD137" i="4"/>
  <c r="BA137" i="4" s="1"/>
  <c r="BB137" i="4"/>
  <c r="AV137" i="4"/>
  <c r="AT137" i="4"/>
  <c r="AP137" i="4"/>
  <c r="AN137" i="4"/>
  <c r="AM137" i="4"/>
  <c r="AA137" i="4"/>
  <c r="BD136" i="4"/>
  <c r="AY136" i="4" s="1"/>
  <c r="BB136" i="4"/>
  <c r="AV136" i="4"/>
  <c r="AT136" i="4"/>
  <c r="AP136" i="4"/>
  <c r="AN136" i="4"/>
  <c r="AM136" i="4"/>
  <c r="AA136" i="4"/>
  <c r="BD135" i="4"/>
  <c r="BA135" i="4" s="1"/>
  <c r="BB135" i="4"/>
  <c r="AV135" i="4"/>
  <c r="AT135" i="4"/>
  <c r="AP135" i="4"/>
  <c r="AN135" i="4"/>
  <c r="AM135" i="4"/>
  <c r="AA135" i="4"/>
  <c r="BD134" i="4"/>
  <c r="BA134" i="4" s="1"/>
  <c r="BB134" i="4"/>
  <c r="AV134" i="4"/>
  <c r="AT134" i="4"/>
  <c r="AP134" i="4"/>
  <c r="AN134" i="4"/>
  <c r="AM134" i="4"/>
  <c r="AA134" i="4"/>
  <c r="BD133" i="4"/>
  <c r="AY133" i="4" s="1"/>
  <c r="BB133" i="4"/>
  <c r="AV133" i="4"/>
  <c r="AT133" i="4"/>
  <c r="AP133" i="4"/>
  <c r="AN133" i="4"/>
  <c r="AM133" i="4"/>
  <c r="AA133" i="4"/>
  <c r="BD132" i="4"/>
  <c r="BA132" i="4" s="1"/>
  <c r="BB132" i="4"/>
  <c r="AV132" i="4"/>
  <c r="AT132" i="4"/>
  <c r="AP132" i="4"/>
  <c r="AN132" i="4"/>
  <c r="AM132" i="4"/>
  <c r="AA132" i="4"/>
  <c r="BD131" i="4"/>
  <c r="BA131" i="4" s="1"/>
  <c r="BB131" i="4"/>
  <c r="AV131" i="4"/>
  <c r="AT131" i="4"/>
  <c r="AP131" i="4"/>
  <c r="AN131" i="4"/>
  <c r="AM131" i="4"/>
  <c r="AA131" i="4"/>
  <c r="BD130" i="4"/>
  <c r="AY130" i="4" s="1"/>
  <c r="BB130" i="4"/>
  <c r="AV130" i="4"/>
  <c r="AT130" i="4"/>
  <c r="AP130" i="4"/>
  <c r="AN130" i="4"/>
  <c r="AM130" i="4"/>
  <c r="AA130" i="4"/>
  <c r="BD129" i="4"/>
  <c r="BA129" i="4" s="1"/>
  <c r="BB129" i="4"/>
  <c r="AV129" i="4"/>
  <c r="AT129" i="4"/>
  <c r="AP129" i="4"/>
  <c r="AN129" i="4"/>
  <c r="AM129" i="4"/>
  <c r="AA129" i="4"/>
  <c r="BD128" i="4"/>
  <c r="BA128" i="4" s="1"/>
  <c r="BB128" i="4"/>
  <c r="AV128" i="4"/>
  <c r="AT128" i="4"/>
  <c r="AP128" i="4"/>
  <c r="AN128" i="4"/>
  <c r="AM128" i="4"/>
  <c r="AA128" i="4"/>
  <c r="BD127" i="4"/>
  <c r="BA127" i="4" s="1"/>
  <c r="BB127" i="4"/>
  <c r="AV127" i="4"/>
  <c r="AT127" i="4"/>
  <c r="AP127" i="4"/>
  <c r="AN127" i="4"/>
  <c r="AM127" i="4"/>
  <c r="AA127" i="4"/>
  <c r="BD126" i="4"/>
  <c r="BA126" i="4" s="1"/>
  <c r="BB126" i="4"/>
  <c r="AV126" i="4"/>
  <c r="AT126" i="4"/>
  <c r="AP126" i="4"/>
  <c r="AN126" i="4"/>
  <c r="AM126" i="4"/>
  <c r="AA126" i="4"/>
  <c r="BD125" i="4"/>
  <c r="BA125" i="4" s="1"/>
  <c r="BB125" i="4"/>
  <c r="AV125" i="4"/>
  <c r="AT125" i="4"/>
  <c r="AP125" i="4"/>
  <c r="AN125" i="4"/>
  <c r="AM125" i="4"/>
  <c r="AA125" i="4"/>
  <c r="BD124" i="4"/>
  <c r="AY124" i="4" s="1"/>
  <c r="BB124" i="4"/>
  <c r="AV124" i="4"/>
  <c r="AT124" i="4"/>
  <c r="AP124" i="4"/>
  <c r="AN124" i="4"/>
  <c r="AM124" i="4"/>
  <c r="AA124" i="4"/>
  <c r="BD123" i="4"/>
  <c r="BA123" i="4" s="1"/>
  <c r="BB123" i="4"/>
  <c r="AV123" i="4"/>
  <c r="AT123" i="4"/>
  <c r="AP123" i="4"/>
  <c r="AN123" i="4"/>
  <c r="AM123" i="4"/>
  <c r="AA123" i="4"/>
  <c r="BD122" i="4"/>
  <c r="BA122" i="4" s="1"/>
  <c r="BB122" i="4"/>
  <c r="AV122" i="4"/>
  <c r="AT122" i="4"/>
  <c r="AP122" i="4"/>
  <c r="AN122" i="4"/>
  <c r="AM122" i="4"/>
  <c r="AA122" i="4"/>
  <c r="BD121" i="4"/>
  <c r="BA121" i="4" s="1"/>
  <c r="BB121" i="4"/>
  <c r="AV121" i="4"/>
  <c r="AT121" i="4"/>
  <c r="AP121" i="4"/>
  <c r="AN121" i="4"/>
  <c r="AM121" i="4"/>
  <c r="AA121" i="4"/>
  <c r="BD120" i="4"/>
  <c r="BA120" i="4" s="1"/>
  <c r="BB120" i="4"/>
  <c r="AV120" i="4"/>
  <c r="AT120" i="4"/>
  <c r="AP120" i="4"/>
  <c r="AN120" i="4"/>
  <c r="AM120" i="4"/>
  <c r="AA120" i="4"/>
  <c r="BD119" i="4"/>
  <c r="BA119" i="4" s="1"/>
  <c r="BB119" i="4"/>
  <c r="AV119" i="4"/>
  <c r="AT119" i="4"/>
  <c r="AP119" i="4"/>
  <c r="AN119" i="4"/>
  <c r="AM119" i="4"/>
  <c r="AA119" i="4"/>
  <c r="BD117" i="4"/>
  <c r="BB117" i="4"/>
  <c r="AV117" i="4"/>
  <c r="AT117" i="4"/>
  <c r="AP117" i="4"/>
  <c r="AN117" i="4"/>
  <c r="AM117" i="4"/>
  <c r="AA117" i="4"/>
  <c r="BD116" i="4"/>
  <c r="BA116" i="4" s="1"/>
  <c r="BB116" i="4"/>
  <c r="AV116" i="4"/>
  <c r="AT116" i="4"/>
  <c r="AP116" i="4"/>
  <c r="AN116" i="4"/>
  <c r="AM116" i="4"/>
  <c r="AA116" i="4"/>
  <c r="BD115" i="4"/>
  <c r="BA115" i="4" s="1"/>
  <c r="BB115" i="4"/>
  <c r="AV115" i="4"/>
  <c r="AT115" i="4"/>
  <c r="AP115" i="4"/>
  <c r="AN115" i="4"/>
  <c r="AM115" i="4"/>
  <c r="AA115" i="4"/>
  <c r="BD114" i="4"/>
  <c r="BA114" i="4" s="1"/>
  <c r="BB114" i="4"/>
  <c r="AV114" i="4"/>
  <c r="AT114" i="4"/>
  <c r="AP114" i="4"/>
  <c r="AN114" i="4"/>
  <c r="AM114" i="4"/>
  <c r="AA114" i="4"/>
  <c r="BD113" i="4"/>
  <c r="AY113" i="4" s="1"/>
  <c r="BB113" i="4"/>
  <c r="AV113" i="4"/>
  <c r="AT113" i="4"/>
  <c r="AP113" i="4"/>
  <c r="AN113" i="4"/>
  <c r="AM113" i="4"/>
  <c r="AA113" i="4"/>
  <c r="BD112" i="4"/>
  <c r="BA112" i="4" s="1"/>
  <c r="BB112" i="4"/>
  <c r="AV112" i="4"/>
  <c r="AT112" i="4"/>
  <c r="AP112" i="4"/>
  <c r="AN112" i="4"/>
  <c r="AM112" i="4"/>
  <c r="AA112" i="4"/>
  <c r="BD111" i="4"/>
  <c r="BB111" i="4"/>
  <c r="AV111" i="4"/>
  <c r="AT111" i="4"/>
  <c r="AP111" i="4"/>
  <c r="AN111" i="4"/>
  <c r="AM111" i="4"/>
  <c r="AA111" i="4"/>
  <c r="BD110" i="4"/>
  <c r="BA110" i="4" s="1"/>
  <c r="BB110" i="4"/>
  <c r="AV110" i="4"/>
  <c r="AT110" i="4"/>
  <c r="AP110" i="4"/>
  <c r="AN110" i="4"/>
  <c r="AM110" i="4"/>
  <c r="AA110" i="4"/>
  <c r="BD109" i="4"/>
  <c r="BA109" i="4" s="1"/>
  <c r="BB109" i="4"/>
  <c r="AV109" i="4"/>
  <c r="AT109" i="4"/>
  <c r="AP109" i="4"/>
  <c r="AN109" i="4"/>
  <c r="AM109" i="4"/>
  <c r="AA109" i="4"/>
  <c r="BD108" i="4"/>
  <c r="BA108" i="4" s="1"/>
  <c r="BB108" i="4"/>
  <c r="AV108" i="4"/>
  <c r="AT108" i="4"/>
  <c r="AP108" i="4"/>
  <c r="AN108" i="4"/>
  <c r="AM108" i="4"/>
  <c r="AA108" i="4"/>
  <c r="BD107" i="4"/>
  <c r="AY107" i="4" s="1"/>
  <c r="BB107" i="4"/>
  <c r="AV107" i="4"/>
  <c r="AT107" i="4"/>
  <c r="AP107" i="4"/>
  <c r="AN107" i="4"/>
  <c r="AM107" i="4"/>
  <c r="AA107" i="4"/>
  <c r="BD106" i="4"/>
  <c r="AY106" i="4" s="1"/>
  <c r="BB106" i="4"/>
  <c r="AV106" i="4"/>
  <c r="AT106" i="4"/>
  <c r="AP106" i="4"/>
  <c r="AN106" i="4"/>
  <c r="AM106" i="4"/>
  <c r="AA106" i="4"/>
  <c r="BD105" i="4"/>
  <c r="BA105" i="4" s="1"/>
  <c r="BB105" i="4"/>
  <c r="AV105" i="4"/>
  <c r="AT105" i="4"/>
  <c r="AP105" i="4"/>
  <c r="AN105" i="4"/>
  <c r="AM105" i="4"/>
  <c r="AA105" i="4"/>
  <c r="BD104" i="4"/>
  <c r="BB104" i="4"/>
  <c r="AV104" i="4"/>
  <c r="AT104" i="4"/>
  <c r="AP104" i="4"/>
  <c r="AN104" i="4"/>
  <c r="AM104" i="4"/>
  <c r="AA104" i="4"/>
  <c r="BD103" i="4"/>
  <c r="BB103" i="4"/>
  <c r="AV103" i="4"/>
  <c r="AT103" i="4"/>
  <c r="AP103" i="4"/>
  <c r="AN103" i="4"/>
  <c r="AM103" i="4"/>
  <c r="AA103" i="4"/>
  <c r="BD102" i="4"/>
  <c r="AY102" i="4" s="1"/>
  <c r="BB102" i="4"/>
  <c r="AV102" i="4"/>
  <c r="AT102" i="4"/>
  <c r="AP102" i="4"/>
  <c r="AN102" i="4"/>
  <c r="AM102" i="4"/>
  <c r="AA102" i="4"/>
  <c r="BD101" i="4"/>
  <c r="BA101" i="4" s="1"/>
  <c r="BB101" i="4"/>
  <c r="AV101" i="4"/>
  <c r="AT101" i="4"/>
  <c r="AP101" i="4"/>
  <c r="AN101" i="4"/>
  <c r="AM101" i="4"/>
  <c r="AA101" i="4"/>
  <c r="BD100" i="4"/>
  <c r="BA100" i="4" s="1"/>
  <c r="BB100" i="4"/>
  <c r="AV100" i="4"/>
  <c r="AT100" i="4"/>
  <c r="AP100" i="4"/>
  <c r="AN100" i="4"/>
  <c r="AM100" i="4"/>
  <c r="AA100" i="4"/>
  <c r="BD99" i="4"/>
  <c r="BA99" i="4" s="1"/>
  <c r="BB99" i="4"/>
  <c r="AV99" i="4"/>
  <c r="AT99" i="4"/>
  <c r="AP99" i="4"/>
  <c r="AN99" i="4"/>
  <c r="AM99" i="4"/>
  <c r="AA99" i="4"/>
  <c r="BD98" i="4"/>
  <c r="BA98" i="4" s="1"/>
  <c r="BB98" i="4"/>
  <c r="AV98" i="4"/>
  <c r="AT98" i="4"/>
  <c r="AP98" i="4"/>
  <c r="AN98" i="4"/>
  <c r="AM98" i="4"/>
  <c r="AA98" i="4"/>
  <c r="BD97" i="4"/>
  <c r="BA97" i="4" s="1"/>
  <c r="BB97" i="4"/>
  <c r="AV97" i="4"/>
  <c r="AT97" i="4"/>
  <c r="AP97" i="4"/>
  <c r="AN97" i="4"/>
  <c r="AM97" i="4"/>
  <c r="AA97" i="4"/>
  <c r="BD96" i="4"/>
  <c r="AY96" i="4" s="1"/>
  <c r="BB96" i="4"/>
  <c r="AV96" i="4"/>
  <c r="AT96" i="4"/>
  <c r="AP96" i="4"/>
  <c r="AN96" i="4"/>
  <c r="AM96" i="4"/>
  <c r="AA96" i="4"/>
  <c r="BD95" i="4"/>
  <c r="BA95" i="4" s="1"/>
  <c r="BB95" i="4"/>
  <c r="AV95" i="4"/>
  <c r="AT95" i="4"/>
  <c r="AP95" i="4"/>
  <c r="AN95" i="4"/>
  <c r="AM95" i="4"/>
  <c r="AA95" i="4"/>
  <c r="BD94" i="4"/>
  <c r="BA94" i="4" s="1"/>
  <c r="BB94" i="4"/>
  <c r="AV94" i="4"/>
  <c r="AT94" i="4"/>
  <c r="AP94" i="4"/>
  <c r="AN94" i="4"/>
  <c r="AM94" i="4"/>
  <c r="AA94" i="4"/>
  <c r="BD93" i="4"/>
  <c r="BA93" i="4" s="1"/>
  <c r="BB93" i="4"/>
  <c r="AV93" i="4"/>
  <c r="AT93" i="4"/>
  <c r="AP93" i="4"/>
  <c r="AN93" i="4"/>
  <c r="AM93" i="4"/>
  <c r="AA93" i="4"/>
  <c r="BD92" i="4"/>
  <c r="BA92" i="4" s="1"/>
  <c r="BB92" i="4"/>
  <c r="AV92" i="4"/>
  <c r="AT92" i="4"/>
  <c r="AP92" i="4"/>
  <c r="AN92" i="4"/>
  <c r="AM92" i="4"/>
  <c r="AA92" i="4"/>
  <c r="BD91" i="4"/>
  <c r="BA91" i="4" s="1"/>
  <c r="BB91" i="4"/>
  <c r="AV91" i="4"/>
  <c r="AT91" i="4"/>
  <c r="AP91" i="4"/>
  <c r="AN91" i="4"/>
  <c r="AM91" i="4"/>
  <c r="AA91" i="4"/>
  <c r="BD90" i="4"/>
  <c r="AY90" i="4" s="1"/>
  <c r="BB90" i="4"/>
  <c r="AV90" i="4"/>
  <c r="AT90" i="4"/>
  <c r="AP90" i="4"/>
  <c r="AN90" i="4"/>
  <c r="AM90" i="4"/>
  <c r="AA90" i="4"/>
  <c r="BD89" i="4"/>
  <c r="BA89" i="4" s="1"/>
  <c r="BB89" i="4"/>
  <c r="AV89" i="4"/>
  <c r="AT89" i="4"/>
  <c r="AP89" i="4"/>
  <c r="AN89" i="4"/>
  <c r="AM89" i="4"/>
  <c r="AA89" i="4"/>
  <c r="BD88" i="4"/>
  <c r="BA88" i="4" s="1"/>
  <c r="BB88" i="4"/>
  <c r="AV88" i="4"/>
  <c r="AT88" i="4"/>
  <c r="AP88" i="4"/>
  <c r="AN88" i="4"/>
  <c r="AM88" i="4"/>
  <c r="AA88" i="4"/>
  <c r="BD87" i="4"/>
  <c r="BA87" i="4" s="1"/>
  <c r="BB87" i="4"/>
  <c r="AV87" i="4"/>
  <c r="AT87" i="4"/>
  <c r="AP87" i="4"/>
  <c r="AN87" i="4"/>
  <c r="AM87" i="4"/>
  <c r="AA87" i="4"/>
  <c r="BD86" i="4"/>
  <c r="BA86" i="4" s="1"/>
  <c r="BB86" i="4"/>
  <c r="AV86" i="4"/>
  <c r="AT86" i="4"/>
  <c r="AP86" i="4"/>
  <c r="AN86" i="4"/>
  <c r="AM86" i="4"/>
  <c r="AA86" i="4"/>
  <c r="BD85" i="4"/>
  <c r="BA85" i="4" s="1"/>
  <c r="BB85" i="4"/>
  <c r="AV85" i="4"/>
  <c r="AT85" i="4"/>
  <c r="AP85" i="4"/>
  <c r="AN85" i="4"/>
  <c r="AM85" i="4"/>
  <c r="AA85" i="4"/>
  <c r="BD84" i="4"/>
  <c r="AY84" i="4" s="1"/>
  <c r="BB84" i="4"/>
  <c r="AV84" i="4"/>
  <c r="AT84" i="4"/>
  <c r="AP84" i="4"/>
  <c r="AN84" i="4"/>
  <c r="AM84" i="4"/>
  <c r="AA84" i="4"/>
  <c r="BD83" i="4"/>
  <c r="BB83" i="4"/>
  <c r="AV83" i="4"/>
  <c r="AT83" i="4"/>
  <c r="AP83" i="4"/>
  <c r="AN83" i="4"/>
  <c r="AM83" i="4"/>
  <c r="AA83" i="4"/>
  <c r="BD82" i="4"/>
  <c r="BB82" i="4"/>
  <c r="AV82" i="4"/>
  <c r="AT82" i="4"/>
  <c r="AP82" i="4"/>
  <c r="AN82" i="4"/>
  <c r="AM82" i="4"/>
  <c r="AA82" i="4"/>
  <c r="BD81" i="4"/>
  <c r="BB81" i="4"/>
  <c r="AV81" i="4"/>
  <c r="AT81" i="4"/>
  <c r="AP81" i="4"/>
  <c r="AN81" i="4"/>
  <c r="AM81" i="4"/>
  <c r="AA81" i="4"/>
  <c r="BD80" i="4"/>
  <c r="BB80" i="4"/>
  <c r="AV80" i="4"/>
  <c r="AT80" i="4"/>
  <c r="AP80" i="4"/>
  <c r="AN80" i="4"/>
  <c r="AM80" i="4"/>
  <c r="AA80" i="4"/>
  <c r="BD79" i="4"/>
  <c r="BB79" i="4"/>
  <c r="AV79" i="4"/>
  <c r="AT79" i="4"/>
  <c r="AP79" i="4"/>
  <c r="AN79" i="4"/>
  <c r="AM79" i="4"/>
  <c r="AA79" i="4"/>
  <c r="BD78" i="4"/>
  <c r="BB78" i="4"/>
  <c r="AV78" i="4"/>
  <c r="AT78" i="4"/>
  <c r="AP78" i="4"/>
  <c r="AN78" i="4"/>
  <c r="AM78" i="4"/>
  <c r="AA78" i="4"/>
  <c r="BD77" i="4"/>
  <c r="BB77" i="4"/>
  <c r="AV77" i="4"/>
  <c r="AT77" i="4"/>
  <c r="AP77" i="4"/>
  <c r="AN77" i="4"/>
  <c r="AM77" i="4"/>
  <c r="AA77" i="4"/>
  <c r="BD76" i="4"/>
  <c r="BB76" i="4"/>
  <c r="AV76" i="4"/>
  <c r="AT76" i="4"/>
  <c r="AP76" i="4"/>
  <c r="AN76" i="4"/>
  <c r="AM76" i="4"/>
  <c r="AA76" i="4"/>
  <c r="BD75" i="4"/>
  <c r="BB75" i="4"/>
  <c r="AV75" i="4"/>
  <c r="AT75" i="4"/>
  <c r="AP75" i="4"/>
  <c r="AN75" i="4"/>
  <c r="AM75" i="4"/>
  <c r="AA75" i="4"/>
  <c r="BD74" i="4"/>
  <c r="BB74" i="4"/>
  <c r="AV74" i="4"/>
  <c r="AT74" i="4"/>
  <c r="AP74" i="4"/>
  <c r="AN74" i="4"/>
  <c r="AM74" i="4"/>
  <c r="AA74" i="4"/>
  <c r="BD73" i="4"/>
  <c r="BB73" i="4"/>
  <c r="AV73" i="4"/>
  <c r="AT73" i="4"/>
  <c r="AP73" i="4"/>
  <c r="AN73" i="4"/>
  <c r="AM73" i="4"/>
  <c r="AA73" i="4"/>
  <c r="BD72" i="4"/>
  <c r="BB72" i="4"/>
  <c r="AV72" i="4"/>
  <c r="AT72" i="4"/>
  <c r="AP72" i="4"/>
  <c r="AN72" i="4"/>
  <c r="AM72" i="4"/>
  <c r="AA72" i="4"/>
  <c r="BD71" i="4"/>
  <c r="BB71" i="4"/>
  <c r="AV71" i="4"/>
  <c r="AT71" i="4"/>
  <c r="AP71" i="4"/>
  <c r="AN71" i="4"/>
  <c r="AM71" i="4"/>
  <c r="AA71" i="4"/>
  <c r="BD70" i="4"/>
  <c r="BB70" i="4"/>
  <c r="AV70" i="4"/>
  <c r="AT70" i="4"/>
  <c r="AP70" i="4"/>
  <c r="AN70" i="4"/>
  <c r="AM70" i="4"/>
  <c r="AA70" i="4"/>
  <c r="BD69" i="4"/>
  <c r="BB69" i="4"/>
  <c r="AV69" i="4"/>
  <c r="AT69" i="4"/>
  <c r="AP69" i="4"/>
  <c r="AN69" i="4"/>
  <c r="AM69" i="4"/>
  <c r="AA69" i="4"/>
  <c r="BD68" i="4"/>
  <c r="BB68" i="4"/>
  <c r="AV68" i="4"/>
  <c r="AT68" i="4"/>
  <c r="AP68" i="4"/>
  <c r="AN68" i="4"/>
  <c r="AM68" i="4"/>
  <c r="AA68" i="4"/>
  <c r="BD67" i="4"/>
  <c r="BB67" i="4"/>
  <c r="AV67" i="4"/>
  <c r="AT67" i="4"/>
  <c r="AP67" i="4"/>
  <c r="AN67" i="4"/>
  <c r="AM67" i="4"/>
  <c r="AA67" i="4"/>
  <c r="BD66" i="4"/>
  <c r="BB66" i="4"/>
  <c r="AV66" i="4"/>
  <c r="AT66" i="4"/>
  <c r="AP66" i="4"/>
  <c r="AN66" i="4"/>
  <c r="AM66" i="4"/>
  <c r="AA66" i="4"/>
  <c r="BD65" i="4"/>
  <c r="BA65" i="4" s="1"/>
  <c r="BB65" i="4"/>
  <c r="AV65" i="4"/>
  <c r="AT65" i="4"/>
  <c r="AP65" i="4"/>
  <c r="AN65" i="4"/>
  <c r="AM65" i="4"/>
  <c r="AA65" i="4"/>
  <c r="BD64" i="4"/>
  <c r="BB64" i="4"/>
  <c r="AV64" i="4"/>
  <c r="AT64" i="4"/>
  <c r="AP64" i="4"/>
  <c r="AN64" i="4"/>
  <c r="AM64" i="4"/>
  <c r="AA64" i="4"/>
  <c r="BD63" i="4"/>
  <c r="AY63" i="4" s="1"/>
  <c r="BB63" i="4"/>
  <c r="AV63" i="4"/>
  <c r="AT63" i="4"/>
  <c r="AP63" i="4"/>
  <c r="AN63" i="4"/>
  <c r="AM63" i="4"/>
  <c r="AA63" i="4"/>
  <c r="BD62" i="4"/>
  <c r="BA62" i="4" s="1"/>
  <c r="BB62" i="4"/>
  <c r="AV62" i="4"/>
  <c r="AT62" i="4"/>
  <c r="AP62" i="4"/>
  <c r="AN62" i="4"/>
  <c r="AM62" i="4"/>
  <c r="AA62" i="4"/>
  <c r="BD61" i="4"/>
  <c r="BA61" i="4" s="1"/>
  <c r="BB61" i="4"/>
  <c r="AV61" i="4"/>
  <c r="AT61" i="4"/>
  <c r="AP61" i="4"/>
  <c r="AN61" i="4"/>
  <c r="AM61" i="4"/>
  <c r="AA61" i="4"/>
  <c r="BD60" i="4"/>
  <c r="AY60" i="4" s="1"/>
  <c r="BB60" i="4"/>
  <c r="AV60" i="4"/>
  <c r="AT60" i="4"/>
  <c r="AP60" i="4"/>
  <c r="AN60" i="4"/>
  <c r="AM60" i="4"/>
  <c r="AA60" i="4"/>
  <c r="BD59" i="4"/>
  <c r="BA59" i="4" s="1"/>
  <c r="BB59" i="4"/>
  <c r="AV59" i="4"/>
  <c r="AT59" i="4"/>
  <c r="AP59" i="4"/>
  <c r="AN59" i="4"/>
  <c r="AM59" i="4"/>
  <c r="AA59" i="4"/>
  <c r="BD58" i="4"/>
  <c r="AY58" i="4" s="1"/>
  <c r="BB58" i="4"/>
  <c r="AV58" i="4"/>
  <c r="AT58" i="4"/>
  <c r="AP58" i="4"/>
  <c r="AN58" i="4"/>
  <c r="AM58" i="4"/>
  <c r="AA58" i="4"/>
  <c r="BD57" i="4"/>
  <c r="BA57" i="4" s="1"/>
  <c r="BB57" i="4"/>
  <c r="AV57" i="4"/>
  <c r="AT57" i="4"/>
  <c r="AP57" i="4"/>
  <c r="AN57" i="4"/>
  <c r="AM57" i="4"/>
  <c r="AA57" i="4"/>
  <c r="BD56" i="4"/>
  <c r="BA56" i="4" s="1"/>
  <c r="BB56" i="4"/>
  <c r="AV56" i="4"/>
  <c r="AT56" i="4"/>
  <c r="AP56" i="4"/>
  <c r="AN56" i="4"/>
  <c r="AM56" i="4"/>
  <c r="AA56" i="4"/>
  <c r="BD55" i="4"/>
  <c r="AY55" i="4" s="1"/>
  <c r="BB55" i="4"/>
  <c r="AV55" i="4"/>
  <c r="AT55" i="4"/>
  <c r="AP55" i="4"/>
  <c r="AN55" i="4"/>
  <c r="AM55" i="4"/>
  <c r="AA55" i="4"/>
  <c r="BD54" i="4"/>
  <c r="AY54" i="4" s="1"/>
  <c r="BB54" i="4"/>
  <c r="AV54" i="4"/>
  <c r="AT54" i="4"/>
  <c r="AP54" i="4"/>
  <c r="AN54" i="4"/>
  <c r="AM54" i="4"/>
  <c r="AA54" i="4"/>
  <c r="BD53" i="4"/>
  <c r="BA53" i="4" s="1"/>
  <c r="BB53" i="4"/>
  <c r="AV53" i="4"/>
  <c r="AP53" i="4"/>
  <c r="AN53" i="4"/>
  <c r="AM53" i="4"/>
  <c r="AA53" i="4"/>
  <c r="BD52" i="4"/>
  <c r="BA52" i="4" s="1"/>
  <c r="BB52" i="4"/>
  <c r="AV52" i="4"/>
  <c r="AP52" i="4"/>
  <c r="AN52" i="4"/>
  <c r="AM52" i="4"/>
  <c r="AA52" i="4"/>
  <c r="BD51" i="4"/>
  <c r="BA51" i="4" s="1"/>
  <c r="BB51" i="4"/>
  <c r="AV51" i="4"/>
  <c r="AT51" i="4"/>
  <c r="AP51" i="4"/>
  <c r="AN51" i="4"/>
  <c r="AM51" i="4"/>
  <c r="AA51" i="4"/>
  <c r="BD50" i="4"/>
  <c r="AY50" i="4" s="1"/>
  <c r="BB50" i="4"/>
  <c r="AV50" i="4"/>
  <c r="AT50" i="4"/>
  <c r="AP50" i="4"/>
  <c r="AN50" i="4"/>
  <c r="AM50" i="4"/>
  <c r="AA50" i="4"/>
  <c r="BD49" i="4"/>
  <c r="BA49" i="4" s="1"/>
  <c r="BB49" i="4"/>
  <c r="AV49" i="4"/>
  <c r="AT49" i="4"/>
  <c r="AP49" i="4"/>
  <c r="AN49" i="4"/>
  <c r="AM49" i="4"/>
  <c r="AA49" i="4"/>
  <c r="BD48" i="4"/>
  <c r="BA48" i="4" s="1"/>
  <c r="BB48" i="4"/>
  <c r="AV48" i="4"/>
  <c r="AT48" i="4"/>
  <c r="AP48" i="4"/>
  <c r="AN48" i="4"/>
  <c r="AM48" i="4"/>
  <c r="AA48" i="4"/>
  <c r="BD47" i="4"/>
  <c r="BA47" i="4" s="1"/>
  <c r="BB47" i="4"/>
  <c r="AV47" i="4"/>
  <c r="AT47" i="4"/>
  <c r="AP47" i="4"/>
  <c r="AN47" i="4"/>
  <c r="AM47" i="4"/>
  <c r="AA47" i="4"/>
  <c r="BD46" i="4"/>
  <c r="BA46" i="4" s="1"/>
  <c r="BB46" i="4"/>
  <c r="AV46" i="4"/>
  <c r="AT46" i="4"/>
  <c r="AP46" i="4"/>
  <c r="AN46" i="4"/>
  <c r="AM46" i="4"/>
  <c r="AA46" i="4"/>
  <c r="BD45" i="4"/>
  <c r="BA45" i="4" s="1"/>
  <c r="BB45" i="4"/>
  <c r="AV45" i="4"/>
  <c r="AT45" i="4"/>
  <c r="AP45" i="4"/>
  <c r="AN45" i="4"/>
  <c r="AM45" i="4"/>
  <c r="AA45" i="4"/>
  <c r="BD44" i="4"/>
  <c r="BA44" i="4" s="1"/>
  <c r="BB44" i="4"/>
  <c r="AV44" i="4"/>
  <c r="AT44" i="4"/>
  <c r="AP44" i="4"/>
  <c r="AN44" i="4"/>
  <c r="AM44" i="4"/>
  <c r="AA44" i="4"/>
  <c r="BD43" i="4"/>
  <c r="AY43" i="4" s="1"/>
  <c r="BB43" i="4"/>
  <c r="AV43" i="4"/>
  <c r="AT43" i="4"/>
  <c r="AP43" i="4"/>
  <c r="AN43" i="4"/>
  <c r="AM43" i="4"/>
  <c r="AA43" i="4"/>
  <c r="BD42" i="4"/>
  <c r="BA42" i="4" s="1"/>
  <c r="BB42" i="4"/>
  <c r="AV42" i="4"/>
  <c r="AT42" i="4"/>
  <c r="AP42" i="4"/>
  <c r="AN42" i="4"/>
  <c r="AM42" i="4"/>
  <c r="AA42" i="4"/>
  <c r="BD41" i="4"/>
  <c r="BA41" i="4" s="1"/>
  <c r="BB41" i="4"/>
  <c r="AV41" i="4"/>
  <c r="AT41" i="4"/>
  <c r="AP41" i="4"/>
  <c r="AN41" i="4"/>
  <c r="AM41" i="4"/>
  <c r="AA41" i="4"/>
  <c r="BD40" i="4"/>
  <c r="AY40" i="4" s="1"/>
  <c r="BB40" i="4"/>
  <c r="AV40" i="4"/>
  <c r="AT40" i="4"/>
  <c r="AP40" i="4"/>
  <c r="AN40" i="4"/>
  <c r="AM40" i="4"/>
  <c r="AA40" i="4"/>
  <c r="BD39" i="4"/>
  <c r="BA39" i="4" s="1"/>
  <c r="BB39" i="4"/>
  <c r="AV39" i="4"/>
  <c r="AT39" i="4"/>
  <c r="AP39" i="4"/>
  <c r="AN39" i="4"/>
  <c r="AM39" i="4"/>
  <c r="AA39" i="4"/>
  <c r="BD38" i="4"/>
  <c r="BA38" i="4" s="1"/>
  <c r="BB38" i="4"/>
  <c r="AV38" i="4"/>
  <c r="AT38" i="4"/>
  <c r="AP38" i="4"/>
  <c r="AN38" i="4"/>
  <c r="AM38" i="4"/>
  <c r="AA38" i="4"/>
  <c r="BD37" i="4"/>
  <c r="AY37" i="4" s="1"/>
  <c r="BB37" i="4"/>
  <c r="AV37" i="4"/>
  <c r="AT37" i="4"/>
  <c r="AP37" i="4"/>
  <c r="AN37" i="4"/>
  <c r="AM37" i="4"/>
  <c r="AA37" i="4"/>
  <c r="BD36" i="4"/>
  <c r="AY36" i="4" s="1"/>
  <c r="BB36" i="4"/>
  <c r="AV36" i="4"/>
  <c r="AT36" i="4"/>
  <c r="AP36" i="4"/>
  <c r="AN36" i="4"/>
  <c r="AM36" i="4"/>
  <c r="AA36" i="4"/>
  <c r="BD35" i="4"/>
  <c r="BA35" i="4" s="1"/>
  <c r="BB35" i="4"/>
  <c r="AV35" i="4"/>
  <c r="AT35" i="4"/>
  <c r="AP35" i="4"/>
  <c r="AN35" i="4"/>
  <c r="AM35" i="4"/>
  <c r="AA35" i="4"/>
  <c r="BD34" i="4"/>
  <c r="BA34" i="4" s="1"/>
  <c r="BB34" i="4"/>
  <c r="AV34" i="4"/>
  <c r="AT34" i="4"/>
  <c r="AP34" i="4"/>
  <c r="AN34" i="4"/>
  <c r="AM34" i="4"/>
  <c r="AA34" i="4"/>
  <c r="BD33" i="4"/>
  <c r="BA33" i="4" s="1"/>
  <c r="BB33" i="4"/>
  <c r="AV33" i="4"/>
  <c r="AT33" i="4"/>
  <c r="AP33" i="4"/>
  <c r="AN33" i="4"/>
  <c r="AM33" i="4"/>
  <c r="AA33" i="4"/>
  <c r="BD32" i="4"/>
  <c r="AY32" i="4" s="1"/>
  <c r="BB32" i="4"/>
  <c r="AV32" i="4"/>
  <c r="AT32" i="4"/>
  <c r="F45" i="11" s="1"/>
  <c r="AP32" i="4"/>
  <c r="D45" i="11" s="1"/>
  <c r="AN32" i="4"/>
  <c r="AM32" i="4"/>
  <c r="AA32" i="4"/>
  <c r="BD31" i="4"/>
  <c r="BA31" i="4" s="1"/>
  <c r="BB31" i="4"/>
  <c r="AV31" i="4"/>
  <c r="AT31" i="4"/>
  <c r="F44" i="11" s="1"/>
  <c r="AP31" i="4"/>
  <c r="D44" i="11" s="1"/>
  <c r="AN31" i="4"/>
  <c r="AM31" i="4"/>
  <c r="AA31" i="4"/>
  <c r="BD30" i="4"/>
  <c r="AY30" i="4" s="1"/>
  <c r="BB30" i="4"/>
  <c r="AV30" i="4"/>
  <c r="AT30" i="4"/>
  <c r="F43" i="11" s="1"/>
  <c r="AP30" i="4"/>
  <c r="D43" i="11" s="1"/>
  <c r="AN30" i="4"/>
  <c r="AM30" i="4"/>
  <c r="AA30" i="4"/>
  <c r="BD29" i="4"/>
  <c r="AY29" i="4" s="1"/>
  <c r="BB29" i="4"/>
  <c r="AV29" i="4"/>
  <c r="AT29" i="4"/>
  <c r="F42" i="11" s="1"/>
  <c r="AP29" i="4"/>
  <c r="D42" i="11" s="1"/>
  <c r="AN29" i="4"/>
  <c r="AM29" i="4"/>
  <c r="AA29" i="4"/>
  <c r="BD28" i="4"/>
  <c r="AY28" i="4" s="1"/>
  <c r="BB28" i="4"/>
  <c r="AV28" i="4"/>
  <c r="AT28" i="4"/>
  <c r="F41" i="11" s="1"/>
  <c r="AP28" i="4"/>
  <c r="D41" i="11" s="1"/>
  <c r="AN28" i="4"/>
  <c r="AM28" i="4"/>
  <c r="AA28" i="4"/>
  <c r="BD27" i="4"/>
  <c r="AY27" i="4" s="1"/>
  <c r="BB27" i="4"/>
  <c r="AV27" i="4"/>
  <c r="AT27" i="4"/>
  <c r="F40" i="11" s="1"/>
  <c r="AP27" i="4"/>
  <c r="D40" i="11" s="1"/>
  <c r="AN27" i="4"/>
  <c r="AM27" i="4"/>
  <c r="AA27" i="4"/>
  <c r="BD26" i="4"/>
  <c r="BA26" i="4" s="1"/>
  <c r="BB26" i="4"/>
  <c r="AV26" i="4"/>
  <c r="AT26" i="4"/>
  <c r="F39" i="11" s="1"/>
  <c r="AP26" i="4"/>
  <c r="D39" i="11" s="1"/>
  <c r="AN26" i="4"/>
  <c r="AM26" i="4"/>
  <c r="AA26" i="4"/>
  <c r="BD25" i="4"/>
  <c r="BB25" i="4"/>
  <c r="AV25" i="4"/>
  <c r="AT25" i="4"/>
  <c r="F38" i="11" s="1"/>
  <c r="AP25" i="4"/>
  <c r="D38" i="11" s="1"/>
  <c r="AN25" i="4"/>
  <c r="AM25" i="4"/>
  <c r="AA25" i="4"/>
  <c r="BD24" i="4"/>
  <c r="BA24" i="4" s="1"/>
  <c r="BB24" i="4"/>
  <c r="AV24" i="4"/>
  <c r="AT24" i="4"/>
  <c r="F37" i="11" s="1"/>
  <c r="AP24" i="4"/>
  <c r="D37" i="11" s="1"/>
  <c r="AN24" i="4"/>
  <c r="AM24" i="4"/>
  <c r="AA24" i="4"/>
  <c r="BD23" i="4"/>
  <c r="AY23" i="4" s="1"/>
  <c r="BB23" i="4"/>
  <c r="AV23" i="4"/>
  <c r="AT23" i="4"/>
  <c r="F36" i="11" s="1"/>
  <c r="AP23" i="4"/>
  <c r="D36" i="11" s="1"/>
  <c r="AN23" i="4"/>
  <c r="AM23" i="4"/>
  <c r="AA23" i="4"/>
  <c r="BD22" i="4"/>
  <c r="BA22" i="4" s="1"/>
  <c r="BB22" i="4"/>
  <c r="AV22" i="4"/>
  <c r="AT22" i="4"/>
  <c r="F35" i="11" s="1"/>
  <c r="AP22" i="4"/>
  <c r="D35" i="11" s="1"/>
  <c r="AN22" i="4"/>
  <c r="AM22" i="4"/>
  <c r="AA22" i="4"/>
  <c r="BD21" i="4"/>
  <c r="AY21" i="4" s="1"/>
  <c r="BB21" i="4"/>
  <c r="AV21" i="4"/>
  <c r="AT21" i="4"/>
  <c r="F34" i="11" s="1"/>
  <c r="AP21" i="4"/>
  <c r="D34" i="11" s="1"/>
  <c r="AN21" i="4"/>
  <c r="AM21" i="4"/>
  <c r="AA21" i="4"/>
  <c r="BD20" i="4"/>
  <c r="BA20" i="4" s="1"/>
  <c r="BB20" i="4"/>
  <c r="AV20" i="4"/>
  <c r="AT20" i="4"/>
  <c r="F33" i="11" s="1"/>
  <c r="AP20" i="4"/>
  <c r="D33" i="11" s="1"/>
  <c r="AN20" i="4"/>
  <c r="AM20" i="4"/>
  <c r="AA20" i="4"/>
  <c r="BD19" i="4"/>
  <c r="BA19" i="4" s="1"/>
  <c r="BB19" i="4"/>
  <c r="AV19" i="4"/>
  <c r="AT19" i="4"/>
  <c r="F32" i="11" s="1"/>
  <c r="AP19" i="4"/>
  <c r="D32" i="11" s="1"/>
  <c r="AN19" i="4"/>
  <c r="AM19" i="4"/>
  <c r="AA19" i="4"/>
  <c r="BD18" i="4"/>
  <c r="AY18" i="4" s="1"/>
  <c r="BB18" i="4"/>
  <c r="AV18" i="4"/>
  <c r="AT18" i="4"/>
  <c r="F31" i="11" s="1"/>
  <c r="AP18" i="4"/>
  <c r="D31" i="11" s="1"/>
  <c r="AN18" i="4"/>
  <c r="AM18" i="4"/>
  <c r="AA18" i="4"/>
  <c r="BD17" i="4"/>
  <c r="BA17" i="4" s="1"/>
  <c r="BB17" i="4"/>
  <c r="AV17" i="4"/>
  <c r="AT17" i="4"/>
  <c r="F30" i="11" s="1"/>
  <c r="AP17" i="4"/>
  <c r="D30" i="11" s="1"/>
  <c r="AN17" i="4"/>
  <c r="AM17" i="4"/>
  <c r="AA17" i="4"/>
  <c r="BD16" i="4"/>
  <c r="BA16" i="4" s="1"/>
  <c r="BB16" i="4"/>
  <c r="AV16" i="4"/>
  <c r="AT16" i="4"/>
  <c r="F29" i="11" s="1"/>
  <c r="AP16" i="4"/>
  <c r="D29" i="11" s="1"/>
  <c r="AN16" i="4"/>
  <c r="AM16" i="4"/>
  <c r="AA16" i="4"/>
  <c r="BD15" i="4"/>
  <c r="AY15" i="4" s="1"/>
  <c r="BB15" i="4"/>
  <c r="AV15" i="4"/>
  <c r="AT15" i="4"/>
  <c r="F28" i="11" s="1"/>
  <c r="AP15" i="4"/>
  <c r="D28" i="11" s="1"/>
  <c r="AN15" i="4"/>
  <c r="AM15" i="4"/>
  <c r="AA15" i="4"/>
  <c r="BD14" i="4"/>
  <c r="BA14" i="4" s="1"/>
  <c r="BB14" i="4"/>
  <c r="AV14" i="4"/>
  <c r="AP14" i="4"/>
  <c r="D27" i="11" s="1"/>
  <c r="AN14" i="4"/>
  <c r="AM14" i="4"/>
  <c r="AA14" i="4"/>
  <c r="BD13" i="4"/>
  <c r="BA13" i="4" s="1"/>
  <c r="BB13" i="4"/>
  <c r="AY13" i="4"/>
  <c r="AV13" i="4"/>
  <c r="AP13" i="4"/>
  <c r="D26" i="11" s="1"/>
  <c r="AA13" i="4"/>
  <c r="BD12" i="4"/>
  <c r="BA12" i="4" s="1"/>
  <c r="BB12" i="4"/>
  <c r="AY12" i="4"/>
  <c r="AV12" i="4"/>
  <c r="AP12" i="4"/>
  <c r="D25" i="11" s="1"/>
  <c r="AA12" i="4"/>
  <c r="BD11" i="4"/>
  <c r="BA11" i="4" s="1"/>
  <c r="BB11" i="4"/>
  <c r="AY11" i="4"/>
  <c r="AV11" i="4"/>
  <c r="AP11" i="4"/>
  <c r="D24" i="11" s="1"/>
  <c r="AA11" i="4"/>
  <c r="BD10" i="4"/>
  <c r="BA10" i="4" s="1"/>
  <c r="BB10" i="4"/>
  <c r="AY10" i="4"/>
  <c r="AV10" i="4"/>
  <c r="AP10" i="4"/>
  <c r="D23" i="11" s="1"/>
  <c r="AA10" i="4"/>
  <c r="BD9" i="4"/>
  <c r="BA9" i="4" s="1"/>
  <c r="BB9" i="4"/>
  <c r="AY9" i="4"/>
  <c r="AV9" i="4"/>
  <c r="AP9" i="4"/>
  <c r="D22" i="11" s="1"/>
  <c r="AA9" i="4"/>
  <c r="BD8" i="4"/>
  <c r="BA8" i="4" s="1"/>
  <c r="BB8" i="4"/>
  <c r="AY8" i="4"/>
  <c r="AV8" i="4"/>
  <c r="AP8" i="4"/>
  <c r="D21" i="11" s="1"/>
  <c r="AA8" i="4"/>
  <c r="BD7" i="4"/>
  <c r="BA7" i="4" s="1"/>
  <c r="BB7" i="4"/>
  <c r="AY7" i="4"/>
  <c r="AV7" i="4"/>
  <c r="AP7" i="4"/>
  <c r="D20" i="11" s="1"/>
  <c r="AA7" i="4"/>
  <c r="BD6" i="4"/>
  <c r="BA6" i="4" s="1"/>
  <c r="BB6" i="4"/>
  <c r="AY6" i="4"/>
  <c r="AV6" i="4"/>
  <c r="AP6" i="4"/>
  <c r="D19" i="11" s="1"/>
  <c r="AA6" i="4"/>
  <c r="BD5" i="4"/>
  <c r="BA5" i="4" s="1"/>
  <c r="BB5" i="4"/>
  <c r="AV5" i="4"/>
  <c r="AT5" i="4"/>
  <c r="F18" i="11" s="1"/>
  <c r="AP5" i="4"/>
  <c r="D18" i="11" s="1"/>
  <c r="AN5" i="4"/>
  <c r="AM5" i="4"/>
  <c r="AA5" i="4"/>
  <c r="BD4" i="4"/>
  <c r="BA4" i="4" s="1"/>
  <c r="BB4" i="4"/>
  <c r="AY4" i="4"/>
  <c r="AV4" i="4"/>
  <c r="AP4" i="4"/>
  <c r="D17" i="11" s="1"/>
  <c r="AA4" i="4"/>
  <c r="BD3" i="4"/>
  <c r="BA3" i="4" s="1"/>
  <c r="BB3" i="4"/>
  <c r="AY3" i="4"/>
  <c r="AV3" i="4"/>
  <c r="AP3" i="4"/>
  <c r="D16" i="11" s="1"/>
  <c r="AA3" i="4"/>
  <c r="G28" i="18"/>
  <c r="G27" i="18"/>
  <c r="G26" i="18"/>
  <c r="G25" i="18"/>
  <c r="G24" i="18"/>
  <c r="G22" i="18"/>
  <c r="G15" i="18"/>
  <c r="G14" i="18"/>
  <c r="G11" i="18"/>
  <c r="G10" i="18"/>
  <c r="G5" i="18"/>
  <c r="G4" i="18"/>
  <c r="G3" i="18"/>
  <c r="G2" i="18"/>
  <c r="W30" i="19"/>
  <c r="H29" i="18" s="1"/>
  <c r="W29" i="19"/>
  <c r="H28" i="18" s="1"/>
  <c r="W28" i="19"/>
  <c r="H27" i="18" s="1"/>
  <c r="W27" i="19"/>
  <c r="H26" i="18" s="1"/>
  <c r="W26" i="19"/>
  <c r="H25" i="18" s="1"/>
  <c r="W25" i="19"/>
  <c r="H24" i="18" s="1"/>
  <c r="W24" i="19"/>
  <c r="H23" i="18" s="1"/>
  <c r="W23" i="19"/>
  <c r="H22" i="18" s="1"/>
  <c r="W22" i="19"/>
  <c r="H21" i="18" s="1"/>
  <c r="W21" i="19"/>
  <c r="H20" i="18" s="1"/>
  <c r="W20" i="19"/>
  <c r="H19" i="18" s="1"/>
  <c r="W19" i="19"/>
  <c r="H18" i="18" s="1"/>
  <c r="W18" i="19"/>
  <c r="H17" i="18" s="1"/>
  <c r="W17" i="19"/>
  <c r="H16" i="18" s="1"/>
  <c r="W16" i="19"/>
  <c r="H15" i="18" s="1"/>
  <c r="W15" i="19"/>
  <c r="H14" i="18" s="1"/>
  <c r="W14" i="19"/>
  <c r="H13" i="18" s="1"/>
  <c r="W13" i="19"/>
  <c r="H12" i="18" s="1"/>
  <c r="W12" i="19"/>
  <c r="H11" i="18" s="1"/>
  <c r="W11" i="19"/>
  <c r="H10" i="18" s="1"/>
  <c r="W10" i="19"/>
  <c r="H9" i="18" s="1"/>
  <c r="W9" i="19"/>
  <c r="H8" i="18" s="1"/>
  <c r="W8" i="19"/>
  <c r="H7" i="18" s="1"/>
  <c r="W7" i="19"/>
  <c r="H6" i="18" s="1"/>
  <c r="W6" i="19"/>
  <c r="H5" i="18" s="1"/>
  <c r="W5" i="19"/>
  <c r="H4" i="18" s="1"/>
  <c r="W4" i="19"/>
  <c r="H3" i="18" s="1"/>
  <c r="W3" i="19"/>
  <c r="H2" i="18" s="1"/>
  <c r="W408" i="6"/>
  <c r="Y408" i="6" s="1"/>
  <c r="W407" i="6"/>
  <c r="Y407" i="6" s="1"/>
  <c r="W406" i="6"/>
  <c r="Y406" i="6" s="1"/>
  <c r="W405" i="6"/>
  <c r="Y405" i="6" s="1"/>
  <c r="W404" i="6"/>
  <c r="Y404" i="6" s="1"/>
  <c r="W403" i="6"/>
  <c r="Y403" i="6" s="1"/>
  <c r="W402" i="6"/>
  <c r="Y402" i="6" s="1"/>
  <c r="W401" i="6"/>
  <c r="Y401" i="6" s="1"/>
  <c r="W400" i="6"/>
  <c r="Y400" i="6" s="1"/>
  <c r="W399" i="6"/>
  <c r="Y399" i="6" s="1"/>
  <c r="W375" i="6"/>
  <c r="Y375" i="6" s="1"/>
  <c r="W374" i="6"/>
  <c r="Y374" i="6" s="1"/>
  <c r="W373" i="6"/>
  <c r="Y373" i="6" s="1"/>
  <c r="W372" i="6"/>
  <c r="Y372" i="6" s="1"/>
  <c r="W371" i="6"/>
  <c r="Y371" i="6" s="1"/>
  <c r="W370" i="6"/>
  <c r="Y370" i="6" s="1"/>
  <c r="W369" i="6"/>
  <c r="Y369" i="6" s="1"/>
  <c r="W368" i="6"/>
  <c r="Y368" i="6" s="1"/>
  <c r="W367" i="6"/>
  <c r="Y367" i="6" s="1"/>
  <c r="W366" i="6"/>
  <c r="Y366" i="6" s="1"/>
  <c r="W365" i="6"/>
  <c r="Y365" i="6" s="1"/>
  <c r="W364" i="6"/>
  <c r="Y364" i="6" s="1"/>
  <c r="W363" i="6"/>
  <c r="Y363" i="6" s="1"/>
  <c r="W362" i="6"/>
  <c r="Y362" i="6" s="1"/>
  <c r="W361" i="6"/>
  <c r="Y361" i="6" s="1"/>
  <c r="W360" i="6"/>
  <c r="Y360" i="6" s="1"/>
  <c r="W359" i="6"/>
  <c r="Y359" i="6" s="1"/>
  <c r="W358" i="6"/>
  <c r="Y358" i="6" s="1"/>
  <c r="W357" i="6"/>
  <c r="Y357" i="6" s="1"/>
  <c r="W356" i="6"/>
  <c r="Y356" i="6" s="1"/>
  <c r="W355" i="6"/>
  <c r="Y355" i="6" s="1"/>
  <c r="W354" i="6"/>
  <c r="Y354" i="6" s="1"/>
  <c r="W353" i="6"/>
  <c r="Y353" i="6" s="1"/>
  <c r="W352" i="6"/>
  <c r="Y352" i="6" s="1"/>
  <c r="W351" i="6"/>
  <c r="Y351" i="6" s="1"/>
  <c r="W350" i="6"/>
  <c r="Y350" i="6" s="1"/>
  <c r="W349" i="6"/>
  <c r="Y349" i="6" s="1"/>
  <c r="W348" i="6"/>
  <c r="Y348" i="6" s="1"/>
  <c r="W347" i="6"/>
  <c r="Y347" i="6" s="1"/>
  <c r="W346" i="6"/>
  <c r="Y346" i="6" s="1"/>
  <c r="W345" i="6"/>
  <c r="Y345" i="6" s="1"/>
  <c r="W344" i="6"/>
  <c r="Y344" i="6" s="1"/>
  <c r="W343" i="6"/>
  <c r="Y343" i="6" s="1"/>
  <c r="W342" i="6"/>
  <c r="Y342" i="6" s="1"/>
  <c r="W341" i="6"/>
  <c r="Y341" i="6" s="1"/>
  <c r="W340" i="6"/>
  <c r="Y340" i="6" s="1"/>
  <c r="W339" i="6"/>
  <c r="Y339" i="6" s="1"/>
  <c r="W338" i="6"/>
  <c r="Y338" i="6" s="1"/>
  <c r="W337" i="6"/>
  <c r="Y337" i="6" s="1"/>
  <c r="W336" i="6"/>
  <c r="Y336" i="6" s="1"/>
  <c r="W335" i="6"/>
  <c r="Y335" i="6" s="1"/>
  <c r="W334" i="6"/>
  <c r="Y334" i="6" s="1"/>
  <c r="W333" i="6"/>
  <c r="Y333" i="6" s="1"/>
  <c r="W332" i="6"/>
  <c r="Y332" i="6" s="1"/>
  <c r="W331" i="6"/>
  <c r="Y331" i="6" s="1"/>
  <c r="W330" i="6"/>
  <c r="Y330" i="6" s="1"/>
  <c r="W329" i="6"/>
  <c r="Y329" i="6" s="1"/>
  <c r="W328" i="6"/>
  <c r="Y328" i="6" s="1"/>
  <c r="W327" i="6"/>
  <c r="Y327" i="6" s="1"/>
  <c r="W326" i="6"/>
  <c r="Y326" i="6" s="1"/>
  <c r="W325" i="6"/>
  <c r="Y325" i="6" s="1"/>
  <c r="W324" i="6"/>
  <c r="Y324" i="6" s="1"/>
  <c r="W323" i="6"/>
  <c r="Y323" i="6" s="1"/>
  <c r="Y322" i="6"/>
  <c r="Y321" i="6"/>
  <c r="Y320" i="6"/>
  <c r="Y319" i="6"/>
  <c r="Y318" i="6"/>
  <c r="Y317" i="6"/>
  <c r="Y316" i="6"/>
  <c r="Y315" i="6"/>
  <c r="Y314" i="6"/>
  <c r="Y313" i="6"/>
  <c r="Y312" i="6"/>
  <c r="Y311" i="6"/>
  <c r="Y310" i="6"/>
  <c r="Y309" i="6"/>
  <c r="Y308" i="6"/>
  <c r="Y307" i="6"/>
  <c r="Y306" i="6"/>
  <c r="Y305" i="6"/>
  <c r="Y304" i="6"/>
  <c r="Y303" i="6"/>
  <c r="Y302" i="6"/>
  <c r="Y301" i="6"/>
  <c r="Y300" i="6"/>
  <c r="Y299" i="6"/>
  <c r="Y298" i="6"/>
  <c r="Y297" i="6"/>
  <c r="Y296" i="6"/>
  <c r="Y295" i="6"/>
  <c r="Y294" i="6"/>
  <c r="Y293" i="6"/>
  <c r="Y292" i="6"/>
  <c r="Y291" i="6"/>
  <c r="Y290" i="6"/>
  <c r="Y289" i="6"/>
  <c r="Y288" i="6"/>
  <c r="Y287" i="6"/>
  <c r="Y286" i="6"/>
  <c r="Y285" i="6"/>
  <c r="Y284" i="6"/>
  <c r="Y283" i="6"/>
  <c r="Y282" i="6"/>
  <c r="Y281" i="6"/>
  <c r="Y280" i="6"/>
  <c r="Y279" i="6"/>
  <c r="Y278" i="6"/>
  <c r="Y277" i="6"/>
  <c r="Y276" i="6"/>
  <c r="Y275" i="6"/>
  <c r="Y274" i="6"/>
  <c r="Y273" i="6"/>
  <c r="Y272" i="6"/>
  <c r="Y271" i="6"/>
  <c r="Y270" i="6"/>
  <c r="Y269" i="6"/>
  <c r="Y268" i="6"/>
  <c r="Y267" i="6"/>
  <c r="Y266" i="6"/>
  <c r="Y265" i="6"/>
  <c r="Y264" i="6"/>
  <c r="Y263" i="6"/>
  <c r="Y262" i="6"/>
  <c r="Y261" i="6"/>
  <c r="Y260" i="6"/>
  <c r="Y259" i="6"/>
  <c r="Y258" i="6"/>
  <c r="Y257" i="6"/>
  <c r="Y256" i="6"/>
  <c r="Y255" i="6"/>
  <c r="Y254" i="6"/>
  <c r="Y253" i="6"/>
  <c r="Y252" i="6"/>
  <c r="Y251" i="6"/>
  <c r="Y250" i="6"/>
  <c r="Y249" i="6"/>
  <c r="Y248" i="6"/>
  <c r="Y247" i="6"/>
  <c r="Y246" i="6"/>
  <c r="Y245" i="6"/>
  <c r="Y244" i="6"/>
  <c r="Y243" i="6"/>
  <c r="Y242" i="6"/>
  <c r="Y241" i="6"/>
  <c r="Y240" i="6"/>
  <c r="Y239" i="6"/>
  <c r="Y238" i="6"/>
  <c r="Y237" i="6"/>
  <c r="Y236" i="6"/>
  <c r="Y235" i="6"/>
  <c r="Y234" i="6"/>
  <c r="Y233" i="6"/>
  <c r="Y232" i="6"/>
  <c r="Y231" i="6"/>
  <c r="Y230" i="6"/>
  <c r="Y229" i="6"/>
  <c r="Y228" i="6"/>
  <c r="Y227" i="6"/>
  <c r="Y226" i="6"/>
  <c r="Y225" i="6"/>
  <c r="Y224" i="6"/>
  <c r="Y223" i="6"/>
  <c r="Y222" i="6"/>
  <c r="Y221" i="6"/>
  <c r="Y220" i="6"/>
  <c r="Y219" i="6"/>
  <c r="Y218" i="6"/>
  <c r="Y217" i="6"/>
  <c r="Y216" i="6"/>
  <c r="Y215" i="6"/>
  <c r="Y214" i="6"/>
  <c r="Y213" i="6"/>
  <c r="Y212" i="6"/>
  <c r="Y211" i="6"/>
  <c r="Y210" i="6"/>
  <c r="Y209" i="6"/>
  <c r="Y208" i="6"/>
  <c r="Y207" i="6"/>
  <c r="Y206" i="6"/>
  <c r="Y205" i="6"/>
  <c r="Y204" i="6"/>
  <c r="Y203" i="6"/>
  <c r="Y202" i="6"/>
  <c r="Y201" i="6"/>
  <c r="Y200" i="6"/>
  <c r="Y199" i="6"/>
  <c r="Y198" i="6"/>
  <c r="Y197" i="6"/>
  <c r="Y196" i="6"/>
  <c r="Y195" i="6"/>
  <c r="Y194" i="6"/>
  <c r="Y193" i="6"/>
  <c r="Y192" i="6"/>
  <c r="J161" i="4"/>
  <c r="J160" i="4"/>
  <c r="J158" i="4"/>
  <c r="J156" i="4"/>
  <c r="J155" i="4"/>
  <c r="J154" i="4"/>
  <c r="J152" i="4"/>
  <c r="J150" i="4"/>
  <c r="J149" i="4"/>
  <c r="J146" i="4"/>
  <c r="J144" i="4"/>
  <c r="J143" i="4"/>
  <c r="J70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Y12" i="6"/>
  <c r="Y9" i="6"/>
  <c r="Y6" i="6"/>
  <c r="E15" i="3"/>
  <c r="D15" i="3"/>
  <c r="C15" i="3"/>
  <c r="A5" i="1" s="1"/>
  <c r="L13" i="3"/>
  <c r="J13" i="3"/>
  <c r="I13" i="3"/>
  <c r="G13" i="3"/>
  <c r="F13" i="3"/>
  <c r="H13" i="3" s="1"/>
  <c r="L12" i="3"/>
  <c r="J12" i="3"/>
  <c r="I12" i="3"/>
  <c r="G12" i="3"/>
  <c r="F12" i="3"/>
  <c r="H12" i="3" s="1"/>
  <c r="L11" i="3"/>
  <c r="J11" i="3"/>
  <c r="I11" i="3"/>
  <c r="G11" i="3"/>
  <c r="F11" i="3"/>
  <c r="H11" i="3" s="1"/>
  <c r="L10" i="3"/>
  <c r="J10" i="3"/>
  <c r="I10" i="3"/>
  <c r="G10" i="3"/>
  <c r="F10" i="3"/>
  <c r="H10" i="3" s="1"/>
  <c r="L9" i="3"/>
  <c r="J9" i="3"/>
  <c r="I9" i="3"/>
  <c r="G9" i="3"/>
  <c r="F9" i="3"/>
  <c r="H9" i="3" s="1"/>
  <c r="L8" i="3"/>
  <c r="J8" i="3"/>
  <c r="I8" i="3"/>
  <c r="G8" i="3"/>
  <c r="F8" i="3"/>
  <c r="H8" i="3" s="1"/>
  <c r="L7" i="3"/>
  <c r="J7" i="3"/>
  <c r="I7" i="3"/>
  <c r="H7" i="3"/>
  <c r="G7" i="3"/>
  <c r="F7" i="3"/>
  <c r="L6" i="3"/>
  <c r="J6" i="3"/>
  <c r="I6" i="3"/>
  <c r="H6" i="3"/>
  <c r="G6" i="3"/>
  <c r="F6" i="3"/>
  <c r="L5" i="3"/>
  <c r="J5" i="3"/>
  <c r="I5" i="3"/>
  <c r="H5" i="3"/>
  <c r="G5" i="3"/>
  <c r="F5" i="3"/>
  <c r="L4" i="3"/>
  <c r="J4" i="3"/>
  <c r="I4" i="3"/>
  <c r="H4" i="3"/>
  <c r="G4" i="3"/>
  <c r="F4" i="3"/>
  <c r="M20" i="1"/>
  <c r="J20" i="1"/>
  <c r="G20" i="1"/>
  <c r="D20" i="1"/>
  <c r="A20" i="1"/>
  <c r="H14" i="1"/>
  <c r="G14" i="1"/>
  <c r="F14" i="1"/>
  <c r="E14" i="1"/>
  <c r="D14" i="1"/>
  <c r="C14" i="1"/>
  <c r="B14" i="1"/>
  <c r="A14" i="1"/>
  <c r="H13" i="1"/>
  <c r="G13" i="1"/>
  <c r="F13" i="1"/>
  <c r="E13" i="1"/>
  <c r="D13" i="1"/>
  <c r="C13" i="1"/>
  <c r="B13" i="1"/>
  <c r="A13" i="1"/>
  <c r="L12" i="1"/>
  <c r="H12" i="1"/>
  <c r="G12" i="1"/>
  <c r="F12" i="1"/>
  <c r="E12" i="1"/>
  <c r="D12" i="1"/>
  <c r="C12" i="1"/>
  <c r="B12" i="1"/>
  <c r="A12" i="1"/>
  <c r="L11" i="1"/>
  <c r="H11" i="1"/>
  <c r="G11" i="1"/>
  <c r="F11" i="1"/>
  <c r="E11" i="1"/>
  <c r="D11" i="1"/>
  <c r="C11" i="1"/>
  <c r="B11" i="1"/>
  <c r="A11" i="1"/>
  <c r="L10" i="1"/>
  <c r="H10" i="1"/>
  <c r="G10" i="1"/>
  <c r="F10" i="1"/>
  <c r="E10" i="1"/>
  <c r="D10" i="1"/>
  <c r="C10" i="1"/>
  <c r="B10" i="1"/>
  <c r="A10" i="1"/>
  <c r="O5" i="1"/>
  <c r="B19" i="31" l="1"/>
  <c r="AA15" i="7"/>
  <c r="X17" i="7"/>
  <c r="V17" i="7"/>
  <c r="W17" i="7"/>
  <c r="Y17" i="7"/>
  <c r="AH16" i="7"/>
  <c r="AI16" i="7" s="1"/>
  <c r="V16" i="7"/>
  <c r="AA16" i="7"/>
  <c r="X16" i="7"/>
  <c r="Y16" i="7"/>
  <c r="W16" i="7"/>
  <c r="AH17" i="7"/>
  <c r="AI17" i="7" s="1"/>
  <c r="AT52" i="4"/>
  <c r="AT53" i="4"/>
  <c r="T18" i="4"/>
  <c r="K54" i="4"/>
  <c r="AB54" i="4" s="1"/>
  <c r="S19" i="4"/>
  <c r="N37" i="5"/>
  <c r="BA148" i="4"/>
  <c r="AY24" i="4"/>
  <c r="BA54" i="4"/>
  <c r="BA60" i="4"/>
  <c r="BA63" i="4"/>
  <c r="AY47" i="4"/>
  <c r="AY157" i="4"/>
  <c r="AY174" i="4"/>
  <c r="BA37" i="4"/>
  <c r="AY156" i="4"/>
  <c r="AY181" i="4"/>
  <c r="BA43" i="4"/>
  <c r="BA130" i="4"/>
  <c r="AY167" i="4"/>
  <c r="BA21" i="4"/>
  <c r="AY46" i="4"/>
  <c r="AY139" i="4"/>
  <c r="AY20" i="4"/>
  <c r="AY86" i="4"/>
  <c r="BA151" i="4"/>
  <c r="BA55" i="4"/>
  <c r="AY121" i="4"/>
  <c r="AY98" i="4"/>
  <c r="BA107" i="4"/>
  <c r="BA133" i="4"/>
  <c r="AY120" i="4"/>
  <c r="AY87" i="4"/>
  <c r="BA36" i="4"/>
  <c r="BA90" i="4"/>
  <c r="AY138" i="4"/>
  <c r="BA96" i="4"/>
  <c r="BA160" i="4"/>
  <c r="AG6" i="7"/>
  <c r="AG14" i="7"/>
  <c r="D5" i="1"/>
  <c r="G15" i="3"/>
  <c r="B7" i="11" s="1"/>
  <c r="B20" i="10"/>
  <c r="Y61" i="6"/>
  <c r="Y24" i="6"/>
  <c r="BA28" i="4"/>
  <c r="BA32" i="4"/>
  <c r="BA58" i="4"/>
  <c r="AE11" i="7"/>
  <c r="BA50" i="4"/>
  <c r="BA124" i="4"/>
  <c r="BA142" i="4"/>
  <c r="AG20" i="7"/>
  <c r="F15" i="3"/>
  <c r="B6" i="11" s="1"/>
  <c r="BA27" i="4"/>
  <c r="AY31" i="4"/>
  <c r="AY42" i="4"/>
  <c r="AY53" i="4"/>
  <c r="AY93" i="4"/>
  <c r="AY127" i="4"/>
  <c r="AY145" i="4"/>
  <c r="AY163" i="4"/>
  <c r="AG9" i="7"/>
  <c r="AY19" i="4"/>
  <c r="BA23" i="4"/>
  <c r="BA106" i="4"/>
  <c r="BA15" i="4"/>
  <c r="AY26" i="4"/>
  <c r="BA30" i="4"/>
  <c r="AY41" i="4"/>
  <c r="AY52" i="4"/>
  <c r="AY92" i="4"/>
  <c r="AY126" i="4"/>
  <c r="AY144" i="4"/>
  <c r="AY162" i="4"/>
  <c r="Y43" i="6"/>
  <c r="Y65" i="6"/>
  <c r="BA18" i="4"/>
  <c r="BA102" i="4"/>
  <c r="BA175" i="4"/>
  <c r="AY14" i="4"/>
  <c r="AY171" i="4"/>
  <c r="BA29" i="4"/>
  <c r="AY33" i="4"/>
  <c r="BA40" i="4"/>
  <c r="AY59" i="4"/>
  <c r="BA84" i="4"/>
  <c r="BA136" i="4"/>
  <c r="BA154" i="4"/>
  <c r="AG22" i="7"/>
  <c r="AY132" i="4"/>
  <c r="AY150" i="4"/>
  <c r="L13" i="18"/>
  <c r="M13" i="18" s="1"/>
  <c r="AY48" i="4"/>
  <c r="AY88" i="4"/>
  <c r="AY94" i="4"/>
  <c r="AY108" i="4"/>
  <c r="AY112" i="4"/>
  <c r="AY116" i="4"/>
  <c r="AY122" i="4"/>
  <c r="AY128" i="4"/>
  <c r="AY134" i="4"/>
  <c r="AY140" i="4"/>
  <c r="AY146" i="4"/>
  <c r="AY152" i="4"/>
  <c r="AY158" i="4"/>
  <c r="AY164" i="4"/>
  <c r="J15" i="3"/>
  <c r="Y30" i="6"/>
  <c r="AY179" i="4"/>
  <c r="AE8" i="7"/>
  <c r="AG13" i="7"/>
  <c r="Y52" i="6"/>
  <c r="M5" i="18"/>
  <c r="Y53" i="6"/>
  <c r="M22" i="18"/>
  <c r="BA170" i="4"/>
  <c r="H15" i="3"/>
  <c r="AY51" i="4"/>
  <c r="AY85" i="4"/>
  <c r="AY91" i="4"/>
  <c r="AY97" i="4"/>
  <c r="AY110" i="4"/>
  <c r="AY119" i="4"/>
  <c r="AY125" i="4"/>
  <c r="AY131" i="4"/>
  <c r="AY137" i="4"/>
  <c r="AY143" i="4"/>
  <c r="AY149" i="4"/>
  <c r="AY155" i="4"/>
  <c r="AY161" i="4"/>
  <c r="Y55" i="6"/>
  <c r="Y64" i="6"/>
  <c r="AY17" i="4"/>
  <c r="AY39" i="4"/>
  <c r="AY45" i="4"/>
  <c r="AY57" i="4"/>
  <c r="AY62" i="4"/>
  <c r="AY101" i="4"/>
  <c r="AY105" i="4"/>
  <c r="AY114" i="4"/>
  <c r="AY169" i="4"/>
  <c r="AY177" i="4"/>
  <c r="AY184" i="4"/>
  <c r="Y37" i="6"/>
  <c r="AY16" i="4"/>
  <c r="AY38" i="4"/>
  <c r="AY44" i="4"/>
  <c r="AY56" i="4"/>
  <c r="Y49" i="6"/>
  <c r="AY5" i="4"/>
  <c r="AY49" i="4"/>
  <c r="AY89" i="4"/>
  <c r="AY95" i="4"/>
  <c r="AY100" i="4"/>
  <c r="BA113" i="4"/>
  <c r="AY123" i="4"/>
  <c r="AY129" i="4"/>
  <c r="AY135" i="4"/>
  <c r="AY141" i="4"/>
  <c r="AY147" i="4"/>
  <c r="AY153" i="4"/>
  <c r="AY159" i="4"/>
  <c r="AY165" i="4"/>
  <c r="AE23" i="7"/>
  <c r="Y18" i="6"/>
  <c r="Y58" i="6"/>
  <c r="L17" i="18"/>
  <c r="M17" i="18" s="1"/>
  <c r="AY65" i="4"/>
  <c r="O66" i="22"/>
  <c r="AC66" i="22" s="1"/>
  <c r="O62" i="22"/>
  <c r="AF62" i="22" s="1"/>
  <c r="O18" i="22"/>
  <c r="AF18" i="22" s="1"/>
  <c r="O11" i="22"/>
  <c r="Q11" i="22" s="1"/>
  <c r="R11" i="22" s="1"/>
  <c r="O23" i="22"/>
  <c r="O27" i="22"/>
  <c r="AC28" i="22" s="1"/>
  <c r="O16" i="22"/>
  <c r="AB16" i="22" s="1"/>
  <c r="O20" i="22"/>
  <c r="O28" i="22"/>
  <c r="O32" i="22"/>
  <c r="AC32" i="22" s="1"/>
  <c r="O52" i="22"/>
  <c r="AB52" i="22" s="1"/>
  <c r="O56" i="22"/>
  <c r="S56" i="22" s="1"/>
  <c r="O60" i="22"/>
  <c r="AC60" i="22" s="1"/>
  <c r="O64" i="22"/>
  <c r="AA64" i="22" s="1"/>
  <c r="O5" i="22"/>
  <c r="AC5" i="22" s="1"/>
  <c r="O61" i="22"/>
  <c r="Q61" i="22" s="1"/>
  <c r="R61" i="22" s="1"/>
  <c r="O37" i="22"/>
  <c r="AC37" i="22" s="1"/>
  <c r="O41" i="22"/>
  <c r="O57" i="22"/>
  <c r="AA57" i="22" s="1"/>
  <c r="O65" i="22"/>
  <c r="Q65" i="22" s="1"/>
  <c r="R65" i="22" s="1"/>
  <c r="O6" i="22"/>
  <c r="S6" i="22" s="1"/>
  <c r="O10" i="22"/>
  <c r="AF10" i="22" s="1"/>
  <c r="O14" i="22"/>
  <c r="O54" i="22"/>
  <c r="T54" i="22" s="1"/>
  <c r="O67" i="22"/>
  <c r="AF67" i="22" s="1"/>
  <c r="O47" i="22"/>
  <c r="AF47" i="22" s="1"/>
  <c r="O33" i="22"/>
  <c r="O40" i="22"/>
  <c r="O63" i="22"/>
  <c r="AA63" i="22" s="1"/>
  <c r="O25" i="22"/>
  <c r="AC25" i="22" s="1"/>
  <c r="O29" i="22"/>
  <c r="AB29" i="22" s="1"/>
  <c r="O17" i="22"/>
  <c r="T17" i="22" s="1"/>
  <c r="O7" i="22"/>
  <c r="S7" i="22" s="1"/>
  <c r="O45" i="22"/>
  <c r="O8" i="22"/>
  <c r="S8" i="22" s="1"/>
  <c r="O19" i="22"/>
  <c r="L5" i="18"/>
  <c r="O9" i="22"/>
  <c r="AF9" i="22" s="1"/>
  <c r="O31" i="22"/>
  <c r="S31" i="22" s="1"/>
  <c r="O46" i="22"/>
  <c r="T46" i="22" s="1"/>
  <c r="O22" i="22"/>
  <c r="AA22" i="22" s="1"/>
  <c r="O38" i="22"/>
  <c r="AC38" i="22" s="1"/>
  <c r="O58" i="22"/>
  <c r="T58" i="22" s="1"/>
  <c r="O13" i="22"/>
  <c r="O35" i="22"/>
  <c r="T35" i="22" s="1"/>
  <c r="O39" i="22"/>
  <c r="O55" i="22"/>
  <c r="O59" i="22"/>
  <c r="Q59" i="22" s="1"/>
  <c r="R59" i="22" s="1"/>
  <c r="O12" i="22"/>
  <c r="AC12" i="22" s="1"/>
  <c r="O49" i="22"/>
  <c r="O24" i="22"/>
  <c r="T24" i="22" s="1"/>
  <c r="O15" i="22"/>
  <c r="O21" i="22"/>
  <c r="O43" i="22"/>
  <c r="T43" i="22" s="1"/>
  <c r="O53" i="22"/>
  <c r="Q53" i="22" s="1"/>
  <c r="R53" i="22" s="1"/>
  <c r="O34" i="22"/>
  <c r="J67" i="4"/>
  <c r="Y68" i="6"/>
  <c r="J78" i="4"/>
  <c r="Y79" i="6"/>
  <c r="J90" i="4"/>
  <c r="Y91" i="6"/>
  <c r="J102" i="4"/>
  <c r="Y103" i="6"/>
  <c r="J114" i="4"/>
  <c r="Y115" i="6"/>
  <c r="J126" i="4"/>
  <c r="Y127" i="6"/>
  <c r="J138" i="4"/>
  <c r="Y139" i="6"/>
  <c r="M24" i="18"/>
  <c r="J7" i="4"/>
  <c r="J13" i="4"/>
  <c r="AS19" i="4"/>
  <c r="E32" i="11" s="1"/>
  <c r="M19" i="4"/>
  <c r="L19" i="4"/>
  <c r="K19" i="4"/>
  <c r="AJ19" i="4"/>
  <c r="I19" i="4"/>
  <c r="AU19" i="4"/>
  <c r="G32" i="11" s="1"/>
  <c r="T19" i="4"/>
  <c r="AU25" i="4"/>
  <c r="G38" i="11" s="1"/>
  <c r="T25" i="4"/>
  <c r="S25" i="4"/>
  <c r="AS25" i="4"/>
  <c r="E38" i="11" s="1"/>
  <c r="M25" i="4"/>
  <c r="L25" i="4"/>
  <c r="K25" i="4"/>
  <c r="AJ25" i="4"/>
  <c r="I25" i="4"/>
  <c r="AU31" i="4"/>
  <c r="G44" i="11" s="1"/>
  <c r="T31" i="4"/>
  <c r="S31" i="4"/>
  <c r="AS31" i="4"/>
  <c r="E44" i="11" s="1"/>
  <c r="M31" i="4"/>
  <c r="L31" i="4"/>
  <c r="K31" i="4"/>
  <c r="AJ31" i="4"/>
  <c r="I31" i="4"/>
  <c r="L37" i="4"/>
  <c r="K37" i="4"/>
  <c r="AJ37" i="4"/>
  <c r="AU37" i="4"/>
  <c r="T37" i="4"/>
  <c r="S37" i="4"/>
  <c r="AS37" i="4"/>
  <c r="M37" i="4"/>
  <c r="L43" i="4"/>
  <c r="K43" i="4"/>
  <c r="AJ43" i="4"/>
  <c r="AU43" i="4"/>
  <c r="T43" i="4"/>
  <c r="S43" i="4"/>
  <c r="AS43" i="4"/>
  <c r="AS49" i="4"/>
  <c r="M49" i="4"/>
  <c r="L49" i="4"/>
  <c r="AJ49" i="4"/>
  <c r="T49" i="4"/>
  <c r="AU49" i="4"/>
  <c r="S49" i="4"/>
  <c r="K49" i="4"/>
  <c r="AU55" i="4"/>
  <c r="T55" i="4"/>
  <c r="AS55" i="4"/>
  <c r="M55" i="4"/>
  <c r="L55" i="4"/>
  <c r="S55" i="4"/>
  <c r="K55" i="4"/>
  <c r="AJ55" i="4"/>
  <c r="AU61" i="4"/>
  <c r="T61" i="4"/>
  <c r="AS61" i="4"/>
  <c r="M61" i="4"/>
  <c r="L61" i="4"/>
  <c r="S61" i="4"/>
  <c r="K61" i="4"/>
  <c r="AJ61" i="4"/>
  <c r="J68" i="4"/>
  <c r="Y69" i="6"/>
  <c r="J79" i="4"/>
  <c r="Y80" i="6"/>
  <c r="J91" i="4"/>
  <c r="Y92" i="6"/>
  <c r="J103" i="4"/>
  <c r="Y104" i="6"/>
  <c r="J115" i="4"/>
  <c r="Y116" i="6"/>
  <c r="J127" i="4"/>
  <c r="Y128" i="6"/>
  <c r="J139" i="4"/>
  <c r="Y140" i="6"/>
  <c r="J151" i="4"/>
  <c r="Y152" i="6"/>
  <c r="E3" i="17"/>
  <c r="J178" i="4"/>
  <c r="Y165" i="6"/>
  <c r="E15" i="17"/>
  <c r="J168" i="4"/>
  <c r="Y177" i="6"/>
  <c r="E27" i="17"/>
  <c r="J182" i="4"/>
  <c r="Y189" i="6"/>
  <c r="L20" i="18"/>
  <c r="M20" i="18" s="1"/>
  <c r="J3" i="4"/>
  <c r="G5" i="1"/>
  <c r="Y7" i="6"/>
  <c r="Y13" i="6"/>
  <c r="Y19" i="6"/>
  <c r="Y25" i="6"/>
  <c r="Y31" i="6"/>
  <c r="Y38" i="6"/>
  <c r="Y44" i="6"/>
  <c r="Y50" i="6"/>
  <c r="Y56" i="6"/>
  <c r="Y62" i="6"/>
  <c r="J69" i="4"/>
  <c r="Y70" i="6"/>
  <c r="J80" i="4"/>
  <c r="Y81" i="6"/>
  <c r="J92" i="4"/>
  <c r="Y93" i="6"/>
  <c r="J104" i="4"/>
  <c r="Y105" i="6"/>
  <c r="J116" i="4"/>
  <c r="Y117" i="6"/>
  <c r="J128" i="4"/>
  <c r="Y129" i="6"/>
  <c r="J140" i="4"/>
  <c r="Y141" i="6"/>
  <c r="L21" i="18"/>
  <c r="M21" i="18" s="1"/>
  <c r="I15" i="3"/>
  <c r="J8" i="4"/>
  <c r="J14" i="4"/>
  <c r="AT14" i="4" s="1"/>
  <c r="F27" i="11" s="1"/>
  <c r="M20" i="4"/>
  <c r="L20" i="4"/>
  <c r="K20" i="4"/>
  <c r="AJ20" i="4"/>
  <c r="I20" i="4"/>
  <c r="AU20" i="4"/>
  <c r="G33" i="11" s="1"/>
  <c r="T20" i="4"/>
  <c r="S20" i="4"/>
  <c r="AS20" i="4"/>
  <c r="E33" i="11" s="1"/>
  <c r="AU26" i="4"/>
  <c r="G39" i="11" s="1"/>
  <c r="T26" i="4"/>
  <c r="S26" i="4"/>
  <c r="AS26" i="4"/>
  <c r="E39" i="11" s="1"/>
  <c r="M26" i="4"/>
  <c r="L26" i="4"/>
  <c r="K26" i="4"/>
  <c r="AJ26" i="4"/>
  <c r="I26" i="4"/>
  <c r="AU32" i="4"/>
  <c r="G45" i="11" s="1"/>
  <c r="T32" i="4"/>
  <c r="S32" i="4"/>
  <c r="AS32" i="4"/>
  <c r="E45" i="11" s="1"/>
  <c r="M32" i="4"/>
  <c r="L32" i="4"/>
  <c r="K32" i="4"/>
  <c r="AJ32" i="4"/>
  <c r="I32" i="4"/>
  <c r="L38" i="4"/>
  <c r="K38" i="4"/>
  <c r="AJ38" i="4"/>
  <c r="AU38" i="4"/>
  <c r="T38" i="4"/>
  <c r="S38" i="4"/>
  <c r="AS38" i="4"/>
  <c r="M38" i="4"/>
  <c r="L44" i="4"/>
  <c r="K44" i="4"/>
  <c r="AJ44" i="4"/>
  <c r="AU44" i="4"/>
  <c r="T44" i="4"/>
  <c r="S44" i="4"/>
  <c r="AS44" i="4"/>
  <c r="M44" i="4"/>
  <c r="AS50" i="4"/>
  <c r="M50" i="4"/>
  <c r="L50" i="4"/>
  <c r="T50" i="4"/>
  <c r="AU50" i="4"/>
  <c r="S50" i="4"/>
  <c r="K50" i="4"/>
  <c r="AJ50" i="4"/>
  <c r="AU56" i="4"/>
  <c r="T56" i="4"/>
  <c r="AS56" i="4"/>
  <c r="M56" i="4"/>
  <c r="L56" i="4"/>
  <c r="AJ56" i="4"/>
  <c r="S56" i="4"/>
  <c r="K56" i="4"/>
  <c r="AU62" i="4"/>
  <c r="T62" i="4"/>
  <c r="S62" i="4"/>
  <c r="AS62" i="4"/>
  <c r="M62" i="4"/>
  <c r="L62" i="4"/>
  <c r="AJ62" i="4"/>
  <c r="K62" i="4"/>
  <c r="AU70" i="4"/>
  <c r="T70" i="4"/>
  <c r="S70" i="4"/>
  <c r="AS70" i="4"/>
  <c r="M70" i="4"/>
  <c r="L70" i="4"/>
  <c r="K70" i="4"/>
  <c r="AJ70" i="4"/>
  <c r="J81" i="4"/>
  <c r="Y82" i="6"/>
  <c r="J93" i="4"/>
  <c r="Y94" i="6"/>
  <c r="J105" i="4"/>
  <c r="Y106" i="6"/>
  <c r="J117" i="4"/>
  <c r="Y118" i="6"/>
  <c r="J129" i="4"/>
  <c r="Y130" i="6"/>
  <c r="J141" i="4"/>
  <c r="Y142" i="6"/>
  <c r="J153" i="4"/>
  <c r="Y154" i="6"/>
  <c r="J188" i="4"/>
  <c r="E5" i="17"/>
  <c r="Y167" i="6"/>
  <c r="J170" i="4"/>
  <c r="E17" i="17"/>
  <c r="Y179" i="6"/>
  <c r="J177" i="4"/>
  <c r="E29" i="17"/>
  <c r="Y191" i="6"/>
  <c r="L3" i="18"/>
  <c r="L14" i="18"/>
  <c r="Y8" i="6"/>
  <c r="Y14" i="6"/>
  <c r="Y20" i="6"/>
  <c r="Y26" i="6"/>
  <c r="Y32" i="6"/>
  <c r="Y39" i="6"/>
  <c r="Y45" i="6"/>
  <c r="Y51" i="6"/>
  <c r="Y57" i="6"/>
  <c r="Y63" i="6"/>
  <c r="Y71" i="6"/>
  <c r="J82" i="4"/>
  <c r="Y83" i="6"/>
  <c r="J94" i="4"/>
  <c r="Y95" i="6"/>
  <c r="J106" i="4"/>
  <c r="Y107" i="6"/>
  <c r="J118" i="4"/>
  <c r="Y119" i="6"/>
  <c r="J130" i="4"/>
  <c r="Y131" i="6"/>
  <c r="J142" i="4"/>
  <c r="Y143" i="6"/>
  <c r="AU154" i="4"/>
  <c r="S154" i="4"/>
  <c r="M154" i="4"/>
  <c r="L154" i="4"/>
  <c r="AS154" i="4"/>
  <c r="AJ154" i="4"/>
  <c r="T154" i="4"/>
  <c r="K154" i="4"/>
  <c r="M3" i="18"/>
  <c r="S33" i="4"/>
  <c r="AS33" i="4"/>
  <c r="M33" i="4"/>
  <c r="L33" i="4"/>
  <c r="K33" i="4"/>
  <c r="AJ33" i="4"/>
  <c r="I33" i="4"/>
  <c r="AU33" i="4"/>
  <c r="T33" i="4"/>
  <c r="L39" i="4"/>
  <c r="K39" i="4"/>
  <c r="AJ39" i="4"/>
  <c r="AU39" i="4"/>
  <c r="T39" i="4"/>
  <c r="S39" i="4"/>
  <c r="AS39" i="4"/>
  <c r="M39" i="4"/>
  <c r="L45" i="4"/>
  <c r="K45" i="4"/>
  <c r="AJ45" i="4"/>
  <c r="AU45" i="4"/>
  <c r="T45" i="4"/>
  <c r="S45" i="4"/>
  <c r="AS45" i="4"/>
  <c r="M45" i="4"/>
  <c r="AU51" i="4"/>
  <c r="AS51" i="4"/>
  <c r="M51" i="4"/>
  <c r="L51" i="4"/>
  <c r="T51" i="4"/>
  <c r="S51" i="4"/>
  <c r="K51" i="4"/>
  <c r="AJ51" i="4"/>
  <c r="AU57" i="4"/>
  <c r="T57" i="4"/>
  <c r="AS57" i="4"/>
  <c r="M57" i="4"/>
  <c r="L57" i="4"/>
  <c r="S57" i="4"/>
  <c r="K57" i="4"/>
  <c r="AJ57" i="4"/>
  <c r="AU63" i="4"/>
  <c r="T63" i="4"/>
  <c r="S63" i="4"/>
  <c r="AS63" i="4"/>
  <c r="M63" i="4"/>
  <c r="L63" i="4"/>
  <c r="AJ63" i="4"/>
  <c r="K63" i="4"/>
  <c r="J71" i="4"/>
  <c r="Y72" i="6"/>
  <c r="J83" i="4"/>
  <c r="Y84" i="6"/>
  <c r="J95" i="4"/>
  <c r="Y96" i="6"/>
  <c r="J107" i="4"/>
  <c r="Y108" i="6"/>
  <c r="J119" i="4"/>
  <c r="Y120" i="6"/>
  <c r="J131" i="4"/>
  <c r="Y132" i="6"/>
  <c r="T143" i="4"/>
  <c r="AU143" i="4"/>
  <c r="M143" i="4"/>
  <c r="L143" i="4"/>
  <c r="AJ143" i="4"/>
  <c r="K143" i="4"/>
  <c r="AS143" i="4"/>
  <c r="S143" i="4"/>
  <c r="L15" i="18"/>
  <c r="AU27" i="4"/>
  <c r="G40" i="11" s="1"/>
  <c r="T27" i="4"/>
  <c r="S27" i="4"/>
  <c r="AS27" i="4"/>
  <c r="E40" i="11" s="1"/>
  <c r="M27" i="4"/>
  <c r="L27" i="4"/>
  <c r="K27" i="4"/>
  <c r="AJ27" i="4"/>
  <c r="I27" i="4"/>
  <c r="Y3" i="6"/>
  <c r="Y15" i="6"/>
  <c r="Y21" i="6"/>
  <c r="Y27" i="6"/>
  <c r="Y34" i="6"/>
  <c r="Y40" i="6"/>
  <c r="Y46" i="6"/>
  <c r="J72" i="4"/>
  <c r="Y73" i="6"/>
  <c r="J84" i="4"/>
  <c r="Y85" i="6"/>
  <c r="J96" i="4"/>
  <c r="Y97" i="6"/>
  <c r="J108" i="4"/>
  <c r="Y109" i="6"/>
  <c r="J120" i="4"/>
  <c r="Y121" i="6"/>
  <c r="J132" i="4"/>
  <c r="Y133" i="6"/>
  <c r="T144" i="4"/>
  <c r="S144" i="4"/>
  <c r="K144" i="4"/>
  <c r="AJ144" i="4"/>
  <c r="AS144" i="4"/>
  <c r="M144" i="4"/>
  <c r="AU144" i="4"/>
  <c r="L144" i="4"/>
  <c r="L25" i="18"/>
  <c r="M25" i="18" s="1"/>
  <c r="M4" i="18"/>
  <c r="M10" i="18"/>
  <c r="M15" i="18"/>
  <c r="L21" i="4"/>
  <c r="K21" i="4"/>
  <c r="AJ21" i="4"/>
  <c r="I21" i="4"/>
  <c r="AU21" i="4"/>
  <c r="G34" i="11" s="1"/>
  <c r="T21" i="4"/>
  <c r="S21" i="4"/>
  <c r="AS21" i="4"/>
  <c r="E34" i="11" s="1"/>
  <c r="M21" i="4"/>
  <c r="J4" i="4"/>
  <c r="J10" i="4"/>
  <c r="AU16" i="4"/>
  <c r="G29" i="11" s="1"/>
  <c r="T16" i="4"/>
  <c r="S16" i="4"/>
  <c r="AS16" i="4"/>
  <c r="E29" i="11" s="1"/>
  <c r="M16" i="4"/>
  <c r="L16" i="4"/>
  <c r="K16" i="4"/>
  <c r="AJ16" i="4"/>
  <c r="K22" i="4"/>
  <c r="AJ22" i="4"/>
  <c r="I22" i="4"/>
  <c r="AU22" i="4"/>
  <c r="G35" i="11" s="1"/>
  <c r="T22" i="4"/>
  <c r="S22" i="4"/>
  <c r="AS22" i="4"/>
  <c r="E35" i="11" s="1"/>
  <c r="M22" i="4"/>
  <c r="L22" i="4"/>
  <c r="AU28" i="4"/>
  <c r="G41" i="11" s="1"/>
  <c r="T28" i="4"/>
  <c r="S28" i="4"/>
  <c r="AS28" i="4"/>
  <c r="E41" i="11" s="1"/>
  <c r="M28" i="4"/>
  <c r="L28" i="4"/>
  <c r="K28" i="4"/>
  <c r="AJ28" i="4"/>
  <c r="AS34" i="4"/>
  <c r="M34" i="4"/>
  <c r="L34" i="4"/>
  <c r="K34" i="4"/>
  <c r="AJ34" i="4"/>
  <c r="I34" i="4"/>
  <c r="AU34" i="4"/>
  <c r="T34" i="4"/>
  <c r="L40" i="4"/>
  <c r="K40" i="4"/>
  <c r="AJ40" i="4"/>
  <c r="AU40" i="4"/>
  <c r="T40" i="4"/>
  <c r="S40" i="4"/>
  <c r="AS40" i="4"/>
  <c r="M40" i="4"/>
  <c r="AS46" i="4"/>
  <c r="L46" i="4"/>
  <c r="K46" i="4"/>
  <c r="AJ46" i="4"/>
  <c r="T46" i="4"/>
  <c r="AU46" i="4"/>
  <c r="S46" i="4"/>
  <c r="M46" i="4"/>
  <c r="AU52" i="4"/>
  <c r="T52" i="4"/>
  <c r="AS52" i="4"/>
  <c r="M52" i="4"/>
  <c r="L52" i="4"/>
  <c r="AJ52" i="4"/>
  <c r="S52" i="4"/>
  <c r="K52" i="4"/>
  <c r="AU58" i="4"/>
  <c r="T58" i="4"/>
  <c r="AS58" i="4"/>
  <c r="M58" i="4"/>
  <c r="L58" i="4"/>
  <c r="AJ58" i="4"/>
  <c r="S58" i="4"/>
  <c r="K58" i="4"/>
  <c r="AU64" i="4"/>
  <c r="T64" i="4"/>
  <c r="S64" i="4"/>
  <c r="AS64" i="4"/>
  <c r="M64" i="4"/>
  <c r="L64" i="4"/>
  <c r="K64" i="4"/>
  <c r="AJ64" i="4"/>
  <c r="J73" i="4"/>
  <c r="Y74" i="6"/>
  <c r="J85" i="4"/>
  <c r="Y86" i="6"/>
  <c r="J97" i="4"/>
  <c r="Y98" i="6"/>
  <c r="J109" i="4"/>
  <c r="Y110" i="6"/>
  <c r="J121" i="4"/>
  <c r="Y122" i="6"/>
  <c r="J133" i="4"/>
  <c r="Y134" i="6"/>
  <c r="J145" i="4"/>
  <c r="Y146" i="6"/>
  <c r="J157" i="4"/>
  <c r="Y158" i="6"/>
  <c r="E9" i="17"/>
  <c r="J163" i="4"/>
  <c r="Y171" i="6"/>
  <c r="E21" i="17"/>
  <c r="J186" i="4"/>
  <c r="Y183" i="6"/>
  <c r="M14" i="18"/>
  <c r="L10" i="18"/>
  <c r="S34" i="4"/>
  <c r="AU15" i="4"/>
  <c r="G28" i="11" s="1"/>
  <c r="T15" i="4"/>
  <c r="S15" i="4"/>
  <c r="AS15" i="4"/>
  <c r="E28" i="11" s="1"/>
  <c r="M15" i="4"/>
  <c r="L15" i="4"/>
  <c r="K15" i="4"/>
  <c r="AJ15" i="4"/>
  <c r="Y4" i="6"/>
  <c r="Y10" i="6"/>
  <c r="Y16" i="6"/>
  <c r="Y22" i="6"/>
  <c r="Y28" i="6"/>
  <c r="Y35" i="6"/>
  <c r="Y41" i="6"/>
  <c r="Y47" i="6"/>
  <c r="Y59" i="6"/>
  <c r="J74" i="4"/>
  <c r="Y75" i="6"/>
  <c r="J86" i="4"/>
  <c r="Y87" i="6"/>
  <c r="J98" i="4"/>
  <c r="Y99" i="6"/>
  <c r="J110" i="4"/>
  <c r="Y111" i="6"/>
  <c r="J122" i="4"/>
  <c r="Y123" i="6"/>
  <c r="J134" i="4"/>
  <c r="Y135" i="6"/>
  <c r="M11" i="18"/>
  <c r="L27" i="18"/>
  <c r="M27" i="18" s="1"/>
  <c r="J9" i="4"/>
  <c r="A5" i="10"/>
  <c r="B4" i="11"/>
  <c r="J5" i="4"/>
  <c r="J11" i="4"/>
  <c r="AU17" i="4"/>
  <c r="G30" i="11" s="1"/>
  <c r="T17" i="4"/>
  <c r="S17" i="4"/>
  <c r="AS17" i="4"/>
  <c r="E30" i="11" s="1"/>
  <c r="M17" i="4"/>
  <c r="L17" i="4"/>
  <c r="K17" i="4"/>
  <c r="AJ17" i="4"/>
  <c r="AJ23" i="4"/>
  <c r="I23" i="4"/>
  <c r="AU23" i="4"/>
  <c r="G36" i="11" s="1"/>
  <c r="T23" i="4"/>
  <c r="S23" i="4"/>
  <c r="AS23" i="4"/>
  <c r="E36" i="11" s="1"/>
  <c r="M23" i="4"/>
  <c r="L23" i="4"/>
  <c r="K23" i="4"/>
  <c r="AU29" i="4"/>
  <c r="G42" i="11" s="1"/>
  <c r="T29" i="4"/>
  <c r="S29" i="4"/>
  <c r="AS29" i="4"/>
  <c r="E42" i="11" s="1"/>
  <c r="M29" i="4"/>
  <c r="L29" i="4"/>
  <c r="K29" i="4"/>
  <c r="AJ29" i="4"/>
  <c r="M35" i="4"/>
  <c r="L35" i="4"/>
  <c r="K35" i="4"/>
  <c r="AJ35" i="4"/>
  <c r="I35" i="4"/>
  <c r="AU35" i="4"/>
  <c r="T35" i="4"/>
  <c r="S35" i="4"/>
  <c r="AS35" i="4"/>
  <c r="L41" i="4"/>
  <c r="K41" i="4"/>
  <c r="AJ41" i="4"/>
  <c r="AU41" i="4"/>
  <c r="T41" i="4"/>
  <c r="S41" i="4"/>
  <c r="AS41" i="4"/>
  <c r="M41" i="4"/>
  <c r="AS47" i="4"/>
  <c r="M47" i="4"/>
  <c r="L47" i="4"/>
  <c r="T47" i="4"/>
  <c r="AU47" i="4"/>
  <c r="S47" i="4"/>
  <c r="K47" i="4"/>
  <c r="AJ47" i="4"/>
  <c r="AU53" i="4"/>
  <c r="T53" i="4"/>
  <c r="AS53" i="4"/>
  <c r="M53" i="4"/>
  <c r="L53" i="4"/>
  <c r="S53" i="4"/>
  <c r="K53" i="4"/>
  <c r="AJ53" i="4"/>
  <c r="AU59" i="4"/>
  <c r="T59" i="4"/>
  <c r="AS59" i="4"/>
  <c r="M59" i="4"/>
  <c r="L59" i="4"/>
  <c r="S59" i="4"/>
  <c r="K59" i="4"/>
  <c r="AJ59" i="4"/>
  <c r="AU65" i="4"/>
  <c r="T65" i="4"/>
  <c r="S65" i="4"/>
  <c r="AS65" i="4"/>
  <c r="M65" i="4"/>
  <c r="L65" i="4"/>
  <c r="AJ65" i="4"/>
  <c r="K65" i="4"/>
  <c r="J75" i="4"/>
  <c r="Y76" i="6"/>
  <c r="J87" i="4"/>
  <c r="Y88" i="6"/>
  <c r="J99" i="4"/>
  <c r="Y100" i="6"/>
  <c r="J111" i="4"/>
  <c r="Y112" i="6"/>
  <c r="J123" i="4"/>
  <c r="Y124" i="6"/>
  <c r="J135" i="4"/>
  <c r="Y136" i="6"/>
  <c r="J147" i="4"/>
  <c r="Y148" i="6"/>
  <c r="J159" i="4"/>
  <c r="Y160" i="6"/>
  <c r="J165" i="4"/>
  <c r="E11" i="17"/>
  <c r="Y173" i="6"/>
  <c r="J174" i="4"/>
  <c r="E23" i="17"/>
  <c r="Y185" i="6"/>
  <c r="G5" i="10"/>
  <c r="D5" i="10"/>
  <c r="B5" i="11"/>
  <c r="Y5" i="6"/>
  <c r="Y11" i="6"/>
  <c r="Y17" i="6"/>
  <c r="Y23" i="6"/>
  <c r="Y29" i="6"/>
  <c r="Y36" i="6"/>
  <c r="Y42" i="6"/>
  <c r="Y48" i="6"/>
  <c r="Y54" i="6"/>
  <c r="Y60" i="6"/>
  <c r="Y66" i="6"/>
  <c r="J76" i="4"/>
  <c r="Y77" i="6"/>
  <c r="J88" i="4"/>
  <c r="Y89" i="6"/>
  <c r="J100" i="4"/>
  <c r="Y101" i="6"/>
  <c r="J112" i="4"/>
  <c r="Y113" i="6"/>
  <c r="J124" i="4"/>
  <c r="Y125" i="6"/>
  <c r="J136" i="4"/>
  <c r="Y137" i="6"/>
  <c r="J148" i="4"/>
  <c r="Y149" i="6"/>
  <c r="M43" i="4"/>
  <c r="J6" i="4"/>
  <c r="J12" i="4"/>
  <c r="S18" i="4"/>
  <c r="AS18" i="4"/>
  <c r="E31" i="11" s="1"/>
  <c r="M18" i="4"/>
  <c r="L18" i="4"/>
  <c r="K18" i="4"/>
  <c r="AJ18" i="4"/>
  <c r="I18" i="4"/>
  <c r="AU18" i="4"/>
  <c r="G31" i="11" s="1"/>
  <c r="I24" i="4"/>
  <c r="AU24" i="4"/>
  <c r="G37" i="11" s="1"/>
  <c r="T24" i="4"/>
  <c r="S24" i="4"/>
  <c r="AS24" i="4"/>
  <c r="E37" i="11" s="1"/>
  <c r="M24" i="4"/>
  <c r="L24" i="4"/>
  <c r="K24" i="4"/>
  <c r="AJ24" i="4"/>
  <c r="AU30" i="4"/>
  <c r="G43" i="11" s="1"/>
  <c r="T30" i="4"/>
  <c r="S30" i="4"/>
  <c r="AS30" i="4"/>
  <c r="E43" i="11" s="1"/>
  <c r="M30" i="4"/>
  <c r="L30" i="4"/>
  <c r="K30" i="4"/>
  <c r="AJ30" i="4"/>
  <c r="L36" i="4"/>
  <c r="K36" i="4"/>
  <c r="AJ36" i="4"/>
  <c r="I36" i="4"/>
  <c r="AU36" i="4"/>
  <c r="T36" i="4"/>
  <c r="S36" i="4"/>
  <c r="AS36" i="4"/>
  <c r="M36" i="4"/>
  <c r="L42" i="4"/>
  <c r="K42" i="4"/>
  <c r="AJ42" i="4"/>
  <c r="AU42" i="4"/>
  <c r="T42" i="4"/>
  <c r="S42" i="4"/>
  <c r="AS42" i="4"/>
  <c r="M42" i="4"/>
  <c r="AS48" i="4"/>
  <c r="M48" i="4"/>
  <c r="L48" i="4"/>
  <c r="T48" i="4"/>
  <c r="AU48" i="4"/>
  <c r="S48" i="4"/>
  <c r="K48" i="4"/>
  <c r="AJ48" i="4"/>
  <c r="AU54" i="4"/>
  <c r="T54" i="4"/>
  <c r="AS54" i="4"/>
  <c r="M54" i="4"/>
  <c r="L54" i="4"/>
  <c r="AJ54" i="4"/>
  <c r="S54" i="4"/>
  <c r="AU60" i="4"/>
  <c r="T60" i="4"/>
  <c r="AS60" i="4"/>
  <c r="M60" i="4"/>
  <c r="L60" i="4"/>
  <c r="AJ60" i="4"/>
  <c r="S60" i="4"/>
  <c r="K60" i="4"/>
  <c r="J66" i="4"/>
  <c r="Y67" i="6"/>
  <c r="J77" i="4"/>
  <c r="Y78" i="6"/>
  <c r="J89" i="4"/>
  <c r="Y90" i="6"/>
  <c r="J101" i="4"/>
  <c r="Y102" i="6"/>
  <c r="J113" i="4"/>
  <c r="Y114" i="6"/>
  <c r="J125" i="4"/>
  <c r="Y126" i="6"/>
  <c r="J137" i="4"/>
  <c r="Y138" i="6"/>
  <c r="M2" i="18"/>
  <c r="L24" i="18"/>
  <c r="L22" i="18"/>
  <c r="AJ160" i="4"/>
  <c r="T160" i="4"/>
  <c r="L160" i="4"/>
  <c r="AU160" i="4"/>
  <c r="M160" i="4"/>
  <c r="K160" i="4"/>
  <c r="S160" i="4"/>
  <c r="AS160" i="4"/>
  <c r="E6" i="17"/>
  <c r="J180" i="4"/>
  <c r="E12" i="17"/>
  <c r="J179" i="4"/>
  <c r="E18" i="17"/>
  <c r="J171" i="4"/>
  <c r="E24" i="17"/>
  <c r="J175" i="4"/>
  <c r="L11" i="18"/>
  <c r="L28" i="18"/>
  <c r="M28" i="18" s="1"/>
  <c r="Y155" i="6"/>
  <c r="Y161" i="6"/>
  <c r="Y168" i="6"/>
  <c r="Y174" i="6"/>
  <c r="Y180" i="6"/>
  <c r="Y186" i="6"/>
  <c r="L23" i="18"/>
  <c r="M23" i="18" s="1"/>
  <c r="BA25" i="4"/>
  <c r="AY25" i="4"/>
  <c r="AS149" i="4"/>
  <c r="M149" i="4"/>
  <c r="AU149" i="4"/>
  <c r="L149" i="4"/>
  <c r="S149" i="4"/>
  <c r="K149" i="4"/>
  <c r="AJ149" i="4"/>
  <c r="T149" i="4"/>
  <c r="T155" i="4"/>
  <c r="K155" i="4"/>
  <c r="AU155" i="4"/>
  <c r="M155" i="4"/>
  <c r="L155" i="4"/>
  <c r="AJ155" i="4"/>
  <c r="AS155" i="4"/>
  <c r="S155" i="4"/>
  <c r="AS161" i="4"/>
  <c r="M161" i="4"/>
  <c r="AU161" i="4"/>
  <c r="L161" i="4"/>
  <c r="AJ161" i="4"/>
  <c r="T161" i="4"/>
  <c r="S161" i="4"/>
  <c r="K161" i="4"/>
  <c r="J189" i="4"/>
  <c r="E7" i="17"/>
  <c r="E13" i="17"/>
  <c r="J166" i="4"/>
  <c r="J172" i="4"/>
  <c r="E19" i="17"/>
  <c r="E25" i="17"/>
  <c r="J181" i="4"/>
  <c r="L12" i="18"/>
  <c r="M12" i="18" s="1"/>
  <c r="L29" i="18"/>
  <c r="M29" i="18" s="1"/>
  <c r="Y144" i="6"/>
  <c r="Y150" i="6"/>
  <c r="Y156" i="6"/>
  <c r="Y162" i="6"/>
  <c r="Y169" i="6"/>
  <c r="Y175" i="6"/>
  <c r="Y181" i="6"/>
  <c r="Y187" i="6"/>
  <c r="L2" i="18"/>
  <c r="K150" i="4"/>
  <c r="AU150" i="4"/>
  <c r="S150" i="4"/>
  <c r="M150" i="4"/>
  <c r="AS150" i="4"/>
  <c r="AJ150" i="4"/>
  <c r="L150" i="4"/>
  <c r="T150" i="4"/>
  <c r="L156" i="4"/>
  <c r="AJ156" i="4"/>
  <c r="T156" i="4"/>
  <c r="AU156" i="4"/>
  <c r="M156" i="4"/>
  <c r="S156" i="4"/>
  <c r="K156" i="4"/>
  <c r="AS156" i="4"/>
  <c r="J183" i="4"/>
  <c r="E2" i="17"/>
  <c r="E8" i="17"/>
  <c r="J162" i="4"/>
  <c r="E14" i="17"/>
  <c r="J167" i="4"/>
  <c r="E20" i="17"/>
  <c r="J185" i="4"/>
  <c r="J176" i="4"/>
  <c r="E26" i="17"/>
  <c r="Y145" i="6"/>
  <c r="Y151" i="6"/>
  <c r="Y157" i="6"/>
  <c r="Y164" i="6"/>
  <c r="Y170" i="6"/>
  <c r="Y176" i="6"/>
  <c r="Y182" i="6"/>
  <c r="Y188" i="6"/>
  <c r="BA64" i="4"/>
  <c r="AY64" i="4"/>
  <c r="L9" i="18"/>
  <c r="M9" i="18" s="1"/>
  <c r="T146" i="4"/>
  <c r="AU146" i="4"/>
  <c r="M146" i="4"/>
  <c r="L146" i="4"/>
  <c r="K146" i="4"/>
  <c r="AJ146" i="4"/>
  <c r="S146" i="4"/>
  <c r="AS146" i="4"/>
  <c r="AS152" i="4"/>
  <c r="M152" i="4"/>
  <c r="T152" i="4"/>
  <c r="K152" i="4"/>
  <c r="AJ152" i="4"/>
  <c r="L152" i="4"/>
  <c r="AU152" i="4"/>
  <c r="S152" i="4"/>
  <c r="AU158" i="4"/>
  <c r="M158" i="4"/>
  <c r="L158" i="4"/>
  <c r="AJ158" i="4"/>
  <c r="AS158" i="4"/>
  <c r="T158" i="4"/>
  <c r="S158" i="4"/>
  <c r="K158" i="4"/>
  <c r="J184" i="4"/>
  <c r="E4" i="17"/>
  <c r="J164" i="4"/>
  <c r="E10" i="17"/>
  <c r="E16" i="17"/>
  <c r="J169" i="4"/>
  <c r="E22" i="17"/>
  <c r="J173" i="4"/>
  <c r="J187" i="4"/>
  <c r="E28" i="17"/>
  <c r="L4" i="18"/>
  <c r="L26" i="18"/>
  <c r="M26" i="18" s="1"/>
  <c r="Y147" i="6"/>
  <c r="Y153" i="6"/>
  <c r="Y159" i="6"/>
  <c r="Y166" i="6"/>
  <c r="Y172" i="6"/>
  <c r="Y178" i="6"/>
  <c r="Y184" i="6"/>
  <c r="Y190" i="6"/>
  <c r="BA68" i="4"/>
  <c r="AY68" i="4"/>
  <c r="BA72" i="4"/>
  <c r="AY72" i="4"/>
  <c r="BA76" i="4"/>
  <c r="AY76" i="4"/>
  <c r="BA80" i="4"/>
  <c r="AY80" i="4"/>
  <c r="AY34" i="4"/>
  <c r="BA66" i="4"/>
  <c r="AY66" i="4"/>
  <c r="BA67" i="4"/>
  <c r="AY67" i="4"/>
  <c r="AY35" i="4"/>
  <c r="BA71" i="4"/>
  <c r="AY71" i="4"/>
  <c r="BA75" i="4"/>
  <c r="AY75" i="4"/>
  <c r="BA79" i="4"/>
  <c r="AY79" i="4"/>
  <c r="BA83" i="4"/>
  <c r="AY83" i="4"/>
  <c r="AY22" i="4"/>
  <c r="AY61" i="4"/>
  <c r="BA70" i="4"/>
  <c r="AY70" i="4"/>
  <c r="BA74" i="4"/>
  <c r="AY74" i="4"/>
  <c r="BA78" i="4"/>
  <c r="AY78" i="4"/>
  <c r="BA82" i="4"/>
  <c r="AY82" i="4"/>
  <c r="BA69" i="4"/>
  <c r="AY69" i="4"/>
  <c r="BA73" i="4"/>
  <c r="AY73" i="4"/>
  <c r="BA77" i="4"/>
  <c r="AY77" i="4"/>
  <c r="BA81" i="4"/>
  <c r="AY81" i="4"/>
  <c r="BA182" i="4"/>
  <c r="AY182" i="4"/>
  <c r="BA117" i="4"/>
  <c r="AY117" i="4"/>
  <c r="BA103" i="4"/>
  <c r="AY103" i="4"/>
  <c r="BA111" i="4"/>
  <c r="AY111" i="4"/>
  <c r="AY168" i="4"/>
  <c r="BA168" i="4"/>
  <c r="BA104" i="4"/>
  <c r="AY104" i="4"/>
  <c r="AE4" i="7"/>
  <c r="AG4" i="7"/>
  <c r="BA183" i="4"/>
  <c r="AY183" i="4"/>
  <c r="AE21" i="7"/>
  <c r="AG21" i="7"/>
  <c r="AG10" i="7"/>
  <c r="BA173" i="4"/>
  <c r="AY173" i="4"/>
  <c r="AY99" i="4"/>
  <c r="AY109" i="4"/>
  <c r="AY115" i="4"/>
  <c r="BA172" i="4"/>
  <c r="BA176" i="4"/>
  <c r="BA178" i="4"/>
  <c r="AG12" i="7"/>
  <c r="AE12" i="7"/>
  <c r="AE24" i="7"/>
  <c r="AY180" i="4"/>
  <c r="BA180" i="4"/>
  <c r="AG5" i="7"/>
  <c r="AG7" i="7"/>
  <c r="AE15" i="7"/>
  <c r="O26" i="22"/>
  <c r="AC27" i="22" s="1"/>
  <c r="O51" i="22"/>
  <c r="O36" i="22"/>
  <c r="O48" i="22"/>
  <c r="O30" i="22"/>
  <c r="O50" i="22"/>
  <c r="O42" i="22"/>
  <c r="O44" i="22"/>
  <c r="D19" i="31" l="1"/>
  <c r="X54" i="4"/>
  <c r="Z54" i="4" s="1"/>
  <c r="AB9" i="7"/>
  <c r="AA8" i="7"/>
  <c r="AB11" i="7"/>
  <c r="AA10" i="7"/>
  <c r="AB7" i="7"/>
  <c r="AB5" i="7"/>
  <c r="V4" i="7"/>
  <c r="AT177" i="4"/>
  <c r="AT180" i="4"/>
  <c r="AT173" i="4"/>
  <c r="AT181" i="4"/>
  <c r="AT183" i="4"/>
  <c r="AF11" i="22"/>
  <c r="S66" i="22"/>
  <c r="AF66" i="22"/>
  <c r="AA66" i="22"/>
  <c r="T18" i="22"/>
  <c r="Q18" i="22"/>
  <c r="R18" i="22" s="1"/>
  <c r="S18" i="22"/>
  <c r="T11" i="22"/>
  <c r="AA19" i="22"/>
  <c r="AC20" i="22"/>
  <c r="Q14" i="22"/>
  <c r="R14" i="22" s="1"/>
  <c r="AC15" i="22"/>
  <c r="S34" i="22"/>
  <c r="AC35" i="22"/>
  <c r="AC13" i="22"/>
  <c r="AA13" i="22"/>
  <c r="AC14" i="22"/>
  <c r="AB28" i="22"/>
  <c r="AC29" i="22"/>
  <c r="Q20" i="22"/>
  <c r="R20" i="22" s="1"/>
  <c r="AC21" i="22"/>
  <c r="T21" i="22"/>
  <c r="AC22" i="22"/>
  <c r="AB41" i="22"/>
  <c r="AC42" i="22"/>
  <c r="Q40" i="22"/>
  <c r="R40" i="22" s="1"/>
  <c r="AC41" i="22"/>
  <c r="Q62" i="22"/>
  <c r="R62" i="22" s="1"/>
  <c r="AA62" i="22"/>
  <c r="Q33" i="22"/>
  <c r="R33" i="22" s="1"/>
  <c r="AC34" i="22"/>
  <c r="I50" i="10"/>
  <c r="M50" i="10"/>
  <c r="E50" i="10"/>
  <c r="AA18" i="22"/>
  <c r="AB18" i="22"/>
  <c r="Q66" i="22"/>
  <c r="R66" i="22" s="1"/>
  <c r="T66" i="22"/>
  <c r="AA61" i="22"/>
  <c r="AB66" i="22"/>
  <c r="AC61" i="22"/>
  <c r="AC18" i="22"/>
  <c r="S40" i="22"/>
  <c r="AB23" i="22"/>
  <c r="AB9" i="22"/>
  <c r="S61" i="22"/>
  <c r="AC11" i="22"/>
  <c r="T61" i="22"/>
  <c r="S11" i="22"/>
  <c r="AB62" i="22"/>
  <c r="S62" i="22"/>
  <c r="AA11" i="22"/>
  <c r="T62" i="22"/>
  <c r="AC62" i="22"/>
  <c r="AB11" i="22"/>
  <c r="AF61" i="22"/>
  <c r="Q23" i="22"/>
  <c r="R23" i="22" s="1"/>
  <c r="T37" i="22"/>
  <c r="T41" i="22"/>
  <c r="AC23" i="22"/>
  <c r="S41" i="22"/>
  <c r="T27" i="22"/>
  <c r="AC40" i="22"/>
  <c r="AB57" i="22"/>
  <c r="AC67" i="22"/>
  <c r="Q37" i="22"/>
  <c r="R37" i="22" s="1"/>
  <c r="AB61" i="22"/>
  <c r="AB27" i="22"/>
  <c r="AA67" i="22"/>
  <c r="T67" i="22"/>
  <c r="AA35" i="22"/>
  <c r="AA23" i="22"/>
  <c r="Q9" i="22"/>
  <c r="R9" i="22" s="1"/>
  <c r="AB12" i="22"/>
  <c r="S37" i="22"/>
  <c r="AA37" i="22"/>
  <c r="AA9" i="22"/>
  <c r="AB49" i="22"/>
  <c r="AB37" i="22"/>
  <c r="T9" i="22"/>
  <c r="AA33" i="22"/>
  <c r="S67" i="22"/>
  <c r="Q47" i="22"/>
  <c r="R47" i="22" s="1"/>
  <c r="Q35" i="22"/>
  <c r="R35" i="22" s="1"/>
  <c r="T45" i="22"/>
  <c r="T13" i="22"/>
  <c r="AB35" i="22"/>
  <c r="AA52" i="22"/>
  <c r="AA45" i="22"/>
  <c r="AC52" i="22"/>
  <c r="S64" i="22"/>
  <c r="T64" i="22"/>
  <c r="Q60" i="22"/>
  <c r="R60" i="22" s="1"/>
  <c r="S60" i="22"/>
  <c r="T60" i="22"/>
  <c r="S21" i="22"/>
  <c r="S65" i="22"/>
  <c r="T65" i="22"/>
  <c r="AB43" i="22"/>
  <c r="AA65" i="22"/>
  <c r="S47" i="22"/>
  <c r="AC65" i="22"/>
  <c r="AA47" i="22"/>
  <c r="AF65" i="22"/>
  <c r="AC47" i="22"/>
  <c r="T28" i="22"/>
  <c r="AB64" i="22"/>
  <c r="AA20" i="22"/>
  <c r="AF64" i="22"/>
  <c r="Q64" i="22"/>
  <c r="R64" i="22" s="1"/>
  <c r="AB22" i="22"/>
  <c r="AB56" i="22"/>
  <c r="AC56" i="22"/>
  <c r="T7" i="22"/>
  <c r="AA15" i="22"/>
  <c r="Q43" i="22"/>
  <c r="R43" i="22" s="1"/>
  <c r="S43" i="22"/>
  <c r="AB45" i="22"/>
  <c r="S52" i="22"/>
  <c r="AA60" i="22"/>
  <c r="Q45" i="22"/>
  <c r="R45" i="22" s="1"/>
  <c r="AA43" i="22"/>
  <c r="Q8" i="22"/>
  <c r="R8" i="22" s="1"/>
  <c r="AB65" i="22"/>
  <c r="AA38" i="22"/>
  <c r="AF60" i="22"/>
  <c r="S45" i="22"/>
  <c r="AC43" i="22"/>
  <c r="AF7" i="22"/>
  <c r="AF6" i="22"/>
  <c r="T23" i="22"/>
  <c r="Q28" i="22"/>
  <c r="R28" i="22" s="1"/>
  <c r="T6" i="22"/>
  <c r="T52" i="22"/>
  <c r="Q54" i="22"/>
  <c r="R54" i="22" s="1"/>
  <c r="T56" i="22"/>
  <c r="S32" i="22"/>
  <c r="AA6" i="22"/>
  <c r="AB67" i="22"/>
  <c r="AB54" i="22"/>
  <c r="AC64" i="22"/>
  <c r="AA56" i="22"/>
  <c r="AC55" i="22"/>
  <c r="S23" i="22"/>
  <c r="Q27" i="22"/>
  <c r="R27" i="22" s="1"/>
  <c r="S9" i="22"/>
  <c r="AC7" i="22"/>
  <c r="Q6" i="22"/>
  <c r="R6" i="22" s="1"/>
  <c r="Q41" i="22"/>
  <c r="R41" i="22" s="1"/>
  <c r="AB20" i="22"/>
  <c r="S14" i="22"/>
  <c r="AA28" i="22"/>
  <c r="Q22" i="22"/>
  <c r="R22" i="22" s="1"/>
  <c r="S20" i="22"/>
  <c r="Q67" i="22"/>
  <c r="R67" i="22" s="1"/>
  <c r="AC54" i="22"/>
  <c r="S28" i="22"/>
  <c r="AB60" i="22"/>
  <c r="S27" i="22"/>
  <c r="T20" i="22"/>
  <c r="AB7" i="22"/>
  <c r="AC6" i="22"/>
  <c r="AA41" i="22"/>
  <c r="AF54" i="22"/>
  <c r="AC45" i="22"/>
  <c r="AA27" i="22"/>
  <c r="T14" i="22"/>
  <c r="AA7" i="22"/>
  <c r="AA32" i="22"/>
  <c r="AA34" i="22"/>
  <c r="S24" i="22"/>
  <c r="S5" i="22"/>
  <c r="AA24" i="22"/>
  <c r="AA5" i="22"/>
  <c r="AB5" i="22"/>
  <c r="T5" i="22"/>
  <c r="AF5" i="22"/>
  <c r="AA58" i="22"/>
  <c r="Q34" i="22"/>
  <c r="R34" i="22" s="1"/>
  <c r="AF58" i="22"/>
  <c r="AA17" i="22"/>
  <c r="Q58" i="22"/>
  <c r="R58" i="22" s="1"/>
  <c r="T33" i="22"/>
  <c r="AB17" i="22"/>
  <c r="AB33" i="22"/>
  <c r="AB32" i="22"/>
  <c r="AC33" i="22"/>
  <c r="Q10" i="22"/>
  <c r="R10" i="22" s="1"/>
  <c r="AF32" i="22"/>
  <c r="S33" i="22"/>
  <c r="AA10" i="22"/>
  <c r="AC58" i="22"/>
  <c r="AC17" i="22"/>
  <c r="AB6" i="22"/>
  <c r="T16" i="22"/>
  <c r="Q16" i="22"/>
  <c r="R16" i="22" s="1"/>
  <c r="S54" i="22"/>
  <c r="AF52" i="22"/>
  <c r="Q56" i="22"/>
  <c r="R56" i="22" s="1"/>
  <c r="Q32" i="22"/>
  <c r="R32" i="22" s="1"/>
  <c r="S29" i="22"/>
  <c r="AB24" i="22"/>
  <c r="AB10" i="22"/>
  <c r="Q7" i="22"/>
  <c r="R7" i="22" s="1"/>
  <c r="Q5" i="22"/>
  <c r="R5" i="22" s="1"/>
  <c r="AC57" i="22"/>
  <c r="AA54" i="22"/>
  <c r="Q52" i="22"/>
  <c r="R52" i="22" s="1"/>
  <c r="T32" i="22"/>
  <c r="AC16" i="22"/>
  <c r="AB14" i="22"/>
  <c r="AC10" i="22"/>
  <c r="AF57" i="22"/>
  <c r="T10" i="22"/>
  <c r="Q57" i="22"/>
  <c r="R57" i="22" s="1"/>
  <c r="S16" i="22"/>
  <c r="S17" i="22"/>
  <c r="S10" i="22"/>
  <c r="S57" i="22"/>
  <c r="AB63" i="22"/>
  <c r="AA16" i="22"/>
  <c r="T57" i="22"/>
  <c r="Q17" i="22"/>
  <c r="R17" i="22" s="1"/>
  <c r="T49" i="22"/>
  <c r="AC9" i="22"/>
  <c r="S39" i="22"/>
  <c r="AC39" i="22"/>
  <c r="AA39" i="22"/>
  <c r="AB39" i="22"/>
  <c r="S53" i="22"/>
  <c r="Q19" i="22"/>
  <c r="R19" i="22" s="1"/>
  <c r="T39" i="22"/>
  <c r="AA53" i="22"/>
  <c r="S19" i="22"/>
  <c r="Q39" i="22"/>
  <c r="R39" i="22" s="1"/>
  <c r="AB53" i="22"/>
  <c r="T53" i="22"/>
  <c r="AC53" i="22"/>
  <c r="AC19" i="22"/>
  <c r="AF53" i="22"/>
  <c r="T19" i="22"/>
  <c r="AB47" i="22"/>
  <c r="AB19" i="22"/>
  <c r="Q31" i="22"/>
  <c r="R31" i="22" s="1"/>
  <c r="Q46" i="22"/>
  <c r="R46" i="22" s="1"/>
  <c r="AF25" i="22"/>
  <c r="Q25" i="22"/>
  <c r="R25" i="22" s="1"/>
  <c r="AA31" i="22"/>
  <c r="S46" i="22"/>
  <c r="S25" i="22"/>
  <c r="AC31" i="22"/>
  <c r="AB25" i="22"/>
  <c r="T25" i="22"/>
  <c r="AA25" i="22"/>
  <c r="T31" i="22"/>
  <c r="AC63" i="22"/>
  <c r="AF63" i="22"/>
  <c r="AB31" i="22"/>
  <c r="AB46" i="22"/>
  <c r="Q63" i="22"/>
  <c r="R63" i="22" s="1"/>
  <c r="T47" i="22"/>
  <c r="S63" i="22"/>
  <c r="T63" i="22"/>
  <c r="AC46" i="22"/>
  <c r="AA46" i="22"/>
  <c r="AB21" i="22"/>
  <c r="Q13" i="22"/>
  <c r="R13" i="22" s="1"/>
  <c r="Q12" i="22"/>
  <c r="R12" i="22" s="1"/>
  <c r="S12" i="22"/>
  <c r="Q38" i="22"/>
  <c r="R38" i="22" s="1"/>
  <c r="Q21" i="22"/>
  <c r="R21" i="22" s="1"/>
  <c r="AF8" i="22"/>
  <c r="T12" i="22"/>
  <c r="S38" i="22"/>
  <c r="T22" i="22"/>
  <c r="AA21" i="22"/>
  <c r="AB13" i="22"/>
  <c r="AC8" i="22"/>
  <c r="AA12" i="22"/>
  <c r="T8" i="22"/>
  <c r="AB38" i="22"/>
  <c r="T29" i="22"/>
  <c r="S22" i="22"/>
  <c r="AB8" i="22"/>
  <c r="AA29" i="22"/>
  <c r="AA8" i="22"/>
  <c r="Q29" i="22"/>
  <c r="R29" i="22" s="1"/>
  <c r="AB40" i="22"/>
  <c r="AA40" i="22"/>
  <c r="T40" i="22"/>
  <c r="S13" i="22"/>
  <c r="AC49" i="22"/>
  <c r="AB34" i="22"/>
  <c r="T34" i="22"/>
  <c r="Q55" i="22"/>
  <c r="R55" i="22" s="1"/>
  <c r="S59" i="22"/>
  <c r="S55" i="22"/>
  <c r="AA49" i="22"/>
  <c r="T59" i="22"/>
  <c r="T55" i="22"/>
  <c r="AA59" i="22"/>
  <c r="AA55" i="22"/>
  <c r="AB58" i="22"/>
  <c r="Q24" i="22"/>
  <c r="R24" i="22" s="1"/>
  <c r="T15" i="22"/>
  <c r="AB15" i="22"/>
  <c r="AB59" i="22"/>
  <c r="AB55" i="22"/>
  <c r="AF59" i="22"/>
  <c r="AC59" i="22"/>
  <c r="Q49" i="22"/>
  <c r="R49" i="22" s="1"/>
  <c r="S35" i="22"/>
  <c r="S58" i="22"/>
  <c r="Q15" i="22"/>
  <c r="R15" i="22" s="1"/>
  <c r="S15" i="22"/>
  <c r="T38" i="22"/>
  <c r="S49" i="22"/>
  <c r="AC24" i="22"/>
  <c r="AS88" i="4"/>
  <c r="M88" i="4"/>
  <c r="L88" i="4"/>
  <c r="AU88" i="4"/>
  <c r="K88" i="4"/>
  <c r="AJ88" i="4"/>
  <c r="T88" i="4"/>
  <c r="S88" i="4"/>
  <c r="AC50" i="22"/>
  <c r="AA50" i="22"/>
  <c r="S50" i="22"/>
  <c r="Q50" i="22"/>
  <c r="R50" i="22" s="1"/>
  <c r="AF50" i="22"/>
  <c r="AB50" i="22"/>
  <c r="T50" i="22"/>
  <c r="AJ176" i="4"/>
  <c r="K176" i="4"/>
  <c r="T176" i="4"/>
  <c r="L176" i="4"/>
  <c r="M176" i="4"/>
  <c r="S176" i="4"/>
  <c r="E16" i="18"/>
  <c r="M189" i="4"/>
  <c r="K189" i="4"/>
  <c r="AJ189" i="4"/>
  <c r="AT189" i="4"/>
  <c r="AS189" i="4"/>
  <c r="T189" i="4"/>
  <c r="R189" i="4"/>
  <c r="L189" i="4"/>
  <c r="AU189" i="4"/>
  <c r="S189" i="4"/>
  <c r="E29" i="18"/>
  <c r="X30" i="4"/>
  <c r="Y30" i="4" s="1"/>
  <c r="H43" i="11" s="1"/>
  <c r="AB30" i="4"/>
  <c r="T136" i="4"/>
  <c r="AU136" i="4"/>
  <c r="S136" i="4"/>
  <c r="K136" i="4"/>
  <c r="AJ136" i="4"/>
  <c r="M136" i="4"/>
  <c r="AS136" i="4"/>
  <c r="L136" i="4"/>
  <c r="AS111" i="4"/>
  <c r="AJ111" i="4"/>
  <c r="T111" i="4"/>
  <c r="AU111" i="4"/>
  <c r="S111" i="4"/>
  <c r="L111" i="4"/>
  <c r="K111" i="4"/>
  <c r="M111" i="4"/>
  <c r="AU9" i="4"/>
  <c r="G22" i="11" s="1"/>
  <c r="T9" i="4"/>
  <c r="AT9" i="4"/>
  <c r="F22" i="11" s="1"/>
  <c r="S9" i="4"/>
  <c r="AS9" i="4"/>
  <c r="E22" i="11" s="1"/>
  <c r="M9" i="4"/>
  <c r="L9" i="4"/>
  <c r="K9" i="4"/>
  <c r="AJ9" i="4"/>
  <c r="I9" i="4"/>
  <c r="AU10" i="4"/>
  <c r="G23" i="11" s="1"/>
  <c r="T10" i="4"/>
  <c r="AT10" i="4"/>
  <c r="F23" i="11" s="1"/>
  <c r="S10" i="4"/>
  <c r="AS10" i="4"/>
  <c r="E23" i="11" s="1"/>
  <c r="M10" i="4"/>
  <c r="L10" i="4"/>
  <c r="K10" i="4"/>
  <c r="AJ10" i="4"/>
  <c r="I10" i="4"/>
  <c r="AB21" i="4"/>
  <c r="X21" i="4"/>
  <c r="Y21" i="4" s="1"/>
  <c r="H34" i="11" s="1"/>
  <c r="K131" i="4"/>
  <c r="AU131" i="4"/>
  <c r="S131" i="4"/>
  <c r="M131" i="4"/>
  <c r="L131" i="4"/>
  <c r="AJ131" i="4"/>
  <c r="T131" i="4"/>
  <c r="AS131" i="4"/>
  <c r="AB33" i="4"/>
  <c r="X33" i="4"/>
  <c r="Y33" i="4" s="1"/>
  <c r="M106" i="4"/>
  <c r="AS106" i="4"/>
  <c r="L106" i="4"/>
  <c r="AJ106" i="4"/>
  <c r="AU106" i="4"/>
  <c r="T106" i="4"/>
  <c r="S106" i="4"/>
  <c r="K106" i="4"/>
  <c r="AU170" i="4"/>
  <c r="T170" i="4"/>
  <c r="AS170" i="4"/>
  <c r="R170" i="4"/>
  <c r="M170" i="4"/>
  <c r="K170" i="4"/>
  <c r="AJ170" i="4"/>
  <c r="S170" i="4"/>
  <c r="L170" i="4"/>
  <c r="E10" i="18"/>
  <c r="AS117" i="4"/>
  <c r="M117" i="4"/>
  <c r="AJ117" i="4"/>
  <c r="T117" i="4"/>
  <c r="L117" i="4"/>
  <c r="K117" i="4"/>
  <c r="AU117" i="4"/>
  <c r="S117" i="4"/>
  <c r="X8" i="7"/>
  <c r="AB8" i="7"/>
  <c r="V8" i="7"/>
  <c r="AH8" i="7"/>
  <c r="AI8" i="7" s="1"/>
  <c r="Y8" i="7"/>
  <c r="W8" i="7"/>
  <c r="R185" i="4"/>
  <c r="AS185" i="4"/>
  <c r="M185" i="4"/>
  <c r="K185" i="4"/>
  <c r="T185" i="4"/>
  <c r="S185" i="4"/>
  <c r="AT185" i="4"/>
  <c r="AJ185" i="4"/>
  <c r="L185" i="4"/>
  <c r="AU185" i="4"/>
  <c r="E25" i="18"/>
  <c r="AB161" i="4"/>
  <c r="X161" i="4"/>
  <c r="Y161" i="4" s="1"/>
  <c r="AB160" i="4"/>
  <c r="X160" i="4"/>
  <c r="Y160" i="4" s="1"/>
  <c r="AS137" i="4"/>
  <c r="T137" i="4"/>
  <c r="L137" i="4"/>
  <c r="K137" i="4"/>
  <c r="AJ137" i="4"/>
  <c r="S137" i="4"/>
  <c r="M137" i="4"/>
  <c r="AU137" i="4"/>
  <c r="AU66" i="4"/>
  <c r="T66" i="4"/>
  <c r="S66" i="4"/>
  <c r="AS66" i="4"/>
  <c r="M66" i="4"/>
  <c r="L66" i="4"/>
  <c r="AJ66" i="4"/>
  <c r="K66" i="4"/>
  <c r="AH10" i="7"/>
  <c r="AI10" i="7" s="1"/>
  <c r="W10" i="7"/>
  <c r="V10" i="7"/>
  <c r="X10" i="7"/>
  <c r="Y10" i="7"/>
  <c r="AS86" i="4"/>
  <c r="M86" i="4"/>
  <c r="L86" i="4"/>
  <c r="T86" i="4"/>
  <c r="S86" i="4"/>
  <c r="AU86" i="4"/>
  <c r="K86" i="4"/>
  <c r="AJ86" i="4"/>
  <c r="AJ145" i="4"/>
  <c r="AU145" i="4"/>
  <c r="M145" i="4"/>
  <c r="L145" i="4"/>
  <c r="T145" i="4"/>
  <c r="S145" i="4"/>
  <c r="AS145" i="4"/>
  <c r="K145" i="4"/>
  <c r="AU73" i="4"/>
  <c r="T73" i="4"/>
  <c r="S73" i="4"/>
  <c r="AS73" i="4"/>
  <c r="M73" i="4"/>
  <c r="L73" i="4"/>
  <c r="K73" i="4"/>
  <c r="AJ73" i="4"/>
  <c r="Y11" i="7"/>
  <c r="V11" i="7"/>
  <c r="AH11" i="7"/>
  <c r="AI11" i="7" s="1"/>
  <c r="AA11" i="7"/>
  <c r="X11" i="7"/>
  <c r="W11" i="7"/>
  <c r="S96" i="4"/>
  <c r="AS96" i="4"/>
  <c r="M96" i="4"/>
  <c r="L96" i="4"/>
  <c r="AJ96" i="4"/>
  <c r="T96" i="4"/>
  <c r="K96" i="4"/>
  <c r="AU96" i="4"/>
  <c r="AB56" i="4"/>
  <c r="X56" i="4"/>
  <c r="Y56" i="4" s="1"/>
  <c r="X26" i="4"/>
  <c r="Y26" i="4" s="1"/>
  <c r="H39" i="11" s="1"/>
  <c r="AB26" i="4"/>
  <c r="AU80" i="4"/>
  <c r="T80" i="4"/>
  <c r="S80" i="4"/>
  <c r="AS80" i="4"/>
  <c r="M80" i="4"/>
  <c r="L80" i="4"/>
  <c r="K80" i="4"/>
  <c r="AJ80" i="4"/>
  <c r="M103" i="4"/>
  <c r="AJ103" i="4"/>
  <c r="AU103" i="4"/>
  <c r="T103" i="4"/>
  <c r="AS103" i="4"/>
  <c r="L103" i="4"/>
  <c r="S103" i="4"/>
  <c r="K103" i="4"/>
  <c r="AS126" i="4"/>
  <c r="M126" i="4"/>
  <c r="T126" i="4"/>
  <c r="L126" i="4"/>
  <c r="AU126" i="4"/>
  <c r="K126" i="4"/>
  <c r="AJ126" i="4"/>
  <c r="S126" i="4"/>
  <c r="AS164" i="4"/>
  <c r="M164" i="4"/>
  <c r="K164" i="4"/>
  <c r="T164" i="4"/>
  <c r="S164" i="4"/>
  <c r="L164" i="4"/>
  <c r="AU164" i="4"/>
  <c r="AJ164" i="4"/>
  <c r="E4" i="18"/>
  <c r="AB146" i="4"/>
  <c r="X146" i="4"/>
  <c r="Y146" i="4" s="1"/>
  <c r="AB60" i="4"/>
  <c r="X60" i="4"/>
  <c r="Y60" i="4" s="1"/>
  <c r="T124" i="4"/>
  <c r="AU124" i="4"/>
  <c r="S124" i="4"/>
  <c r="K124" i="4"/>
  <c r="AJ124" i="4"/>
  <c r="M124" i="4"/>
  <c r="L124" i="4"/>
  <c r="AS124" i="4"/>
  <c r="L165" i="4"/>
  <c r="AJ165" i="4"/>
  <c r="T165" i="4"/>
  <c r="S165" i="4"/>
  <c r="M165" i="4"/>
  <c r="AS165" i="4"/>
  <c r="K165" i="4"/>
  <c r="AU165" i="4"/>
  <c r="E5" i="18"/>
  <c r="S99" i="4"/>
  <c r="AS99" i="4"/>
  <c r="M99" i="4"/>
  <c r="L99" i="4"/>
  <c r="AJ99" i="4"/>
  <c r="T99" i="4"/>
  <c r="K99" i="4"/>
  <c r="AU99" i="4"/>
  <c r="X53" i="4"/>
  <c r="Y53" i="4" s="1"/>
  <c r="AB53" i="4"/>
  <c r="AB41" i="4"/>
  <c r="X41" i="4"/>
  <c r="Y41" i="4" s="1"/>
  <c r="AB15" i="4"/>
  <c r="X15" i="4"/>
  <c r="Y15" i="4" s="1"/>
  <c r="H28" i="11" s="1"/>
  <c r="AB22" i="4"/>
  <c r="X22" i="4"/>
  <c r="Y22" i="4" s="1"/>
  <c r="H35" i="11" s="1"/>
  <c r="L4" i="4"/>
  <c r="K4" i="4"/>
  <c r="AJ4" i="4"/>
  <c r="AU4" i="4"/>
  <c r="G17" i="11" s="1"/>
  <c r="AT4" i="4"/>
  <c r="F17" i="11" s="1"/>
  <c r="M4" i="4"/>
  <c r="I4" i="4"/>
  <c r="AS4" i="4"/>
  <c r="E17" i="11" s="1"/>
  <c r="T4" i="4"/>
  <c r="S4" i="4"/>
  <c r="K119" i="4"/>
  <c r="AJ119" i="4"/>
  <c r="T119" i="4"/>
  <c r="AU119" i="4"/>
  <c r="S119" i="4"/>
  <c r="L119" i="4"/>
  <c r="M119" i="4"/>
  <c r="AS119" i="4"/>
  <c r="S94" i="4"/>
  <c r="AS94" i="4"/>
  <c r="M94" i="4"/>
  <c r="L94" i="4"/>
  <c r="AJ94" i="4"/>
  <c r="T94" i="4"/>
  <c r="K94" i="4"/>
  <c r="AU94" i="4"/>
  <c r="M105" i="4"/>
  <c r="L105" i="4"/>
  <c r="K105" i="4"/>
  <c r="AU105" i="4"/>
  <c r="T105" i="4"/>
  <c r="S105" i="4"/>
  <c r="AS105" i="4"/>
  <c r="AJ105" i="4"/>
  <c r="AB44" i="4"/>
  <c r="X44" i="4"/>
  <c r="Y44" i="4" s="1"/>
  <c r="M178" i="4"/>
  <c r="AJ178" i="4"/>
  <c r="L178" i="4"/>
  <c r="K178" i="4"/>
  <c r="S178" i="4"/>
  <c r="T178" i="4"/>
  <c r="E18" i="18"/>
  <c r="AB49" i="4"/>
  <c r="X49" i="4"/>
  <c r="Y49" i="4" s="1"/>
  <c r="AB37" i="4"/>
  <c r="X37" i="4"/>
  <c r="Y37" i="4" s="1"/>
  <c r="AB42" i="22"/>
  <c r="AA42" i="22"/>
  <c r="S42" i="22"/>
  <c r="T42" i="22"/>
  <c r="Q42" i="22"/>
  <c r="R42" i="22" s="1"/>
  <c r="AC48" i="22"/>
  <c r="AB48" i="22"/>
  <c r="AA48" i="22"/>
  <c r="S48" i="22"/>
  <c r="Q48" i="22"/>
  <c r="R48" i="22" s="1"/>
  <c r="T48" i="22"/>
  <c r="AB20" i="7"/>
  <c r="AB150" i="4"/>
  <c r="X150" i="4"/>
  <c r="Y150" i="4" s="1"/>
  <c r="AU181" i="4"/>
  <c r="K181" i="4"/>
  <c r="AS181" i="4"/>
  <c r="AJ181" i="4"/>
  <c r="S181" i="4"/>
  <c r="L181" i="4"/>
  <c r="T181" i="4"/>
  <c r="M181" i="4"/>
  <c r="E21" i="18"/>
  <c r="L175" i="4"/>
  <c r="AU175" i="4"/>
  <c r="T175" i="4"/>
  <c r="AJ175" i="4"/>
  <c r="M175" i="4"/>
  <c r="R175" i="4"/>
  <c r="AS175" i="4"/>
  <c r="S175" i="4"/>
  <c r="K175" i="4"/>
  <c r="E15" i="18"/>
  <c r="T125" i="4"/>
  <c r="L125" i="4"/>
  <c r="AJ125" i="4"/>
  <c r="AU125" i="4"/>
  <c r="K125" i="4"/>
  <c r="AS125" i="4"/>
  <c r="M125" i="4"/>
  <c r="S125" i="4"/>
  <c r="AU12" i="4"/>
  <c r="G25" i="11" s="1"/>
  <c r="T12" i="4"/>
  <c r="AT12" i="4"/>
  <c r="F25" i="11" s="1"/>
  <c r="S12" i="4"/>
  <c r="AS12" i="4"/>
  <c r="E25" i="11" s="1"/>
  <c r="M12" i="4"/>
  <c r="L12" i="4"/>
  <c r="K12" i="4"/>
  <c r="AJ12" i="4"/>
  <c r="I12" i="4"/>
  <c r="X29" i="4"/>
  <c r="Y29" i="4" s="1"/>
  <c r="H42" i="11" s="1"/>
  <c r="AB29" i="4"/>
  <c r="AU74" i="4"/>
  <c r="T74" i="4"/>
  <c r="S74" i="4"/>
  <c r="AS74" i="4"/>
  <c r="M74" i="4"/>
  <c r="L74" i="4"/>
  <c r="K74" i="4"/>
  <c r="AJ74" i="4"/>
  <c r="AS133" i="4"/>
  <c r="M133" i="4"/>
  <c r="L133" i="4"/>
  <c r="K133" i="4"/>
  <c r="AU133" i="4"/>
  <c r="AJ133" i="4"/>
  <c r="T133" i="4"/>
  <c r="S133" i="4"/>
  <c r="X64" i="4"/>
  <c r="Y64" i="4" s="1"/>
  <c r="AB64" i="4"/>
  <c r="AB34" i="4"/>
  <c r="X34" i="4"/>
  <c r="Y34" i="4" s="1"/>
  <c r="X5" i="7"/>
  <c r="AH5" i="7"/>
  <c r="AI5" i="7" s="1"/>
  <c r="W5" i="7"/>
  <c r="V5" i="7"/>
  <c r="AA5" i="7"/>
  <c r="Y5" i="7"/>
  <c r="AB144" i="4"/>
  <c r="X144" i="4"/>
  <c r="Y144" i="4" s="1"/>
  <c r="AU84" i="4"/>
  <c r="T84" i="4"/>
  <c r="S84" i="4"/>
  <c r="AS84" i="4"/>
  <c r="M84" i="4"/>
  <c r="L84" i="4"/>
  <c r="K84" i="4"/>
  <c r="AJ84" i="4"/>
  <c r="X27" i="4"/>
  <c r="Y27" i="4" s="1"/>
  <c r="H40" i="11" s="1"/>
  <c r="AB27" i="4"/>
  <c r="AJ188" i="4"/>
  <c r="K188" i="4"/>
  <c r="L188" i="4"/>
  <c r="S188" i="4"/>
  <c r="T188" i="4"/>
  <c r="R188" i="4"/>
  <c r="AS188" i="4"/>
  <c r="AU188" i="4"/>
  <c r="AT188" i="4"/>
  <c r="M188" i="4"/>
  <c r="E28" i="18"/>
  <c r="AB32" i="4"/>
  <c r="X32" i="4"/>
  <c r="Y32" i="4" s="1"/>
  <c r="H45" i="11" s="1"/>
  <c r="AS140" i="4"/>
  <c r="M140" i="4"/>
  <c r="T140" i="4"/>
  <c r="S140" i="4"/>
  <c r="L140" i="4"/>
  <c r="K140" i="4"/>
  <c r="AJ140" i="4"/>
  <c r="AU140" i="4"/>
  <c r="AU69" i="4"/>
  <c r="T69" i="4"/>
  <c r="S69" i="4"/>
  <c r="AS69" i="4"/>
  <c r="M69" i="4"/>
  <c r="L69" i="4"/>
  <c r="K69" i="4"/>
  <c r="AJ69" i="4"/>
  <c r="L3" i="4"/>
  <c r="AJ3" i="4"/>
  <c r="I3" i="4"/>
  <c r="T3" i="4"/>
  <c r="AU3" i="4"/>
  <c r="S3" i="4"/>
  <c r="AT3" i="4"/>
  <c r="AS3" i="4"/>
  <c r="E16" i="11" s="1"/>
  <c r="M3" i="4"/>
  <c r="K3" i="4"/>
  <c r="AS91" i="4"/>
  <c r="M91" i="4"/>
  <c r="L91" i="4"/>
  <c r="T91" i="4"/>
  <c r="S91" i="4"/>
  <c r="K91" i="4"/>
  <c r="AU91" i="4"/>
  <c r="AJ91" i="4"/>
  <c r="AS114" i="4"/>
  <c r="T114" i="4"/>
  <c r="AU114" i="4"/>
  <c r="S114" i="4"/>
  <c r="K114" i="4"/>
  <c r="AJ114" i="4"/>
  <c r="M114" i="4"/>
  <c r="L114" i="4"/>
  <c r="AA51" i="22"/>
  <c r="S51" i="22"/>
  <c r="Q51" i="22"/>
  <c r="R51" i="22" s="1"/>
  <c r="AC51" i="22"/>
  <c r="AF51" i="22"/>
  <c r="AB51" i="22"/>
  <c r="T51" i="22"/>
  <c r="AS184" i="4"/>
  <c r="L184" i="4"/>
  <c r="AJ184" i="4"/>
  <c r="AU184" i="4"/>
  <c r="S184" i="4"/>
  <c r="T184" i="4"/>
  <c r="M184" i="4"/>
  <c r="K184" i="4"/>
  <c r="R184" i="4"/>
  <c r="E24" i="18"/>
  <c r="L167" i="4"/>
  <c r="T167" i="4"/>
  <c r="K167" i="4"/>
  <c r="M167" i="4"/>
  <c r="S167" i="4"/>
  <c r="AJ167" i="4"/>
  <c r="E7" i="18"/>
  <c r="F7" i="18" s="1"/>
  <c r="AB13" i="7"/>
  <c r="AS112" i="4"/>
  <c r="K112" i="4"/>
  <c r="AU112" i="4"/>
  <c r="S112" i="4"/>
  <c r="M112" i="4"/>
  <c r="T112" i="4"/>
  <c r="L112" i="4"/>
  <c r="AJ112" i="4"/>
  <c r="AU159" i="4"/>
  <c r="S159" i="4"/>
  <c r="K159" i="4"/>
  <c r="AJ159" i="4"/>
  <c r="M159" i="4"/>
  <c r="AS159" i="4"/>
  <c r="T159" i="4"/>
  <c r="L159" i="4"/>
  <c r="AS87" i="4"/>
  <c r="M87" i="4"/>
  <c r="L87" i="4"/>
  <c r="AJ87" i="4"/>
  <c r="T87" i="4"/>
  <c r="S87" i="4"/>
  <c r="AU87" i="4"/>
  <c r="K87" i="4"/>
  <c r="M186" i="4"/>
  <c r="AU186" i="4"/>
  <c r="AS186" i="4"/>
  <c r="L186" i="4"/>
  <c r="AJ186" i="4"/>
  <c r="AT186" i="4"/>
  <c r="T186" i="4"/>
  <c r="R186" i="4"/>
  <c r="K186" i="4"/>
  <c r="S186" i="4"/>
  <c r="E26" i="18"/>
  <c r="AB16" i="4"/>
  <c r="X16" i="4"/>
  <c r="Y16" i="4" s="1"/>
  <c r="H29" i="11" s="1"/>
  <c r="AB143" i="4"/>
  <c r="X143" i="4"/>
  <c r="Y143" i="4" s="1"/>
  <c r="M107" i="4"/>
  <c r="S107" i="4"/>
  <c r="AS107" i="4"/>
  <c r="AJ107" i="4"/>
  <c r="AU107" i="4"/>
  <c r="T107" i="4"/>
  <c r="L107" i="4"/>
  <c r="K107" i="4"/>
  <c r="AU82" i="4"/>
  <c r="T82" i="4"/>
  <c r="S82" i="4"/>
  <c r="AS82" i="4"/>
  <c r="M82" i="4"/>
  <c r="L82" i="4"/>
  <c r="K82" i="4"/>
  <c r="AJ82" i="4"/>
  <c r="AB23" i="7"/>
  <c r="S93" i="4"/>
  <c r="AS93" i="4"/>
  <c r="M93" i="4"/>
  <c r="L93" i="4"/>
  <c r="AJ93" i="4"/>
  <c r="T93" i="4"/>
  <c r="K93" i="4"/>
  <c r="AU93" i="4"/>
  <c r="AB62" i="4"/>
  <c r="X62" i="4"/>
  <c r="Y62" i="4" s="1"/>
  <c r="AB20" i="4"/>
  <c r="X20" i="4"/>
  <c r="Y20" i="4" s="1"/>
  <c r="H33" i="11" s="1"/>
  <c r="X25" i="4"/>
  <c r="Y25" i="4" s="1"/>
  <c r="H38" i="11" s="1"/>
  <c r="AB25" i="4"/>
  <c r="AB19" i="4"/>
  <c r="X19" i="4"/>
  <c r="Y19" i="4" s="1"/>
  <c r="H32" i="11" s="1"/>
  <c r="AB158" i="4"/>
  <c r="X158" i="4"/>
  <c r="Y158" i="4" s="1"/>
  <c r="AB155" i="4"/>
  <c r="X155" i="4"/>
  <c r="Y155" i="4" s="1"/>
  <c r="S171" i="4"/>
  <c r="AS171" i="4"/>
  <c r="M171" i="4"/>
  <c r="K171" i="4"/>
  <c r="AJ171" i="4"/>
  <c r="R171" i="4"/>
  <c r="L171" i="4"/>
  <c r="T171" i="4"/>
  <c r="AU171" i="4"/>
  <c r="E11" i="18"/>
  <c r="AS113" i="4"/>
  <c r="M113" i="4"/>
  <c r="L113" i="4"/>
  <c r="AJ113" i="4"/>
  <c r="T113" i="4"/>
  <c r="K113" i="4"/>
  <c r="AU113" i="4"/>
  <c r="S113" i="4"/>
  <c r="AJ6" i="4"/>
  <c r="I6" i="4"/>
  <c r="AU6" i="4"/>
  <c r="G19" i="11" s="1"/>
  <c r="T6" i="4"/>
  <c r="AT6" i="4"/>
  <c r="F19" i="11" s="1"/>
  <c r="S6" i="4"/>
  <c r="AS6" i="4"/>
  <c r="E19" i="11" s="1"/>
  <c r="M6" i="4"/>
  <c r="L6" i="4"/>
  <c r="K6" i="4"/>
  <c r="X59" i="4"/>
  <c r="Y59" i="4" s="1"/>
  <c r="AB59" i="4"/>
  <c r="AS134" i="4"/>
  <c r="M134" i="4"/>
  <c r="AJ134" i="4"/>
  <c r="S134" i="4"/>
  <c r="L134" i="4"/>
  <c r="K134" i="4"/>
  <c r="AU134" i="4"/>
  <c r="T134" i="4"/>
  <c r="AB21" i="7"/>
  <c r="AS121" i="4"/>
  <c r="M121" i="4"/>
  <c r="AU121" i="4"/>
  <c r="L121" i="4"/>
  <c r="AJ121" i="4"/>
  <c r="T121" i="4"/>
  <c r="S121" i="4"/>
  <c r="K121" i="4"/>
  <c r="AU72" i="4"/>
  <c r="T72" i="4"/>
  <c r="S72" i="4"/>
  <c r="AS72" i="4"/>
  <c r="M72" i="4"/>
  <c r="L72" i="4"/>
  <c r="K72" i="4"/>
  <c r="AJ72" i="4"/>
  <c r="AU128" i="4"/>
  <c r="S128" i="4"/>
  <c r="L128" i="4"/>
  <c r="K128" i="4"/>
  <c r="AS128" i="4"/>
  <c r="AJ128" i="4"/>
  <c r="T128" i="4"/>
  <c r="M128" i="4"/>
  <c r="L151" i="4"/>
  <c r="AU151" i="4"/>
  <c r="S151" i="4"/>
  <c r="M151" i="4"/>
  <c r="AS151" i="4"/>
  <c r="K151" i="4"/>
  <c r="AJ151" i="4"/>
  <c r="T151" i="4"/>
  <c r="AU79" i="4"/>
  <c r="T79" i="4"/>
  <c r="S79" i="4"/>
  <c r="AS79" i="4"/>
  <c r="M79" i="4"/>
  <c r="L79" i="4"/>
  <c r="K79" i="4"/>
  <c r="AJ79" i="4"/>
  <c r="AB43" i="4"/>
  <c r="X43" i="4"/>
  <c r="Y43" i="4" s="1"/>
  <c r="M102" i="4"/>
  <c r="AJ102" i="4"/>
  <c r="AU102" i="4"/>
  <c r="T102" i="4"/>
  <c r="S102" i="4"/>
  <c r="L102" i="4"/>
  <c r="K102" i="4"/>
  <c r="AS102" i="4"/>
  <c r="K162" i="4"/>
  <c r="AJ162" i="4"/>
  <c r="AS162" i="4"/>
  <c r="T162" i="4"/>
  <c r="S162" i="4"/>
  <c r="AU162" i="4"/>
  <c r="L162" i="4"/>
  <c r="M162" i="4"/>
  <c r="E2" i="18"/>
  <c r="AS172" i="4"/>
  <c r="AU172" i="4"/>
  <c r="S172" i="4"/>
  <c r="R172" i="4"/>
  <c r="L172" i="4"/>
  <c r="AJ172" i="4"/>
  <c r="K172" i="4"/>
  <c r="M172" i="4"/>
  <c r="T172" i="4"/>
  <c r="E12" i="18"/>
  <c r="W7" i="7"/>
  <c r="Y7" i="7"/>
  <c r="V7" i="7"/>
  <c r="AH7" i="7"/>
  <c r="AI7" i="7" s="1"/>
  <c r="AA7" i="7"/>
  <c r="X7" i="7"/>
  <c r="M100" i="4"/>
  <c r="AU100" i="4"/>
  <c r="T100" i="4"/>
  <c r="S100" i="4"/>
  <c r="AS100" i="4"/>
  <c r="L100" i="4"/>
  <c r="AJ100" i="4"/>
  <c r="K100" i="4"/>
  <c r="K147" i="4"/>
  <c r="AS147" i="4"/>
  <c r="M147" i="4"/>
  <c r="L147" i="4"/>
  <c r="T147" i="4"/>
  <c r="S147" i="4"/>
  <c r="AU147" i="4"/>
  <c r="AJ147" i="4"/>
  <c r="AU75" i="4"/>
  <c r="T75" i="4"/>
  <c r="S75" i="4"/>
  <c r="AS75" i="4"/>
  <c r="M75" i="4"/>
  <c r="L75" i="4"/>
  <c r="K75" i="4"/>
  <c r="AJ75" i="4"/>
  <c r="AU11" i="4"/>
  <c r="G24" i="11" s="1"/>
  <c r="T11" i="4"/>
  <c r="AT11" i="4"/>
  <c r="F24" i="11" s="1"/>
  <c r="S11" i="4"/>
  <c r="AS11" i="4"/>
  <c r="E24" i="11" s="1"/>
  <c r="M11" i="4"/>
  <c r="L11" i="4"/>
  <c r="K11" i="4"/>
  <c r="AJ11" i="4"/>
  <c r="I11" i="4"/>
  <c r="S95" i="4"/>
  <c r="AS95" i="4"/>
  <c r="M95" i="4"/>
  <c r="L95" i="4"/>
  <c r="AJ95" i="4"/>
  <c r="T95" i="4"/>
  <c r="K95" i="4"/>
  <c r="AU95" i="4"/>
  <c r="X51" i="4"/>
  <c r="Y51" i="4" s="1"/>
  <c r="AB51" i="4"/>
  <c r="AB39" i="4"/>
  <c r="X39" i="4"/>
  <c r="Y39" i="4" s="1"/>
  <c r="AU142" i="4"/>
  <c r="S142" i="4"/>
  <c r="T142" i="4"/>
  <c r="M142" i="4"/>
  <c r="AS142" i="4"/>
  <c r="AJ142" i="4"/>
  <c r="L142" i="4"/>
  <c r="K142" i="4"/>
  <c r="AJ153" i="4"/>
  <c r="T153" i="4"/>
  <c r="S153" i="4"/>
  <c r="AU153" i="4"/>
  <c r="L153" i="4"/>
  <c r="K153" i="4"/>
  <c r="AS153" i="4"/>
  <c r="M153" i="4"/>
  <c r="AU81" i="4"/>
  <c r="T81" i="4"/>
  <c r="S81" i="4"/>
  <c r="AS81" i="4"/>
  <c r="M81" i="4"/>
  <c r="L81" i="4"/>
  <c r="K81" i="4"/>
  <c r="AJ81" i="4"/>
  <c r="X55" i="4"/>
  <c r="Y55" i="4" s="1"/>
  <c r="AB55" i="4"/>
  <c r="X31" i="4"/>
  <c r="Y31" i="4" s="1"/>
  <c r="H44" i="11" s="1"/>
  <c r="AB31" i="4"/>
  <c r="AB152" i="4"/>
  <c r="X152" i="4"/>
  <c r="Y152" i="4" s="1"/>
  <c r="M166" i="4"/>
  <c r="AU166" i="4"/>
  <c r="S166" i="4"/>
  <c r="AS166" i="4"/>
  <c r="AJ166" i="4"/>
  <c r="T166" i="4"/>
  <c r="L166" i="4"/>
  <c r="K166" i="4"/>
  <c r="AT166" i="4"/>
  <c r="E6" i="18"/>
  <c r="F6" i="18" s="1"/>
  <c r="T179" i="4"/>
  <c r="M179" i="4"/>
  <c r="AJ179" i="4"/>
  <c r="S179" i="4"/>
  <c r="K179" i="4"/>
  <c r="L179" i="4"/>
  <c r="E19" i="18"/>
  <c r="M101" i="4"/>
  <c r="AU101" i="4"/>
  <c r="T101" i="4"/>
  <c r="S101" i="4"/>
  <c r="AS101" i="4"/>
  <c r="K101" i="4"/>
  <c r="AJ101" i="4"/>
  <c r="L101" i="4"/>
  <c r="AB65" i="4"/>
  <c r="X65" i="4"/>
  <c r="Y65" i="4" s="1"/>
  <c r="AB12" i="7"/>
  <c r="AS122" i="4"/>
  <c r="M122" i="4"/>
  <c r="AJ122" i="4"/>
  <c r="S122" i="4"/>
  <c r="L122" i="4"/>
  <c r="K122" i="4"/>
  <c r="AU122" i="4"/>
  <c r="T122" i="4"/>
  <c r="AS109" i="4"/>
  <c r="M109" i="4"/>
  <c r="L109" i="4"/>
  <c r="K109" i="4"/>
  <c r="AJ109" i="4"/>
  <c r="S109" i="4"/>
  <c r="AU109" i="4"/>
  <c r="L132" i="4"/>
  <c r="K132" i="4"/>
  <c r="T132" i="4"/>
  <c r="AJ132" i="4"/>
  <c r="S132" i="4"/>
  <c r="M132" i="4"/>
  <c r="AU132" i="4"/>
  <c r="AS132" i="4"/>
  <c r="AU14" i="4"/>
  <c r="G27" i="11" s="1"/>
  <c r="T14" i="4"/>
  <c r="S14" i="4"/>
  <c r="AS14" i="4"/>
  <c r="E27" i="11" s="1"/>
  <c r="M14" i="4"/>
  <c r="L14" i="4"/>
  <c r="K14" i="4"/>
  <c r="AJ14" i="4"/>
  <c r="AS116" i="4"/>
  <c r="T116" i="4"/>
  <c r="AU116" i="4"/>
  <c r="S116" i="4"/>
  <c r="M116" i="4"/>
  <c r="L116" i="4"/>
  <c r="AJ116" i="4"/>
  <c r="K116" i="4"/>
  <c r="L139" i="4"/>
  <c r="AU139" i="4"/>
  <c r="S139" i="4"/>
  <c r="T139" i="4"/>
  <c r="AJ139" i="4"/>
  <c r="M139" i="4"/>
  <c r="K139" i="4"/>
  <c r="AS139" i="4"/>
  <c r="AU68" i="4"/>
  <c r="T68" i="4"/>
  <c r="S68" i="4"/>
  <c r="AS68" i="4"/>
  <c r="M68" i="4"/>
  <c r="L68" i="4"/>
  <c r="K68" i="4"/>
  <c r="AJ68" i="4"/>
  <c r="AS90" i="4"/>
  <c r="M90" i="4"/>
  <c r="L90" i="4"/>
  <c r="AJ90" i="4"/>
  <c r="T90" i="4"/>
  <c r="S90" i="4"/>
  <c r="K90" i="4"/>
  <c r="AU90" i="4"/>
  <c r="AB15" i="7"/>
  <c r="AU182" i="4"/>
  <c r="T182" i="4"/>
  <c r="AS182" i="4"/>
  <c r="M182" i="4"/>
  <c r="AJ182" i="4"/>
  <c r="R182" i="4"/>
  <c r="L182" i="4"/>
  <c r="S182" i="4"/>
  <c r="K182" i="4"/>
  <c r="E22" i="18"/>
  <c r="L163" i="4"/>
  <c r="AU163" i="4"/>
  <c r="S163" i="4"/>
  <c r="T163" i="4"/>
  <c r="K163" i="4"/>
  <c r="AS163" i="4"/>
  <c r="AJ163" i="4"/>
  <c r="M163" i="4"/>
  <c r="E3" i="18"/>
  <c r="AB52" i="4"/>
  <c r="X52" i="4"/>
  <c r="Y52" i="4" s="1"/>
  <c r="AU83" i="4"/>
  <c r="T83" i="4"/>
  <c r="S83" i="4"/>
  <c r="AS83" i="4"/>
  <c r="M83" i="4"/>
  <c r="L83" i="4"/>
  <c r="K83" i="4"/>
  <c r="AJ83" i="4"/>
  <c r="AB154" i="4"/>
  <c r="X154" i="4"/>
  <c r="Y154" i="4" s="1"/>
  <c r="AJ130" i="4"/>
  <c r="T130" i="4"/>
  <c r="M130" i="4"/>
  <c r="L130" i="4"/>
  <c r="AU130" i="4"/>
  <c r="K130" i="4"/>
  <c r="S130" i="4"/>
  <c r="AS130" i="4"/>
  <c r="AU141" i="4"/>
  <c r="M141" i="4"/>
  <c r="L141" i="4"/>
  <c r="AS141" i="4"/>
  <c r="T141" i="4"/>
  <c r="S141" i="4"/>
  <c r="AJ141" i="4"/>
  <c r="K141" i="4"/>
  <c r="X70" i="4"/>
  <c r="Y70" i="4" s="1"/>
  <c r="AB70" i="4"/>
  <c r="AU173" i="4"/>
  <c r="T173" i="4"/>
  <c r="S173" i="4"/>
  <c r="L173" i="4"/>
  <c r="AJ173" i="4"/>
  <c r="M173" i="4"/>
  <c r="AS173" i="4"/>
  <c r="K173" i="4"/>
  <c r="E13" i="18"/>
  <c r="A50" i="10"/>
  <c r="S183" i="4"/>
  <c r="L183" i="4"/>
  <c r="AJ183" i="4"/>
  <c r="T183" i="4"/>
  <c r="AU183" i="4"/>
  <c r="M183" i="4"/>
  <c r="AS183" i="4"/>
  <c r="K183" i="4"/>
  <c r="E23" i="18"/>
  <c r="AB149" i="4"/>
  <c r="X149" i="4"/>
  <c r="Y149" i="4" s="1"/>
  <c r="T180" i="4"/>
  <c r="AU180" i="4"/>
  <c r="L180" i="4"/>
  <c r="S180" i="4"/>
  <c r="M180" i="4"/>
  <c r="AS180" i="4"/>
  <c r="AJ180" i="4"/>
  <c r="K180" i="4"/>
  <c r="E20" i="18"/>
  <c r="AS89" i="4"/>
  <c r="M89" i="4"/>
  <c r="L89" i="4"/>
  <c r="T89" i="4"/>
  <c r="S89" i="4"/>
  <c r="AU89" i="4"/>
  <c r="K89" i="4"/>
  <c r="AJ89" i="4"/>
  <c r="AB36" i="4"/>
  <c r="X36" i="4"/>
  <c r="Y36" i="4" s="1"/>
  <c r="AB24" i="4"/>
  <c r="X24" i="4"/>
  <c r="Y24" i="4" s="1"/>
  <c r="H37" i="11" s="1"/>
  <c r="AB18" i="4"/>
  <c r="X18" i="4"/>
  <c r="Y18" i="4" s="1"/>
  <c r="H31" i="11" s="1"/>
  <c r="AB6" i="7"/>
  <c r="X6" i="7"/>
  <c r="W6" i="7"/>
  <c r="V6" i="7"/>
  <c r="AA6" i="7"/>
  <c r="Y6" i="7"/>
  <c r="AS110" i="4"/>
  <c r="T110" i="4"/>
  <c r="AU110" i="4"/>
  <c r="S110" i="4"/>
  <c r="M110" i="4"/>
  <c r="L110" i="4"/>
  <c r="AJ110" i="4"/>
  <c r="K110" i="4"/>
  <c r="S97" i="4"/>
  <c r="AS97" i="4"/>
  <c r="M97" i="4"/>
  <c r="L97" i="4"/>
  <c r="AJ97" i="4"/>
  <c r="AU97" i="4"/>
  <c r="T97" i="4"/>
  <c r="K97" i="4"/>
  <c r="AB40" i="4"/>
  <c r="X40" i="4"/>
  <c r="Y40" i="4" s="1"/>
  <c r="X28" i="4"/>
  <c r="Y28" i="4" s="1"/>
  <c r="H41" i="11" s="1"/>
  <c r="AB28" i="4"/>
  <c r="L120" i="4"/>
  <c r="T120" i="4"/>
  <c r="AU120" i="4"/>
  <c r="M120" i="4"/>
  <c r="AJ120" i="4"/>
  <c r="S120" i="4"/>
  <c r="K120" i="4"/>
  <c r="AS120" i="4"/>
  <c r="X57" i="4"/>
  <c r="Y57" i="4" s="1"/>
  <c r="AB57" i="4"/>
  <c r="AB45" i="4"/>
  <c r="X45" i="4"/>
  <c r="Y45" i="4" s="1"/>
  <c r="L177" i="4"/>
  <c r="AJ177" i="4"/>
  <c r="T177" i="4"/>
  <c r="S177" i="4"/>
  <c r="AU177" i="4"/>
  <c r="K177" i="4"/>
  <c r="AS177" i="4"/>
  <c r="M177" i="4"/>
  <c r="E17" i="18"/>
  <c r="AU8" i="4"/>
  <c r="G21" i="11" s="1"/>
  <c r="T8" i="4"/>
  <c r="AT8" i="4"/>
  <c r="F21" i="11" s="1"/>
  <c r="S8" i="4"/>
  <c r="AS8" i="4"/>
  <c r="E21" i="11" s="1"/>
  <c r="M8" i="4"/>
  <c r="L8" i="4"/>
  <c r="K8" i="4"/>
  <c r="AJ8" i="4"/>
  <c r="I8" i="4"/>
  <c r="M104" i="4"/>
  <c r="K104" i="4"/>
  <c r="S104" i="4"/>
  <c r="AS104" i="4"/>
  <c r="T104" i="4"/>
  <c r="L104" i="4"/>
  <c r="AU104" i="4"/>
  <c r="AJ104" i="4"/>
  <c r="AS127" i="4"/>
  <c r="K127" i="4"/>
  <c r="AU127" i="4"/>
  <c r="AJ127" i="4"/>
  <c r="T127" i="4"/>
  <c r="M127" i="4"/>
  <c r="L127" i="4"/>
  <c r="S127" i="4"/>
  <c r="X61" i="4"/>
  <c r="Y61" i="4" s="1"/>
  <c r="AB61" i="4"/>
  <c r="AU13" i="4"/>
  <c r="G26" i="11" s="1"/>
  <c r="T13" i="4"/>
  <c r="AT13" i="4"/>
  <c r="F26" i="11" s="1"/>
  <c r="S13" i="4"/>
  <c r="AS13" i="4"/>
  <c r="E26" i="11" s="1"/>
  <c r="M13" i="4"/>
  <c r="L13" i="4"/>
  <c r="K13" i="4"/>
  <c r="AJ13" i="4"/>
  <c r="AU78" i="4"/>
  <c r="T78" i="4"/>
  <c r="S78" i="4"/>
  <c r="AS78" i="4"/>
  <c r="M78" i="4"/>
  <c r="L78" i="4"/>
  <c r="K78" i="4"/>
  <c r="AJ78" i="4"/>
  <c r="X48" i="4"/>
  <c r="Y48" i="4" s="1"/>
  <c r="AB48" i="4"/>
  <c r="AU135" i="4"/>
  <c r="S135" i="4"/>
  <c r="AJ135" i="4"/>
  <c r="M135" i="4"/>
  <c r="L135" i="4"/>
  <c r="K135" i="4"/>
  <c r="T135" i="4"/>
  <c r="AS135" i="4"/>
  <c r="K5" i="4"/>
  <c r="AJ5" i="4"/>
  <c r="I5" i="4"/>
  <c r="AU5" i="4"/>
  <c r="G18" i="11" s="1"/>
  <c r="T5" i="4"/>
  <c r="S5" i="4"/>
  <c r="AS5" i="4"/>
  <c r="E18" i="11" s="1"/>
  <c r="M5" i="4"/>
  <c r="L5" i="4"/>
  <c r="AC36" i="22"/>
  <c r="AA36" i="22"/>
  <c r="S36" i="22"/>
  <c r="AB36" i="22"/>
  <c r="T36" i="22"/>
  <c r="Q36" i="22"/>
  <c r="R36" i="22" s="1"/>
  <c r="AC26" i="22"/>
  <c r="AA26" i="22"/>
  <c r="S26" i="22"/>
  <c r="AB26" i="22"/>
  <c r="Q26" i="22"/>
  <c r="R26" i="22" s="1"/>
  <c r="T26" i="22"/>
  <c r="AJ148" i="4"/>
  <c r="L148" i="4"/>
  <c r="S148" i="4"/>
  <c r="AU148" i="4"/>
  <c r="T148" i="4"/>
  <c r="AS148" i="4"/>
  <c r="M148" i="4"/>
  <c r="K148" i="4"/>
  <c r="AU76" i="4"/>
  <c r="T76" i="4"/>
  <c r="S76" i="4"/>
  <c r="AS76" i="4"/>
  <c r="M76" i="4"/>
  <c r="L76" i="4"/>
  <c r="K76" i="4"/>
  <c r="AJ76" i="4"/>
  <c r="AU123" i="4"/>
  <c r="S123" i="4"/>
  <c r="L123" i="4"/>
  <c r="K123" i="4"/>
  <c r="AJ123" i="4"/>
  <c r="T123" i="4"/>
  <c r="M123" i="4"/>
  <c r="AS123" i="4"/>
  <c r="AB17" i="4"/>
  <c r="X17" i="4"/>
  <c r="Y17" i="4" s="1"/>
  <c r="H30" i="11" s="1"/>
  <c r="AU71" i="4"/>
  <c r="T71" i="4"/>
  <c r="S71" i="4"/>
  <c r="AS71" i="4"/>
  <c r="M71" i="4"/>
  <c r="L71" i="4"/>
  <c r="K71" i="4"/>
  <c r="AJ71" i="4"/>
  <c r="T118" i="4"/>
  <c r="M118" i="4"/>
  <c r="S118" i="4"/>
  <c r="AJ129" i="4"/>
  <c r="T129" i="4"/>
  <c r="AU129" i="4"/>
  <c r="S129" i="4"/>
  <c r="AS129" i="4"/>
  <c r="M129" i="4"/>
  <c r="L129" i="4"/>
  <c r="K129" i="4"/>
  <c r="Y9" i="7"/>
  <c r="AH9" i="7"/>
  <c r="AI9" i="7" s="1"/>
  <c r="X9" i="7"/>
  <c r="AA9" i="7"/>
  <c r="W9" i="7"/>
  <c r="V9" i="7"/>
  <c r="L187" i="4"/>
  <c r="AJ187" i="4"/>
  <c r="S187" i="4"/>
  <c r="AS187" i="4"/>
  <c r="M187" i="4"/>
  <c r="R187" i="4"/>
  <c r="AU187" i="4"/>
  <c r="AT187" i="4"/>
  <c r="T187" i="4"/>
  <c r="K187" i="4"/>
  <c r="E27" i="18"/>
  <c r="AC44" i="22"/>
  <c r="AA44" i="22"/>
  <c r="S44" i="22"/>
  <c r="Q44" i="22"/>
  <c r="R44" i="22" s="1"/>
  <c r="AB44" i="22"/>
  <c r="T44" i="22"/>
  <c r="AC30" i="22"/>
  <c r="S30" i="22"/>
  <c r="AB30" i="22"/>
  <c r="AA30" i="22"/>
  <c r="T30" i="22"/>
  <c r="Q30" i="22"/>
  <c r="R30" i="22" s="1"/>
  <c r="AS169" i="4"/>
  <c r="R169" i="4"/>
  <c r="S169" i="4"/>
  <c r="K169" i="4"/>
  <c r="T169" i="4"/>
  <c r="L169" i="4"/>
  <c r="AU169" i="4"/>
  <c r="AJ169" i="4"/>
  <c r="M169" i="4"/>
  <c r="E9" i="18"/>
  <c r="AB156" i="4"/>
  <c r="X156" i="4"/>
  <c r="Y156" i="4" s="1"/>
  <c r="AB24" i="7"/>
  <c r="AU77" i="4"/>
  <c r="T77" i="4"/>
  <c r="S77" i="4"/>
  <c r="AS77" i="4"/>
  <c r="M77" i="4"/>
  <c r="L77" i="4"/>
  <c r="K77" i="4"/>
  <c r="AJ77" i="4"/>
  <c r="AB42" i="4"/>
  <c r="X42" i="4"/>
  <c r="Y42" i="4" s="1"/>
  <c r="M174" i="4"/>
  <c r="AU174" i="4"/>
  <c r="T174" i="4"/>
  <c r="S174" i="4"/>
  <c r="R174" i="4"/>
  <c r="L174" i="4"/>
  <c r="AJ174" i="4"/>
  <c r="K174" i="4"/>
  <c r="AS174" i="4"/>
  <c r="E14" i="18"/>
  <c r="AB47" i="4"/>
  <c r="X47" i="4"/>
  <c r="Y47" i="4" s="1"/>
  <c r="AB35" i="4"/>
  <c r="X35" i="4"/>
  <c r="Y35" i="4" s="1"/>
  <c r="AB23" i="4"/>
  <c r="X23" i="4"/>
  <c r="Y23" i="4" s="1"/>
  <c r="H36" i="11" s="1"/>
  <c r="S98" i="4"/>
  <c r="AS98" i="4"/>
  <c r="M98" i="4"/>
  <c r="L98" i="4"/>
  <c r="AJ98" i="4"/>
  <c r="AU98" i="4"/>
  <c r="T98" i="4"/>
  <c r="K98" i="4"/>
  <c r="AS157" i="4"/>
  <c r="M157" i="4"/>
  <c r="AJ157" i="4"/>
  <c r="L157" i="4"/>
  <c r="AU157" i="4"/>
  <c r="K157" i="4"/>
  <c r="T157" i="4"/>
  <c r="S157" i="4"/>
  <c r="AS85" i="4"/>
  <c r="M85" i="4"/>
  <c r="L85" i="4"/>
  <c r="AJ85" i="4"/>
  <c r="T85" i="4"/>
  <c r="S85" i="4"/>
  <c r="AU85" i="4"/>
  <c r="K85" i="4"/>
  <c r="AB58" i="4"/>
  <c r="X58" i="4"/>
  <c r="Y58" i="4" s="1"/>
  <c r="AB46" i="4"/>
  <c r="X46" i="4"/>
  <c r="Y46" i="4" s="1"/>
  <c r="M108" i="4"/>
  <c r="AU108" i="4"/>
  <c r="T108" i="4"/>
  <c r="S108" i="4"/>
  <c r="K108" i="4"/>
  <c r="AJ108" i="4"/>
  <c r="AS108" i="4"/>
  <c r="L108" i="4"/>
  <c r="AB63" i="4"/>
  <c r="X63" i="4"/>
  <c r="Y63" i="4" s="1"/>
  <c r="AB50" i="4"/>
  <c r="X50" i="4"/>
  <c r="Y50" i="4" s="1"/>
  <c r="AB38" i="4"/>
  <c r="X38" i="4"/>
  <c r="Y38" i="4" s="1"/>
  <c r="S92" i="4"/>
  <c r="AS92" i="4"/>
  <c r="M92" i="4"/>
  <c r="L92" i="4"/>
  <c r="AJ92" i="4"/>
  <c r="AU92" i="4"/>
  <c r="T92" i="4"/>
  <c r="K92" i="4"/>
  <c r="M168" i="4"/>
  <c r="T168" i="4"/>
  <c r="AJ168" i="4"/>
  <c r="L168" i="4"/>
  <c r="S168" i="4"/>
  <c r="K168" i="4"/>
  <c r="E8" i="18"/>
  <c r="F8" i="18" s="1"/>
  <c r="AS115" i="4"/>
  <c r="M115" i="4"/>
  <c r="L115" i="4"/>
  <c r="K115" i="4"/>
  <c r="AU115" i="4"/>
  <c r="AJ115" i="4"/>
  <c r="T115" i="4"/>
  <c r="S115" i="4"/>
  <c r="I7" i="4"/>
  <c r="AU7" i="4"/>
  <c r="G20" i="11" s="1"/>
  <c r="T7" i="4"/>
  <c r="AT7" i="4"/>
  <c r="F20" i="11" s="1"/>
  <c r="S7" i="4"/>
  <c r="AS7" i="4"/>
  <c r="E20" i="11" s="1"/>
  <c r="M7" i="4"/>
  <c r="L7" i="4"/>
  <c r="K7" i="4"/>
  <c r="AJ7" i="4"/>
  <c r="K138" i="4"/>
  <c r="AJ138" i="4"/>
  <c r="T138" i="4"/>
  <c r="AU138" i="4"/>
  <c r="S138" i="4"/>
  <c r="AS138" i="4"/>
  <c r="L138" i="4"/>
  <c r="M138" i="4"/>
  <c r="AU67" i="4"/>
  <c r="T67" i="4"/>
  <c r="S67" i="4"/>
  <c r="AS67" i="4"/>
  <c r="M67" i="4"/>
  <c r="L67" i="4"/>
  <c r="AJ67" i="4"/>
  <c r="K67" i="4"/>
  <c r="F18" i="18" l="1"/>
  <c r="F16" i="18"/>
  <c r="D27" i="31"/>
  <c r="D28" i="31"/>
  <c r="D25" i="31"/>
  <c r="D26" i="31"/>
  <c r="F19" i="31"/>
  <c r="D24" i="31"/>
  <c r="H19" i="31"/>
  <c r="AF19" i="22"/>
  <c r="AF12" i="22"/>
  <c r="AF26" i="22"/>
  <c r="AF33" i="22"/>
  <c r="AF39" i="22"/>
  <c r="AF46" i="22"/>
  <c r="AF40" i="22"/>
  <c r="AF45" i="22"/>
  <c r="Y54" i="4"/>
  <c r="AA25" i="7"/>
  <c r="AM4" i="7"/>
  <c r="X4" i="7"/>
  <c r="AA4" i="7"/>
  <c r="AB10" i="7"/>
  <c r="AB22" i="7"/>
  <c r="AB14" i="7"/>
  <c r="AH4" i="7"/>
  <c r="AI4" i="7" s="1"/>
  <c r="Y4" i="7"/>
  <c r="W4" i="7"/>
  <c r="AB4" i="7"/>
  <c r="AF44" i="22"/>
  <c r="AF37" i="22"/>
  <c r="AF43" i="22"/>
  <c r="AF38" i="22"/>
  <c r="AF36" i="22"/>
  <c r="AF31" i="22"/>
  <c r="AF30" i="22"/>
  <c r="AF56" i="22"/>
  <c r="AF55" i="22"/>
  <c r="AF49" i="22"/>
  <c r="AF48" i="22"/>
  <c r="AF24" i="22"/>
  <c r="AF23" i="22"/>
  <c r="AF17" i="22"/>
  <c r="AF16" i="22"/>
  <c r="AD66" i="22"/>
  <c r="AE66" i="22" s="1"/>
  <c r="AF14" i="22"/>
  <c r="AF13" i="22"/>
  <c r="G8" i="18"/>
  <c r="G6" i="18"/>
  <c r="AD16" i="22"/>
  <c r="AE16" i="22" s="1"/>
  <c r="G7" i="18"/>
  <c r="Z37" i="4"/>
  <c r="Z16" i="4"/>
  <c r="Z56" i="4"/>
  <c r="Z161" i="4"/>
  <c r="Z62" i="4"/>
  <c r="Z49" i="4"/>
  <c r="Z47" i="4"/>
  <c r="Z48" i="4"/>
  <c r="Z39" i="4"/>
  <c r="Z22" i="4"/>
  <c r="Z65" i="4"/>
  <c r="Z18" i="4"/>
  <c r="I4" i="18"/>
  <c r="F4" i="18"/>
  <c r="K4" i="18" s="1"/>
  <c r="I5" i="18"/>
  <c r="F5" i="18"/>
  <c r="K5" i="18" s="1"/>
  <c r="I13" i="18"/>
  <c r="F13" i="18"/>
  <c r="I12" i="18"/>
  <c r="F12" i="18"/>
  <c r="I24" i="18"/>
  <c r="F24" i="18"/>
  <c r="I26" i="18"/>
  <c r="F26" i="18"/>
  <c r="I20" i="18"/>
  <c r="F20" i="18"/>
  <c r="I23" i="18"/>
  <c r="F23" i="18"/>
  <c r="I11" i="18"/>
  <c r="F11" i="18"/>
  <c r="I25" i="18"/>
  <c r="F25" i="18"/>
  <c r="I10" i="18"/>
  <c r="F10" i="18"/>
  <c r="I14" i="18"/>
  <c r="F14" i="18"/>
  <c r="I22" i="18"/>
  <c r="F22" i="18"/>
  <c r="I2" i="18"/>
  <c r="F2" i="18"/>
  <c r="K2" i="18" s="1"/>
  <c r="I9" i="18"/>
  <c r="F9" i="18"/>
  <c r="I27" i="18"/>
  <c r="F27" i="18"/>
  <c r="I17" i="18"/>
  <c r="F17" i="18"/>
  <c r="F19" i="18"/>
  <c r="I28" i="18"/>
  <c r="F28" i="18"/>
  <c r="I21" i="18"/>
  <c r="F21" i="18"/>
  <c r="I29" i="18"/>
  <c r="F29" i="18"/>
  <c r="I3" i="18"/>
  <c r="F3" i="18"/>
  <c r="K3" i="18" s="1"/>
  <c r="I15" i="18"/>
  <c r="F15" i="18"/>
  <c r="K15" i="18" s="1"/>
  <c r="Z58" i="4"/>
  <c r="Z156" i="4"/>
  <c r="Z70" i="4"/>
  <c r="Z20" i="4"/>
  <c r="Z30" i="4"/>
  <c r="Z152" i="4"/>
  <c r="Z158" i="4"/>
  <c r="Z29" i="4"/>
  <c r="Z15" i="4"/>
  <c r="Z60" i="4"/>
  <c r="Z57" i="4"/>
  <c r="Z19" i="4"/>
  <c r="Z41" i="4"/>
  <c r="Z34" i="4"/>
  <c r="Z17" i="4"/>
  <c r="Z42" i="4"/>
  <c r="Z61" i="4"/>
  <c r="Z26" i="4"/>
  <c r="AD18" i="22"/>
  <c r="AE18" i="22" s="1"/>
  <c r="AF42" i="22"/>
  <c r="AF41" i="22"/>
  <c r="AD61" i="22"/>
  <c r="AE61" i="22" s="1"/>
  <c r="AD62" i="22"/>
  <c r="AE62" i="22" s="1"/>
  <c r="AD11" i="22"/>
  <c r="AE11" i="22" s="1"/>
  <c r="AD23" i="22"/>
  <c r="AE23" i="22" s="1"/>
  <c r="AD52" i="22"/>
  <c r="AE52" i="22" s="1"/>
  <c r="AD57" i="22"/>
  <c r="AE57" i="22" s="1"/>
  <c r="AF35" i="22"/>
  <c r="AD9" i="22"/>
  <c r="AE9" i="22" s="1"/>
  <c r="AD37" i="22"/>
  <c r="AE37" i="22" s="1"/>
  <c r="AD12" i="22"/>
  <c r="AE12" i="22" s="1"/>
  <c r="AD67" i="22"/>
  <c r="AE67" i="22" s="1"/>
  <c r="AF34" i="22"/>
  <c r="AD35" i="22"/>
  <c r="AE35" i="22" s="1"/>
  <c r="AD41" i="22"/>
  <c r="AE41" i="22" s="1"/>
  <c r="AF29" i="22"/>
  <c r="AD65" i="22"/>
  <c r="AE65" i="22" s="1"/>
  <c r="AF28" i="22"/>
  <c r="AD38" i="22"/>
  <c r="AE38" i="22" s="1"/>
  <c r="AD47" i="22"/>
  <c r="AE47" i="22" s="1"/>
  <c r="AD22" i="22"/>
  <c r="AE22" i="22" s="1"/>
  <c r="AF21" i="22"/>
  <c r="AD20" i="22"/>
  <c r="AE20" i="22" s="1"/>
  <c r="AF20" i="22"/>
  <c r="AD27" i="22"/>
  <c r="AE27" i="22" s="1"/>
  <c r="AF27" i="22"/>
  <c r="AD45" i="22"/>
  <c r="AE45" i="22" s="1"/>
  <c r="AD43" i="22"/>
  <c r="AE43" i="22" s="1"/>
  <c r="AD63" i="22"/>
  <c r="AE63" i="22" s="1"/>
  <c r="AD5" i="22"/>
  <c r="AE5" i="22" s="1"/>
  <c r="AD33" i="22"/>
  <c r="AE33" i="22" s="1"/>
  <c r="AF22" i="22"/>
  <c r="AD56" i="22"/>
  <c r="AE56" i="22" s="1"/>
  <c r="AD60" i="22"/>
  <c r="AE60" i="22" s="1"/>
  <c r="AD54" i="22"/>
  <c r="AE54" i="22" s="1"/>
  <c r="AD17" i="22"/>
  <c r="AE17" i="22" s="1"/>
  <c r="AD64" i="22"/>
  <c r="AE64" i="22" s="1"/>
  <c r="AD39" i="22"/>
  <c r="AE39" i="22" s="1"/>
  <c r="AD6" i="22"/>
  <c r="AE6" i="22" s="1"/>
  <c r="AD7" i="22"/>
  <c r="AE7" i="22" s="1"/>
  <c r="AD32" i="22"/>
  <c r="AE32" i="22" s="1"/>
  <c r="AD14" i="22"/>
  <c r="AE14" i="22" s="1"/>
  <c r="AD19" i="22"/>
  <c r="AE19" i="22" s="1"/>
  <c r="AD15" i="22"/>
  <c r="AE15" i="22" s="1"/>
  <c r="AF15" i="22"/>
  <c r="AD28" i="22"/>
  <c r="AE28" i="22" s="1"/>
  <c r="AD58" i="22"/>
  <c r="AE58" i="22" s="1"/>
  <c r="AD24" i="22"/>
  <c r="AE24" i="22" s="1"/>
  <c r="AD46" i="22"/>
  <c r="AE46" i="22" s="1"/>
  <c r="AD25" i="22"/>
  <c r="AE25" i="22" s="1"/>
  <c r="AD53" i="22"/>
  <c r="AE53" i="22" s="1"/>
  <c r="AD10" i="22"/>
  <c r="AE10" i="22" s="1"/>
  <c r="AD40" i="22"/>
  <c r="AE40" i="22" s="1"/>
  <c r="AD34" i="22"/>
  <c r="AE34" i="22" s="1"/>
  <c r="AD55" i="22"/>
  <c r="AE55" i="22" s="1"/>
  <c r="AD31" i="22"/>
  <c r="AE31" i="22" s="1"/>
  <c r="AD13" i="22"/>
  <c r="AE13" i="22" s="1"/>
  <c r="AD8" i="22"/>
  <c r="AE8" i="22" s="1"/>
  <c r="AD29" i="22"/>
  <c r="AE29" i="22" s="1"/>
  <c r="AD21" i="22"/>
  <c r="AE21" i="22" s="1"/>
  <c r="AD49" i="22"/>
  <c r="AE49" i="22" s="1"/>
  <c r="AD44" i="22"/>
  <c r="AE44" i="22" s="1"/>
  <c r="AD59" i="22"/>
  <c r="AE59" i="22" s="1"/>
  <c r="AD36" i="22"/>
  <c r="AE36" i="22" s="1"/>
  <c r="E11" i="23"/>
  <c r="F11" i="23" s="1"/>
  <c r="G11" i="23" s="1"/>
  <c r="AD26" i="22"/>
  <c r="AE26" i="22" s="1"/>
  <c r="E12" i="23"/>
  <c r="F12" i="23" s="1"/>
  <c r="G12" i="23" s="1"/>
  <c r="AB174" i="4"/>
  <c r="X174" i="4"/>
  <c r="Y174" i="4" s="1"/>
  <c r="X77" i="4"/>
  <c r="Y77" i="4" s="1"/>
  <c r="AB77" i="4"/>
  <c r="E10" i="23"/>
  <c r="F10" i="23" s="1"/>
  <c r="AN13" i="4"/>
  <c r="AM13" i="4"/>
  <c r="G9" i="23"/>
  <c r="R180" i="4"/>
  <c r="AB163" i="4"/>
  <c r="X163" i="4"/>
  <c r="Y163" i="4" s="1"/>
  <c r="AB139" i="4"/>
  <c r="X139" i="4"/>
  <c r="Y139" i="4" s="1"/>
  <c r="AN11" i="4"/>
  <c r="AM11" i="4"/>
  <c r="AH13" i="7"/>
  <c r="AI13" i="7" s="1"/>
  <c r="X13" i="7"/>
  <c r="V13" i="7"/>
  <c r="Y13" i="7"/>
  <c r="W13" i="7"/>
  <c r="AA13" i="7"/>
  <c r="AB3" i="4"/>
  <c r="X3" i="4"/>
  <c r="Y3" i="4" s="1"/>
  <c r="H16" i="11" s="1"/>
  <c r="X69" i="4"/>
  <c r="Y69" i="4" s="1"/>
  <c r="AB69" i="4"/>
  <c r="AB164" i="4"/>
  <c r="X164" i="4"/>
  <c r="Y164" i="4" s="1"/>
  <c r="X103" i="4"/>
  <c r="Y103" i="4" s="1"/>
  <c r="AB103" i="4"/>
  <c r="AB145" i="4"/>
  <c r="X145" i="4"/>
  <c r="Y145" i="4" s="1"/>
  <c r="AB111" i="4"/>
  <c r="X111" i="4"/>
  <c r="Y111" i="4" s="1"/>
  <c r="X67" i="4"/>
  <c r="Y67" i="4" s="1"/>
  <c r="AB67" i="4"/>
  <c r="AB92" i="4"/>
  <c r="X92" i="4"/>
  <c r="Y92" i="4" s="1"/>
  <c r="AB5" i="4"/>
  <c r="X5" i="4"/>
  <c r="Y5" i="4" s="1"/>
  <c r="H18" i="11" s="1"/>
  <c r="AB13" i="4"/>
  <c r="X13" i="4"/>
  <c r="Y13" i="4" s="1"/>
  <c r="H26" i="11" s="1"/>
  <c r="AB97" i="4"/>
  <c r="X97" i="4"/>
  <c r="Y97" i="4" s="1"/>
  <c r="G6" i="23"/>
  <c r="R183" i="4"/>
  <c r="Z51" i="4"/>
  <c r="X11" i="4"/>
  <c r="Y11" i="4" s="1"/>
  <c r="H24" i="11" s="1"/>
  <c r="AB11" i="4"/>
  <c r="AB96" i="4"/>
  <c r="X96" i="4"/>
  <c r="Y96" i="4" s="1"/>
  <c r="AB137" i="4"/>
  <c r="X137" i="4"/>
  <c r="Y137" i="4" s="1"/>
  <c r="AB106" i="4"/>
  <c r="X106" i="4"/>
  <c r="Y106" i="4" s="1"/>
  <c r="AN9" i="4"/>
  <c r="AM9" i="4"/>
  <c r="AB136" i="4"/>
  <c r="X136" i="4"/>
  <c r="Y136" i="4" s="1"/>
  <c r="Z50" i="4"/>
  <c r="Z23" i="4"/>
  <c r="X76" i="4"/>
  <c r="Y76" i="4" s="1"/>
  <c r="AB76" i="4"/>
  <c r="AB162" i="4"/>
  <c r="X162" i="4"/>
  <c r="Y162" i="4" s="1"/>
  <c r="AN6" i="4"/>
  <c r="AM6" i="4"/>
  <c r="AB184" i="4"/>
  <c r="X184" i="4"/>
  <c r="Y184" i="4" s="1"/>
  <c r="AB133" i="4"/>
  <c r="X133" i="4"/>
  <c r="Y133" i="4" s="1"/>
  <c r="V20" i="7"/>
  <c r="Y20" i="7"/>
  <c r="AH20" i="7"/>
  <c r="AI20" i="7" s="1"/>
  <c r="W20" i="7"/>
  <c r="X20" i="7"/>
  <c r="AA20" i="7"/>
  <c r="AN185" i="4"/>
  <c r="AM185" i="4"/>
  <c r="AN10" i="4"/>
  <c r="AM10" i="4"/>
  <c r="X9" i="4"/>
  <c r="Y9" i="4" s="1"/>
  <c r="H22" i="11" s="1"/>
  <c r="AB9" i="4"/>
  <c r="G8" i="23"/>
  <c r="R177" i="4"/>
  <c r="X68" i="4"/>
  <c r="Y68" i="4" s="1"/>
  <c r="AB68" i="4"/>
  <c r="X109" i="4"/>
  <c r="Y109" i="4" s="1"/>
  <c r="AB109" i="4"/>
  <c r="AB95" i="4"/>
  <c r="X95" i="4"/>
  <c r="Y95" i="4" s="1"/>
  <c r="AB147" i="4"/>
  <c r="X147" i="4"/>
  <c r="Y147" i="4" s="1"/>
  <c r="Z43" i="4"/>
  <c r="AB128" i="4"/>
  <c r="X128" i="4"/>
  <c r="Y128" i="4" s="1"/>
  <c r="X21" i="7"/>
  <c r="W21" i="7"/>
  <c r="AH21" i="7"/>
  <c r="AI21" i="7" s="1"/>
  <c r="Y21" i="7"/>
  <c r="V21" i="7"/>
  <c r="AA21" i="7"/>
  <c r="Z59" i="4"/>
  <c r="Z25" i="4"/>
  <c r="AN186" i="4"/>
  <c r="AM186" i="4"/>
  <c r="Z44" i="4"/>
  <c r="AB94" i="4"/>
  <c r="X94" i="4"/>
  <c r="Y94" i="4" s="1"/>
  <c r="Z146" i="4"/>
  <c r="X10" i="4"/>
  <c r="Y10" i="4" s="1"/>
  <c r="H23" i="11" s="1"/>
  <c r="AB10" i="4"/>
  <c r="AB176" i="4"/>
  <c r="X176" i="4"/>
  <c r="Y176" i="4" s="1"/>
  <c r="AB98" i="4"/>
  <c r="X98" i="4"/>
  <c r="Y98" i="4" s="1"/>
  <c r="AB129" i="4"/>
  <c r="X129" i="4"/>
  <c r="Y129" i="4" s="1"/>
  <c r="AB135" i="4"/>
  <c r="X135" i="4"/>
  <c r="Y135" i="4" s="1"/>
  <c r="X78" i="4"/>
  <c r="Y78" i="4" s="1"/>
  <c r="AB78" i="4"/>
  <c r="G7" i="23"/>
  <c r="R173" i="4"/>
  <c r="W15" i="7"/>
  <c r="Y15" i="7"/>
  <c r="X15" i="7"/>
  <c r="Z55" i="4"/>
  <c r="AB153" i="4"/>
  <c r="X153" i="4"/>
  <c r="Y153" i="4" s="1"/>
  <c r="AB100" i="4"/>
  <c r="X100" i="4"/>
  <c r="Y100" i="4" s="1"/>
  <c r="AB6" i="4"/>
  <c r="X6" i="4"/>
  <c r="Y6" i="4" s="1"/>
  <c r="H19" i="11" s="1"/>
  <c r="Z143" i="4"/>
  <c r="AD51" i="22"/>
  <c r="AE51" i="22" s="1"/>
  <c r="F16" i="11"/>
  <c r="X175" i="4"/>
  <c r="Y175" i="4" s="1"/>
  <c r="AB175" i="4"/>
  <c r="AN4" i="4"/>
  <c r="AM4" i="4"/>
  <c r="X73" i="4"/>
  <c r="Y73" i="4" s="1"/>
  <c r="AB73" i="4"/>
  <c r="AN189" i="4"/>
  <c r="AM189" i="4"/>
  <c r="AB88" i="4"/>
  <c r="X88" i="4"/>
  <c r="Y88" i="4" s="1"/>
  <c r="Z63" i="4"/>
  <c r="AM187" i="4"/>
  <c r="AN187" i="4"/>
  <c r="X71" i="4"/>
  <c r="Y71" i="4" s="1"/>
  <c r="AB71" i="4"/>
  <c r="X104" i="4"/>
  <c r="Y104" i="4" s="1"/>
  <c r="AB104" i="4"/>
  <c r="Z45" i="4"/>
  <c r="Z24" i="4"/>
  <c r="Z154" i="4"/>
  <c r="Z52" i="4"/>
  <c r="W12" i="7"/>
  <c r="AA12" i="7"/>
  <c r="X12" i="7"/>
  <c r="AH12" i="7"/>
  <c r="AI12" i="7" s="1"/>
  <c r="Y12" i="7"/>
  <c r="V12" i="7"/>
  <c r="AB151" i="4"/>
  <c r="X151" i="4"/>
  <c r="Y151" i="4" s="1"/>
  <c r="AB121" i="4"/>
  <c r="X121" i="4"/>
  <c r="Y121" i="4" s="1"/>
  <c r="AB113" i="4"/>
  <c r="X113" i="4"/>
  <c r="Y113" i="4" s="1"/>
  <c r="AB91" i="4"/>
  <c r="X91" i="4"/>
  <c r="Y91" i="4" s="1"/>
  <c r="AB188" i="4"/>
  <c r="X188" i="4"/>
  <c r="Y188" i="4" s="1"/>
  <c r="G5" i="23"/>
  <c r="R181" i="4"/>
  <c r="AB4" i="4"/>
  <c r="X4" i="4"/>
  <c r="Y4" i="4" s="1"/>
  <c r="H17" i="11" s="1"/>
  <c r="AB189" i="4"/>
  <c r="X189" i="4"/>
  <c r="Y189" i="4" s="1"/>
  <c r="AB138" i="4"/>
  <c r="X138" i="4"/>
  <c r="Y138" i="4" s="1"/>
  <c r="Z149" i="4"/>
  <c r="AB182" i="4"/>
  <c r="X182" i="4"/>
  <c r="Y182" i="4" s="1"/>
  <c r="AB90" i="4"/>
  <c r="X90" i="4"/>
  <c r="Y90" i="4" s="1"/>
  <c r="AB14" i="4"/>
  <c r="X14" i="4"/>
  <c r="Y14" i="4" s="1"/>
  <c r="H27" i="11" s="1"/>
  <c r="AB166" i="4"/>
  <c r="X166" i="4"/>
  <c r="Y166" i="4" s="1"/>
  <c r="X81" i="4"/>
  <c r="Y81" i="4" s="1"/>
  <c r="AB81" i="4"/>
  <c r="X79" i="4"/>
  <c r="Y79" i="4" s="1"/>
  <c r="AB79" i="4"/>
  <c r="AB134" i="4"/>
  <c r="X134" i="4"/>
  <c r="Y134" i="4" s="1"/>
  <c r="AB171" i="4"/>
  <c r="X171" i="4"/>
  <c r="Y171" i="4" s="1"/>
  <c r="AB107" i="4"/>
  <c r="X107" i="4"/>
  <c r="Y107" i="4" s="1"/>
  <c r="G16" i="11"/>
  <c r="Z32" i="4"/>
  <c r="AN188" i="4"/>
  <c r="AM188" i="4"/>
  <c r="Z53" i="4"/>
  <c r="AB165" i="4"/>
  <c r="X165" i="4"/>
  <c r="Y165" i="4" s="1"/>
  <c r="AB126" i="4"/>
  <c r="X126" i="4"/>
  <c r="Y126" i="4" s="1"/>
  <c r="Z160" i="4"/>
  <c r="AB185" i="4"/>
  <c r="X185" i="4"/>
  <c r="Y185" i="4" s="1"/>
  <c r="X168" i="4"/>
  <c r="Y168" i="4" s="1"/>
  <c r="AB168" i="4"/>
  <c r="Z46" i="4"/>
  <c r="Z35" i="4"/>
  <c r="AN7" i="4"/>
  <c r="AM7" i="4"/>
  <c r="X169" i="4"/>
  <c r="Y169" i="4" s="1"/>
  <c r="AB169" i="4"/>
  <c r="W14" i="7"/>
  <c r="X14" i="7"/>
  <c r="Y14" i="7"/>
  <c r="AH14" i="7"/>
  <c r="AI14" i="7" s="1"/>
  <c r="V14" i="7"/>
  <c r="AA14" i="7"/>
  <c r="AB127" i="4"/>
  <c r="X127" i="4"/>
  <c r="Y127" i="4" s="1"/>
  <c r="Z28" i="4"/>
  <c r="X22" i="7"/>
  <c r="AH22" i="7"/>
  <c r="AI22" i="7" s="1"/>
  <c r="AA22" i="7"/>
  <c r="Y22" i="7"/>
  <c r="W22" i="7"/>
  <c r="V22" i="7"/>
  <c r="AB102" i="4"/>
  <c r="X102" i="4"/>
  <c r="Y102" i="4" s="1"/>
  <c r="Z27" i="4"/>
  <c r="Z144" i="4"/>
  <c r="Z64" i="4"/>
  <c r="AD42" i="22"/>
  <c r="AE42" i="22" s="1"/>
  <c r="AB119" i="4"/>
  <c r="X119" i="4"/>
  <c r="Y119" i="4" s="1"/>
  <c r="AB124" i="4"/>
  <c r="X124" i="4"/>
  <c r="Y124" i="4" s="1"/>
  <c r="AB170" i="4"/>
  <c r="X170" i="4"/>
  <c r="Y170" i="4" s="1"/>
  <c r="AB7" i="4"/>
  <c r="X7" i="4"/>
  <c r="Y7" i="4" s="1"/>
  <c r="H20" i="11" s="1"/>
  <c r="X24" i="7"/>
  <c r="V24" i="7"/>
  <c r="W24" i="7"/>
  <c r="AH24" i="7"/>
  <c r="AI24" i="7" s="1"/>
  <c r="Y24" i="7"/>
  <c r="AA24" i="7"/>
  <c r="AD30" i="22"/>
  <c r="AE30" i="22" s="1"/>
  <c r="AB123" i="4"/>
  <c r="X123" i="4"/>
  <c r="Y123" i="4" s="1"/>
  <c r="AN8" i="4"/>
  <c r="AM8" i="4"/>
  <c r="Z36" i="4"/>
  <c r="X180" i="4"/>
  <c r="Y180" i="4" s="1"/>
  <c r="AB180" i="4"/>
  <c r="AB173" i="4"/>
  <c r="X173" i="4"/>
  <c r="Y173" i="4" s="1"/>
  <c r="X83" i="4"/>
  <c r="Y83" i="4" s="1"/>
  <c r="AB83" i="4"/>
  <c r="AB116" i="4"/>
  <c r="X116" i="4"/>
  <c r="Y116" i="4" s="1"/>
  <c r="AB179" i="4"/>
  <c r="X179" i="4"/>
  <c r="Y179" i="4" s="1"/>
  <c r="Y23" i="7"/>
  <c r="V23" i="7"/>
  <c r="AH23" i="7"/>
  <c r="AI23" i="7" s="1"/>
  <c r="X23" i="7"/>
  <c r="W23" i="7"/>
  <c r="AA23" i="7"/>
  <c r="AB87" i="4"/>
  <c r="X87" i="4"/>
  <c r="Y87" i="4" s="1"/>
  <c r="X74" i="4"/>
  <c r="Y74" i="4" s="1"/>
  <c r="AB74" i="4"/>
  <c r="AN12" i="4"/>
  <c r="AM12" i="4"/>
  <c r="X178" i="4"/>
  <c r="Y178" i="4" s="1"/>
  <c r="AB178" i="4"/>
  <c r="AB99" i="4"/>
  <c r="X99" i="4"/>
  <c r="Y99" i="4" s="1"/>
  <c r="X117" i="4"/>
  <c r="Y117" i="4" s="1"/>
  <c r="AB117" i="4"/>
  <c r="X187" i="4"/>
  <c r="Y187" i="4" s="1"/>
  <c r="AB187" i="4"/>
  <c r="X8" i="4"/>
  <c r="Y8" i="4" s="1"/>
  <c r="H21" i="11" s="1"/>
  <c r="AB8" i="4"/>
  <c r="AB177" i="4"/>
  <c r="X177" i="4"/>
  <c r="Y177" i="4" s="1"/>
  <c r="AB183" i="4"/>
  <c r="X183" i="4"/>
  <c r="Y183" i="4" s="1"/>
  <c r="AB130" i="4"/>
  <c r="X130" i="4"/>
  <c r="Y130" i="4" s="1"/>
  <c r="AB132" i="4"/>
  <c r="X132" i="4"/>
  <c r="Y132" i="4" s="1"/>
  <c r="AB122" i="4"/>
  <c r="X122" i="4"/>
  <c r="Y122" i="4" s="1"/>
  <c r="AN166" i="4"/>
  <c r="AM166" i="4"/>
  <c r="X72" i="4"/>
  <c r="Y72" i="4" s="1"/>
  <c r="AB72" i="4"/>
  <c r="X112" i="4"/>
  <c r="Y112" i="4" s="1"/>
  <c r="AB112" i="4"/>
  <c r="X167" i="4"/>
  <c r="Y167" i="4" s="1"/>
  <c r="AB167" i="4"/>
  <c r="AB114" i="4"/>
  <c r="X114" i="4"/>
  <c r="Y114" i="4" s="1"/>
  <c r="AN3" i="4"/>
  <c r="AM3" i="4"/>
  <c r="AB12" i="4"/>
  <c r="X12" i="4"/>
  <c r="Y12" i="4" s="1"/>
  <c r="H25" i="11" s="1"/>
  <c r="X181" i="4"/>
  <c r="Y181" i="4" s="1"/>
  <c r="AB181" i="4"/>
  <c r="AB131" i="4"/>
  <c r="X131" i="4"/>
  <c r="Y131" i="4" s="1"/>
  <c r="X115" i="4"/>
  <c r="Y115" i="4" s="1"/>
  <c r="AB115" i="4"/>
  <c r="AB85" i="4"/>
  <c r="X85" i="4"/>
  <c r="Y85" i="4" s="1"/>
  <c r="AB157" i="4"/>
  <c r="X157" i="4"/>
  <c r="Y157" i="4" s="1"/>
  <c r="AB148" i="4"/>
  <c r="X148" i="4"/>
  <c r="Y148" i="4" s="1"/>
  <c r="AB110" i="4"/>
  <c r="X110" i="4"/>
  <c r="Y110" i="4" s="1"/>
  <c r="AB141" i="4"/>
  <c r="X141" i="4"/>
  <c r="Y141" i="4" s="1"/>
  <c r="R166" i="4"/>
  <c r="AB172" i="4"/>
  <c r="X172" i="4"/>
  <c r="Y172" i="4" s="1"/>
  <c r="X82" i="4"/>
  <c r="Y82" i="4" s="1"/>
  <c r="AB82" i="4"/>
  <c r="AB140" i="4"/>
  <c r="X140" i="4"/>
  <c r="Y140" i="4" s="1"/>
  <c r="AB125" i="4"/>
  <c r="X125" i="4"/>
  <c r="Y125" i="4" s="1"/>
  <c r="X80" i="4"/>
  <c r="Y80" i="4" s="1"/>
  <c r="AB80" i="4"/>
  <c r="AB86" i="4"/>
  <c r="X86" i="4"/>
  <c r="Y86" i="4" s="1"/>
  <c r="Z38" i="4"/>
  <c r="AB108" i="4"/>
  <c r="X108" i="4"/>
  <c r="Y108" i="4" s="1"/>
  <c r="AB120" i="4"/>
  <c r="X120" i="4"/>
  <c r="Y120" i="4" s="1"/>
  <c r="Z40" i="4"/>
  <c r="AB89" i="4"/>
  <c r="X89" i="4"/>
  <c r="Y89" i="4" s="1"/>
  <c r="AB101" i="4"/>
  <c r="X101" i="4"/>
  <c r="Y101" i="4" s="1"/>
  <c r="Z31" i="4"/>
  <c r="AB142" i="4"/>
  <c r="X142" i="4"/>
  <c r="Y142" i="4" s="1"/>
  <c r="X75" i="4"/>
  <c r="Y75" i="4" s="1"/>
  <c r="AB75" i="4"/>
  <c r="Z155" i="4"/>
  <c r="AB93" i="4"/>
  <c r="X93" i="4"/>
  <c r="Y93" i="4" s="1"/>
  <c r="AB186" i="4"/>
  <c r="X186" i="4"/>
  <c r="Y186" i="4" s="1"/>
  <c r="AB159" i="4"/>
  <c r="X159" i="4"/>
  <c r="Y159" i="4" s="1"/>
  <c r="X84" i="4"/>
  <c r="Y84" i="4" s="1"/>
  <c r="AB84" i="4"/>
  <c r="Z150" i="4"/>
  <c r="AD48" i="22"/>
  <c r="AE48" i="22" s="1"/>
  <c r="AB105" i="4"/>
  <c r="X105" i="4"/>
  <c r="Y105" i="4" s="1"/>
  <c r="X66" i="4"/>
  <c r="Y66" i="4" s="1"/>
  <c r="AB66" i="4"/>
  <c r="Z33" i="4"/>
  <c r="Z21" i="4"/>
  <c r="AD50" i="22"/>
  <c r="AE50" i="22" s="1"/>
  <c r="F28" i="31" l="1"/>
  <c r="G28" i="31" s="1"/>
  <c r="H28" i="31" s="1"/>
  <c r="E28" i="31"/>
  <c r="F27" i="31"/>
  <c r="G27" i="31" s="1"/>
  <c r="H27" i="31" s="1"/>
  <c r="E27" i="31"/>
  <c r="F26" i="31"/>
  <c r="G26" i="31" s="1"/>
  <c r="H26" i="31" s="1"/>
  <c r="E26" i="31"/>
  <c r="F25" i="31"/>
  <c r="G25" i="31" s="1"/>
  <c r="H25" i="31" s="1"/>
  <c r="E25" i="31"/>
  <c r="F24" i="31"/>
  <c r="G24" i="31" s="1"/>
  <c r="H24" i="31" s="1"/>
  <c r="E24" i="31"/>
  <c r="R168" i="4"/>
  <c r="R167" i="4"/>
  <c r="AT168" i="4"/>
  <c r="AU168" i="4"/>
  <c r="AS168" i="4"/>
  <c r="AT167" i="4"/>
  <c r="AS167" i="4"/>
  <c r="AU167" i="4"/>
  <c r="O179" i="4"/>
  <c r="H28" i="24" s="1"/>
  <c r="I8" i="18"/>
  <c r="N8" i="18" s="1"/>
  <c r="O8" i="18" s="1"/>
  <c r="I6" i="18"/>
  <c r="J6" i="18" s="1"/>
  <c r="K6" i="18" s="1"/>
  <c r="Z116" i="4"/>
  <c r="Z100" i="4"/>
  <c r="Z78" i="4"/>
  <c r="Z107" i="4"/>
  <c r="Z151" i="4"/>
  <c r="Z176" i="4"/>
  <c r="Z142" i="4"/>
  <c r="Z96" i="4"/>
  <c r="Z99" i="4"/>
  <c r="Z91" i="4"/>
  <c r="Z120" i="4"/>
  <c r="Z126" i="4"/>
  <c r="Z137" i="4"/>
  <c r="Z115" i="4"/>
  <c r="Z8" i="4"/>
  <c r="Z162" i="4"/>
  <c r="Z140" i="4"/>
  <c r="Z189" i="4"/>
  <c r="Z112" i="4"/>
  <c r="Z9" i="4"/>
  <c r="Z133" i="4"/>
  <c r="Z183" i="4"/>
  <c r="Z88" i="4"/>
  <c r="Z84" i="4"/>
  <c r="Z82" i="4"/>
  <c r="Z177" i="4"/>
  <c r="Z92" i="4"/>
  <c r="O2" i="18"/>
  <c r="P2" i="18" s="1"/>
  <c r="Q2" i="18" s="1"/>
  <c r="Z172" i="4"/>
  <c r="Z180" i="4"/>
  <c r="Z90" i="4"/>
  <c r="Z10" i="4"/>
  <c r="Z85" i="4"/>
  <c r="Z127" i="4"/>
  <c r="N14" i="18"/>
  <c r="O14" i="18" s="1"/>
  <c r="O15" i="18"/>
  <c r="P15" i="18" s="1"/>
  <c r="Q15" i="18" s="1"/>
  <c r="N15" i="18"/>
  <c r="R15" i="18" s="1"/>
  <c r="N17" i="18"/>
  <c r="R17" i="18" s="1"/>
  <c r="N10" i="18"/>
  <c r="O10" i="18" s="1"/>
  <c r="N24" i="18"/>
  <c r="O24" i="18" s="1"/>
  <c r="N26" i="18"/>
  <c r="O26" i="18" s="1"/>
  <c r="O3" i="18"/>
  <c r="P3" i="18" s="1"/>
  <c r="Q3" i="18" s="1"/>
  <c r="N3" i="18"/>
  <c r="R3" i="18" s="1"/>
  <c r="N27" i="18"/>
  <c r="N25" i="18"/>
  <c r="O25" i="18" s="1"/>
  <c r="N12" i="18"/>
  <c r="O12" i="18" s="1"/>
  <c r="N29" i="18"/>
  <c r="N9" i="18"/>
  <c r="O9" i="18" s="1"/>
  <c r="N11" i="18"/>
  <c r="R11" i="18" s="1"/>
  <c r="N13" i="18"/>
  <c r="O13" i="18" s="1"/>
  <c r="N21" i="18"/>
  <c r="O21" i="18" s="1"/>
  <c r="N23" i="18"/>
  <c r="R23" i="18" s="1"/>
  <c r="O5" i="18"/>
  <c r="P5" i="18" s="1"/>
  <c r="Q5" i="18" s="1"/>
  <c r="N5" i="18"/>
  <c r="R5" i="18" s="1"/>
  <c r="N28" i="18"/>
  <c r="N22" i="18"/>
  <c r="R22" i="18" s="1"/>
  <c r="N20" i="18"/>
  <c r="O20" i="18" s="1"/>
  <c r="O4" i="18"/>
  <c r="P4" i="18" s="1"/>
  <c r="Q4" i="18" s="1"/>
  <c r="N4" i="18"/>
  <c r="R4" i="18" s="1"/>
  <c r="J26" i="18"/>
  <c r="K26" i="18" s="1"/>
  <c r="J28" i="18"/>
  <c r="K28" i="18" s="1"/>
  <c r="J24" i="18"/>
  <c r="K24" i="18" s="1"/>
  <c r="J21" i="18"/>
  <c r="K21" i="18" s="1"/>
  <c r="J25" i="18"/>
  <c r="K25" i="18" s="1"/>
  <c r="J2" i="18"/>
  <c r="N2" i="18"/>
  <c r="R2" i="18" s="1"/>
  <c r="J22" i="18"/>
  <c r="K22" i="18" s="1"/>
  <c r="J12" i="18"/>
  <c r="K12" i="18" s="1"/>
  <c r="J15" i="18"/>
  <c r="J17" i="18"/>
  <c r="K17" i="18" s="1"/>
  <c r="J14" i="18"/>
  <c r="K14" i="18" s="1"/>
  <c r="J11" i="18"/>
  <c r="K11" i="18" s="1"/>
  <c r="J13" i="18"/>
  <c r="K13" i="18" s="1"/>
  <c r="J3" i="18"/>
  <c r="J27" i="18"/>
  <c r="K27" i="18" s="1"/>
  <c r="J23" i="18"/>
  <c r="K23" i="18" s="1"/>
  <c r="J5" i="18"/>
  <c r="J10" i="18"/>
  <c r="K10" i="18" s="1"/>
  <c r="J29" i="18"/>
  <c r="K29" i="18" s="1"/>
  <c r="J9" i="18"/>
  <c r="K9" i="18" s="1"/>
  <c r="J20" i="18"/>
  <c r="K20" i="18" s="1"/>
  <c r="J4" i="18"/>
  <c r="Z66" i="4"/>
  <c r="Z86" i="4"/>
  <c r="Z130" i="4"/>
  <c r="Z157" i="4"/>
  <c r="Z178" i="4"/>
  <c r="Z83" i="4"/>
  <c r="Z123" i="4"/>
  <c r="Z12" i="4"/>
  <c r="Z170" i="4"/>
  <c r="Z185" i="4"/>
  <c r="Z135" i="4"/>
  <c r="Z97" i="4"/>
  <c r="Z129" i="4"/>
  <c r="Z124" i="4"/>
  <c r="Z81" i="4"/>
  <c r="Z95" i="4"/>
  <c r="Z108" i="4"/>
  <c r="Z117" i="4"/>
  <c r="Z179" i="4"/>
  <c r="Z166" i="4"/>
  <c r="Z113" i="4"/>
  <c r="Z6" i="4"/>
  <c r="Z109" i="4"/>
  <c r="AM5" i="7"/>
  <c r="AM8" i="7" s="1"/>
  <c r="Z103" i="4"/>
  <c r="Z87" i="4"/>
  <c r="Z165" i="4"/>
  <c r="Z171" i="4"/>
  <c r="B10" i="11"/>
  <c r="Z164" i="4"/>
  <c r="I7" i="18"/>
  <c r="L8" i="18"/>
  <c r="M8" i="18" s="1"/>
  <c r="L7" i="18"/>
  <c r="M7" i="18" s="1"/>
  <c r="I7" i="23"/>
  <c r="H7" i="23"/>
  <c r="J7" i="23" s="1"/>
  <c r="Z98" i="4"/>
  <c r="Z89" i="4"/>
  <c r="Z122" i="4"/>
  <c r="Z138" i="4"/>
  <c r="Z106" i="4"/>
  <c r="Z11" i="4"/>
  <c r="Z67" i="4"/>
  <c r="Z139" i="4"/>
  <c r="Z77" i="4"/>
  <c r="Z93" i="4"/>
  <c r="Z110" i="4"/>
  <c r="I5" i="23"/>
  <c r="H5" i="23"/>
  <c r="J5" i="23" s="1"/>
  <c r="Z121" i="4"/>
  <c r="Z175" i="4"/>
  <c r="Z153" i="4"/>
  <c r="Z94" i="4"/>
  <c r="Z5" i="4"/>
  <c r="Z111" i="4"/>
  <c r="Z174" i="4"/>
  <c r="Z159" i="4"/>
  <c r="Z75" i="4"/>
  <c r="Z148" i="4"/>
  <c r="Z132" i="4"/>
  <c r="Z74" i="4"/>
  <c r="Z173" i="4"/>
  <c r="Z119" i="4"/>
  <c r="Z188" i="4"/>
  <c r="Z104" i="4"/>
  <c r="Z76" i="4"/>
  <c r="Z69" i="4"/>
  <c r="Z163" i="4"/>
  <c r="Z80" i="4"/>
  <c r="Z187" i="4"/>
  <c r="Z182" i="4"/>
  <c r="Z73" i="4"/>
  <c r="I6" i="23"/>
  <c r="H6" i="23"/>
  <c r="J6" i="23" s="1"/>
  <c r="Z145" i="4"/>
  <c r="Z3" i="4"/>
  <c r="Z105" i="4"/>
  <c r="Z186" i="4"/>
  <c r="E13" i="23"/>
  <c r="F13" i="23" s="1"/>
  <c r="Z125" i="4"/>
  <c r="Z131" i="4"/>
  <c r="Z114" i="4"/>
  <c r="Z7" i="4"/>
  <c r="Z168" i="4"/>
  <c r="Z134" i="4"/>
  <c r="Z71" i="4"/>
  <c r="Z128" i="4"/>
  <c r="Z184" i="4"/>
  <c r="Z136" i="4"/>
  <c r="I9" i="23"/>
  <c r="H9" i="23"/>
  <c r="J9" i="23" s="1"/>
  <c r="AK4" i="7"/>
  <c r="AK5" i="7" s="1"/>
  <c r="E14" i="23"/>
  <c r="F14" i="23" s="1"/>
  <c r="Z101" i="4"/>
  <c r="Z141" i="4"/>
  <c r="Z72" i="4"/>
  <c r="Z68" i="4"/>
  <c r="I12" i="23"/>
  <c r="H12" i="23"/>
  <c r="J12" i="23" s="1"/>
  <c r="Z169" i="4"/>
  <c r="I11" i="23"/>
  <c r="H11" i="23"/>
  <c r="J11" i="23" s="1"/>
  <c r="L6" i="18"/>
  <c r="M6" i="18" s="1"/>
  <c r="Z181" i="4"/>
  <c r="Z167" i="4"/>
  <c r="Z102" i="4"/>
  <c r="Z79" i="4"/>
  <c r="Z14" i="4"/>
  <c r="Z4" i="4"/>
  <c r="Z147" i="4"/>
  <c r="I8" i="23"/>
  <c r="H8" i="23"/>
  <c r="J8" i="23" s="1"/>
  <c r="Z13" i="4"/>
  <c r="R179" i="4" l="1"/>
  <c r="G10" i="23"/>
  <c r="AT179" i="4"/>
  <c r="AU179" i="4"/>
  <c r="AS179" i="4"/>
  <c r="G19" i="18"/>
  <c r="J8" i="18"/>
  <c r="K8" i="18" s="1"/>
  <c r="N6" i="18"/>
  <c r="O6" i="18" s="1"/>
  <c r="P6" i="18" s="1"/>
  <c r="Q6" i="18" s="1"/>
  <c r="R27" i="18"/>
  <c r="O27" i="18"/>
  <c r="P27" i="18" s="1"/>
  <c r="Q27" i="18" s="1"/>
  <c r="O29" i="18"/>
  <c r="P29" i="18" s="1"/>
  <c r="Q29" i="18" s="1"/>
  <c r="R28" i="18"/>
  <c r="O28" i="18"/>
  <c r="P28" i="18" s="1"/>
  <c r="Q28" i="18" s="1"/>
  <c r="O23" i="18"/>
  <c r="P23" i="18" s="1"/>
  <c r="Q23" i="18" s="1"/>
  <c r="R10" i="18"/>
  <c r="R29" i="18"/>
  <c r="O11" i="18"/>
  <c r="P11" i="18" s="1"/>
  <c r="Q11" i="18" s="1"/>
  <c r="O22" i="18"/>
  <c r="P22" i="18" s="1"/>
  <c r="Q22" i="18" s="1"/>
  <c r="O17" i="18"/>
  <c r="P17" i="18" s="1"/>
  <c r="Q17" i="18" s="1"/>
  <c r="N7" i="18"/>
  <c r="O7" i="18" s="1"/>
  <c r="P25" i="18"/>
  <c r="Q25" i="18" s="1"/>
  <c r="R25" i="18"/>
  <c r="P12" i="18"/>
  <c r="Q12" i="18" s="1"/>
  <c r="R12" i="18"/>
  <c r="P26" i="18"/>
  <c r="Q26" i="18" s="1"/>
  <c r="R26" i="18"/>
  <c r="P9" i="18"/>
  <c r="Q9" i="18" s="1"/>
  <c r="R9" i="18"/>
  <c r="P10" i="18"/>
  <c r="Q10" i="18" s="1"/>
  <c r="P20" i="18"/>
  <c r="Q20" i="18" s="1"/>
  <c r="R20" i="18"/>
  <c r="P14" i="18"/>
  <c r="Q14" i="18" s="1"/>
  <c r="R14" i="18"/>
  <c r="P13" i="18"/>
  <c r="Q13" i="18" s="1"/>
  <c r="R13" i="18"/>
  <c r="P21" i="18"/>
  <c r="Q21" i="18" s="1"/>
  <c r="R21" i="18"/>
  <c r="P24" i="18"/>
  <c r="Q24" i="18" s="1"/>
  <c r="R24" i="18"/>
  <c r="R8" i="18"/>
  <c r="J7" i="18"/>
  <c r="K7" i="18" s="1"/>
  <c r="AM6" i="7"/>
  <c r="AM7" i="7"/>
  <c r="P8" i="18"/>
  <c r="Q8" i="18" s="1"/>
  <c r="AK8" i="7"/>
  <c r="AK6" i="7"/>
  <c r="AK7" i="7"/>
  <c r="G14" i="23" l="1"/>
  <c r="R178" i="4"/>
  <c r="G13" i="23"/>
  <c r="R176" i="4"/>
  <c r="I10" i="23"/>
  <c r="H10" i="23"/>
  <c r="J10" i="23" s="1"/>
  <c r="AT176" i="4"/>
  <c r="AU176" i="4"/>
  <c r="AS176" i="4"/>
  <c r="G16" i="18"/>
  <c r="AT178" i="4"/>
  <c r="AU178" i="4"/>
  <c r="AS178" i="4"/>
  <c r="G18" i="18"/>
  <c r="L19" i="18"/>
  <c r="M19" i="18" s="1"/>
  <c r="I19" i="18"/>
  <c r="R6" i="18"/>
  <c r="R7" i="18"/>
  <c r="P7" i="18"/>
  <c r="Q7" i="18" s="1"/>
  <c r="H13" i="23" l="1"/>
  <c r="J13" i="23" s="1"/>
  <c r="I13" i="23"/>
  <c r="I14" i="23"/>
  <c r="H14" i="23"/>
  <c r="J14" i="23" s="1"/>
  <c r="N19" i="18"/>
  <c r="J19" i="18"/>
  <c r="K19" i="18" s="1"/>
  <c r="I18" i="18"/>
  <c r="L18" i="18"/>
  <c r="M18" i="18" s="1"/>
  <c r="K14" i="10"/>
  <c r="L16" i="18"/>
  <c r="M16" i="18" s="1"/>
  <c r="I16" i="18"/>
  <c r="K12" i="10"/>
  <c r="J5" i="10"/>
  <c r="B19" i="10" s="1"/>
  <c r="B9" i="11"/>
  <c r="K12" i="1"/>
  <c r="M5" i="1"/>
  <c r="J5" i="1"/>
  <c r="K10" i="1"/>
  <c r="K11" i="1"/>
  <c r="M5" i="10"/>
  <c r="B21" i="10" s="1"/>
  <c r="B8" i="11"/>
  <c r="K13" i="10"/>
  <c r="K11" i="10"/>
  <c r="N16" i="18" l="1"/>
  <c r="J16" i="18"/>
  <c r="K16" i="18" s="1"/>
  <c r="N18" i="18"/>
  <c r="J18" i="18"/>
  <c r="K18" i="18" s="1"/>
  <c r="O19" i="18"/>
  <c r="P19" i="18" s="1"/>
  <c r="Q19" i="18" s="1"/>
  <c r="R19" i="18"/>
  <c r="O18" i="18" l="1"/>
  <c r="P18" i="18" s="1"/>
  <c r="Q18" i="18" s="1"/>
  <c r="R18" i="18"/>
  <c r="O16" i="18"/>
  <c r="P16" i="18" s="1"/>
  <c r="Q16" i="18" s="1"/>
  <c r="R16" i="18"/>
  <c r="D10" i="31" l="1"/>
  <c r="D12" i="31"/>
  <c r="D11" i="31"/>
  <c r="F11" i="31" l="1"/>
  <c r="E11" i="31"/>
  <c r="H11" i="31" s="1"/>
  <c r="E12" i="31"/>
  <c r="H12" i="31" s="1"/>
  <c r="F12" i="31"/>
  <c r="F10" i="31"/>
  <c r="E10" i="31"/>
  <c r="H10" i="31" s="1"/>
  <c r="G15" i="31"/>
  <c r="G14" i="31"/>
  <c r="G13" i="31"/>
  <c r="G12" i="31"/>
  <c r="G10" i="31"/>
  <c r="D14" i="31" l="1"/>
  <c r="D15" i="31"/>
  <c r="B20" i="31"/>
  <c r="D20" i="31" s="1"/>
  <c r="F20" i="31" s="1"/>
  <c r="G11" i="31"/>
  <c r="D13" i="31"/>
  <c r="F15" i="31" l="1"/>
  <c r="E15" i="31"/>
  <c r="H15" i="31" s="1"/>
  <c r="F13" i="31"/>
  <c r="E13" i="31"/>
  <c r="H13" i="31" s="1"/>
  <c r="D16" i="31"/>
  <c r="E14" i="31"/>
  <c r="H14" i="31" s="1"/>
  <c r="F14" i="31"/>
  <c r="E16" i="31" l="1"/>
  <c r="H16" i="31" s="1"/>
  <c r="F16" i="31"/>
  <c r="F5" i="31" l="1"/>
  <c r="D5" i="31" l="1"/>
  <c r="F6" i="31" l="1"/>
  <c r="D6" i="31"/>
  <c r="B6" i="31"/>
</calcChain>
</file>

<file path=xl/sharedStrings.xml><?xml version="1.0" encoding="utf-8"?>
<sst xmlns="http://schemas.openxmlformats.org/spreadsheetml/2006/main" count="8597" uniqueCount="2301">
  <si>
    <t>Entrada única: Apontamento_Montagem. Saída automática: baixa por JOIST + baixa estrutural/TERÇAS por rua + alertas de compra.</t>
  </si>
  <si>
    <t>JOISTS PLANEJADAS</t>
  </si>
  <si>
    <t>JOISTS MONTADAS</t>
  </si>
  <si>
    <t>AVANÇO FÍSICO</t>
  </si>
  <si>
    <t>ITENS CRÍTICOS</t>
  </si>
  <si>
    <t>ITENS ATENÇÃO</t>
  </si>
  <si>
    <t>TAGS MULTIRUA</t>
  </si>
  <si>
    <t>CONTROLE POR RUA</t>
  </si>
  <si>
    <t>SAÚDE DO ESTOQUE</t>
  </si>
  <si>
    <t>RUA</t>
  </si>
  <si>
    <t>FAIXA</t>
  </si>
  <si>
    <t>PRIOR.</t>
  </si>
  <si>
    <t>RUA MONTADA?</t>
  </si>
  <si>
    <t>JOISTS PLAN.</t>
  </si>
  <si>
    <t>JOISTS MONT.</t>
  </si>
  <si>
    <t>% AVANÇO</t>
  </si>
  <si>
    <t>STATUS</t>
  </si>
  <si>
    <t>MATERIAIS</t>
  </si>
  <si>
    <t>FIXADORES</t>
  </si>
  <si>
    <t>AÇÃO</t>
  </si>
  <si>
    <t>RISCO</t>
  </si>
  <si>
    <t>OK</t>
  </si>
  <si>
    <t>Manter rotina</t>
  </si>
  <si>
    <t>Sem risco</t>
  </si>
  <si>
    <t>ATENÇÃO</t>
  </si>
  <si>
    <t>Programar compra</t>
  </si>
  <si>
    <t>Médio</t>
  </si>
  <si>
    <t>CRÍTICO</t>
  </si>
  <si>
    <t>Comprar urgente</t>
  </si>
  <si>
    <t>Alto</t>
  </si>
  <si>
    <t>MONITORAMENTO DE AUTOMAÇÃO</t>
  </si>
  <si>
    <t>TAGS MAPEADAS</t>
  </si>
  <si>
    <t>TAGS NÃO MAPEADAS</t>
  </si>
  <si>
    <t>BAIXA JOIST</t>
  </si>
  <si>
    <t>BAIXA RUA</t>
  </si>
  <si>
    <t>TERÇAS DM-002 NO MAPA</t>
  </si>
  <si>
    <t>COMO OPERAR</t>
  </si>
  <si>
    <t>1. Apontar JOISTS montadas acumuladas na aba Apontamento_Montagem, coluna D.</t>
  </si>
  <si>
    <t>2. Marcar RUA MONTADA? = SIM somente quando vigas/pilaretes/terças daquela rua estiverem concluídos.</t>
  </si>
  <si>
    <t>3. Controle_Materiais coluna N consolida baixa por JOIST + baixa estrutural/TERÇAS por rua.</t>
  </si>
  <si>
    <t>4. TAG comum/multirua baixa apenas a QTD_NA_RUA correspondente às ruas marcadas como SIM.</t>
  </si>
  <si>
    <t>5. Ajustar manualmente QTD_NA_RUA no Mapa_Ruas_Estrutural se houver revisão de projeto.</t>
  </si>
  <si>
    <t>OF.198 - LYON - G200 | APONTAMENTO DE MONTAGEM (MACRO MANUAL)</t>
  </si>
  <si>
    <t>TIPO JOIST</t>
  </si>
  <si>
    <t>SETOR</t>
  </si>
  <si>
    <t>QTD PLANEJADA</t>
  </si>
  <si>
    <t>JOISTS CONCLUÍDAS</t>
  </si>
  <si>
    <t>QTD MONTADA</t>
  </si>
  <si>
    <t>PENDENTES</t>
  </si>
  <si>
    <t>PENDENTE MONTAR</t>
  </si>
  <si>
    <t>% PRODUÇÃO</t>
  </si>
  <si>
    <t>% MONTAGEM</t>
  </si>
  <si>
    <t>ALVO SEMANAL</t>
  </si>
  <si>
    <t>OBS</t>
  </si>
  <si>
    <t>Joist01</t>
  </si>
  <si>
    <t>Preencher coluna D e executar a macro.</t>
  </si>
  <si>
    <t>Joist02</t>
  </si>
  <si>
    <t>Joist03</t>
  </si>
  <si>
    <t>Joist04</t>
  </si>
  <si>
    <t>Joist05</t>
  </si>
  <si>
    <t>Joist06</t>
  </si>
  <si>
    <t>Joist07</t>
  </si>
  <si>
    <t>Joist08</t>
  </si>
  <si>
    <t>Joist09</t>
  </si>
  <si>
    <t>Joist10</t>
  </si>
  <si>
    <t>CONTROLE ESTRUTURAL: marcar SIM/OK somente quando o setor estiver concluído.</t>
  </si>
  <si>
    <t>FAIXA / EIXO</t>
  </si>
  <si>
    <t>PRIORIDADE</t>
  </si>
  <si>
    <t>CONCLUÍDO?</t>
  </si>
  <si>
    <t>ITENS MAPEADOS</t>
  </si>
  <si>
    <t>QTD REALIZADA</t>
  </si>
  <si>
    <t>PRODUTIVIDADE META</t>
  </si>
  <si>
    <t>PRODUTIVIDADE REAL</t>
  </si>
  <si>
    <t>ITENS BAIXADOS</t>
  </si>
  <si>
    <t>SETOR 01</t>
  </si>
  <si>
    <t>P1</t>
  </si>
  <si>
    <t>NÃO</t>
  </si>
  <si>
    <t>PENDENTE</t>
  </si>
  <si>
    <t>Cadastrar no mapa estrutural</t>
  </si>
  <si>
    <t>SETOR 02</t>
  </si>
  <si>
    <t>P2</t>
  </si>
  <si>
    <t>SETOR 03</t>
  </si>
  <si>
    <t>P3</t>
  </si>
  <si>
    <t>SETOR 04</t>
  </si>
  <si>
    <t>P4</t>
  </si>
  <si>
    <t>SETOR 05</t>
  </si>
  <si>
    <t>P5</t>
  </si>
  <si>
    <t>SETOR 06</t>
  </si>
  <si>
    <t>P6</t>
  </si>
  <si>
    <t>SETOR 07</t>
  </si>
  <si>
    <t>P7</t>
  </si>
  <si>
    <t>SETOR 08</t>
  </si>
  <si>
    <t>P8</t>
  </si>
  <si>
    <t>SETOR 09</t>
  </si>
  <si>
    <t>P9</t>
  </si>
  <si>
    <t>SETOR 10</t>
  </si>
  <si>
    <t>P10</t>
  </si>
  <si>
    <t>VIGAS PILAR</t>
  </si>
  <si>
    <t>VIGAS INTERMÉDIARIA</t>
  </si>
  <si>
    <t>OF.198 - LYON - G200 | REMESSAS</t>
  </si>
  <si>
    <t>MATERIAL</t>
  </si>
  <si>
    <t>PRODUTO</t>
  </si>
  <si>
    <t>TAG</t>
  </si>
  <si>
    <t>ETAPA</t>
  </si>
  <si>
    <t>1ª REMESSA OE-198-02 20/07</t>
  </si>
  <si>
    <t>3° REMESSA OE-198-05 R1 28/07</t>
  </si>
  <si>
    <t>4° REMESSA OE-198-06 r2 31/07</t>
  </si>
  <si>
    <t>5° REMESSA OE-198-07 06/08</t>
  </si>
  <si>
    <t>TOTAL RECEBIDO</t>
  </si>
  <si>
    <t>PLANEJADO ENG.</t>
  </si>
  <si>
    <t>FALTA ENVIAR</t>
  </si>
  <si>
    <t>CR132#1.50</t>
  </si>
  <si>
    <t>BANZO JOIST</t>
  </si>
  <si>
    <t>BZ001</t>
  </si>
  <si>
    <t>JOIST</t>
  </si>
  <si>
    <t>CR132#1.25</t>
  </si>
  <si>
    <t>BZ002</t>
  </si>
  <si>
    <t>BZ005</t>
  </si>
  <si>
    <t>UE127#1.25</t>
  </si>
  <si>
    <t>DIAGONAL JOIST</t>
  </si>
  <si>
    <t>DN001</t>
  </si>
  <si>
    <t>DN002</t>
  </si>
  <si>
    <t>UE127#0.95</t>
  </si>
  <si>
    <t>DN003</t>
  </si>
  <si>
    <t>CH1.55X86.88</t>
  </si>
  <si>
    <t>REFORÇO JOIST</t>
  </si>
  <si>
    <t>RF001</t>
  </si>
  <si>
    <t>CH2.3X144.84</t>
  </si>
  <si>
    <t>RF003</t>
  </si>
  <si>
    <t>CR45#0.95</t>
  </si>
  <si>
    <t>TRAVAMENTO JOIST</t>
  </si>
  <si>
    <t>TV001</t>
  </si>
  <si>
    <t>TV002</t>
  </si>
  <si>
    <t>L30X30X1.25</t>
  </si>
  <si>
    <t>TV003</t>
  </si>
  <si>
    <t>CONFORME PROJETO</t>
  </si>
  <si>
    <t>ESPAÇADOR JOIST</t>
  </si>
  <si>
    <t>SPD01</t>
  </si>
  <si>
    <t>CH0.65X150</t>
  </si>
  <si>
    <t>GRAPA</t>
  </si>
  <si>
    <t>GRP03</t>
  </si>
  <si>
    <t>MONTAGEM</t>
  </si>
  <si>
    <t>CH0.5X300</t>
  </si>
  <si>
    <t>RUFO CADEIRA</t>
  </si>
  <si>
    <t>RCD01</t>
  </si>
  <si>
    <t>CH0.5X500.51</t>
  </si>
  <si>
    <t>RUFO DE CANTO</t>
  </si>
  <si>
    <t>RCE01</t>
  </si>
  <si>
    <t>CH0.5X444.34</t>
  </si>
  <si>
    <t>RCE02</t>
  </si>
  <si>
    <t>CH0.5X470</t>
  </si>
  <si>
    <t>RUFO OITÃO</t>
  </si>
  <si>
    <t>RO01</t>
  </si>
  <si>
    <t>RO02</t>
  </si>
  <si>
    <t>CH0.5X101.78</t>
  </si>
  <si>
    <t>RUFO PINGADEIRA</t>
  </si>
  <si>
    <t>RPI01</t>
  </si>
  <si>
    <t>CH0.65X200</t>
  </si>
  <si>
    <t>RUFO SUPERIOR</t>
  </si>
  <si>
    <t>RS01</t>
  </si>
  <si>
    <t>CH0.65X601.92</t>
  </si>
  <si>
    <t>RUFO TESTEIRA</t>
  </si>
  <si>
    <t>RT01</t>
  </si>
  <si>
    <t>RT02</t>
  </si>
  <si>
    <t>CH0.65X113.24</t>
  </si>
  <si>
    <t>SUPORTE RUFO CUM.</t>
  </si>
  <si>
    <t>RTO01</t>
  </si>
  <si>
    <t>L46X46X1.5</t>
  </si>
  <si>
    <t>ARREMATE</t>
  </si>
  <si>
    <t>ARR01</t>
  </si>
  <si>
    <t>ARR02</t>
  </si>
  <si>
    <t>ARR03</t>
  </si>
  <si>
    <t>ARR04</t>
  </si>
  <si>
    <t>ARR05</t>
  </si>
  <si>
    <t>ARR06</t>
  </si>
  <si>
    <t>ARR07</t>
  </si>
  <si>
    <t>BARRA.RED.25.4</t>
  </si>
  <si>
    <t>CHUMBADOR</t>
  </si>
  <si>
    <t>CBB01</t>
  </si>
  <si>
    <t>BARRA.RED.19</t>
  </si>
  <si>
    <t>CBB02</t>
  </si>
  <si>
    <t>CBB03</t>
  </si>
  <si>
    <t>CH12.7X100</t>
  </si>
  <si>
    <t>CBB04</t>
  </si>
  <si>
    <t>CH12.7X220</t>
  </si>
  <si>
    <t>CHAPA</t>
  </si>
  <si>
    <t>CH01</t>
  </si>
  <si>
    <t>CH2.3X60</t>
  </si>
  <si>
    <t>CONTRAVENTAMENTO</t>
  </si>
  <si>
    <t>CTH01</t>
  </si>
  <si>
    <t>CTH02</t>
  </si>
  <si>
    <t>CTH03</t>
  </si>
  <si>
    <t>CTH04</t>
  </si>
  <si>
    <t>CTH05</t>
  </si>
  <si>
    <t>CTH06</t>
  </si>
  <si>
    <t>L64X64X4.8</t>
  </si>
  <si>
    <t>CANTONEIRA</t>
  </si>
  <si>
    <t>L01</t>
  </si>
  <si>
    <t>TB180X80X6.35</t>
  </si>
  <si>
    <t>MONTANTE</t>
  </si>
  <si>
    <t>MT01</t>
  </si>
  <si>
    <t>CH12.7X150</t>
  </si>
  <si>
    <t>PILARETE</t>
  </si>
  <si>
    <t>PR01</t>
  </si>
  <si>
    <t>PR02</t>
  </si>
  <si>
    <t>PR03</t>
  </si>
  <si>
    <t>PR04</t>
  </si>
  <si>
    <t>PR05</t>
  </si>
  <si>
    <t>PR06</t>
  </si>
  <si>
    <t>CH6.4X123.68</t>
  </si>
  <si>
    <t>SUPORTE JOIST</t>
  </si>
  <si>
    <t>SJ01</t>
  </si>
  <si>
    <t>SJ02</t>
  </si>
  <si>
    <t>SJ03</t>
  </si>
  <si>
    <t>L64X64X6.4</t>
  </si>
  <si>
    <t>SUPORTE</t>
  </si>
  <si>
    <t>SP01</t>
  </si>
  <si>
    <t>CH6X64</t>
  </si>
  <si>
    <t>SUPORTE CONT.</t>
  </si>
  <si>
    <t>SP02</t>
  </si>
  <si>
    <t>SP03</t>
  </si>
  <si>
    <t>TRAVAMENTO PILAR</t>
  </si>
  <si>
    <t>TP01</t>
  </si>
  <si>
    <t>TP02</t>
  </si>
  <si>
    <t>TP03</t>
  </si>
  <si>
    <t>TP04</t>
  </si>
  <si>
    <t>TP05</t>
  </si>
  <si>
    <t>TP06</t>
  </si>
  <si>
    <t>TP07</t>
  </si>
  <si>
    <t>TP08</t>
  </si>
  <si>
    <t>TRAVAMENTO VIGA</t>
  </si>
  <si>
    <t>TV02</t>
  </si>
  <si>
    <t>TV03</t>
  </si>
  <si>
    <t>TV04</t>
  </si>
  <si>
    <t>TV05</t>
  </si>
  <si>
    <t>TV06</t>
  </si>
  <si>
    <t>TV07</t>
  </si>
  <si>
    <t>CH8X50</t>
  </si>
  <si>
    <t>VC01</t>
  </si>
  <si>
    <t>CH16X240</t>
  </si>
  <si>
    <t>VIGA COBERTURA</t>
  </si>
  <si>
    <t>VC02</t>
  </si>
  <si>
    <t>CH8X240</t>
  </si>
  <si>
    <t>VC03</t>
  </si>
  <si>
    <t>VC04</t>
  </si>
  <si>
    <t>VC05</t>
  </si>
  <si>
    <t>CH19X240</t>
  </si>
  <si>
    <t>VC06</t>
  </si>
  <si>
    <t>VC07</t>
  </si>
  <si>
    <t>W310X28.3</t>
  </si>
  <si>
    <t>VC08</t>
  </si>
  <si>
    <t>VC09</t>
  </si>
  <si>
    <t>VC10</t>
  </si>
  <si>
    <t>VC11</t>
  </si>
  <si>
    <t>VC12</t>
  </si>
  <si>
    <t>VC13</t>
  </si>
  <si>
    <t>VC14</t>
  </si>
  <si>
    <t>VC15</t>
  </si>
  <si>
    <t>VC16</t>
  </si>
  <si>
    <t>VC17</t>
  </si>
  <si>
    <t>VC18</t>
  </si>
  <si>
    <t>VC19</t>
  </si>
  <si>
    <t>VC20</t>
  </si>
  <si>
    <t>VC21</t>
  </si>
  <si>
    <t>VC22</t>
  </si>
  <si>
    <t>L46X46X1.55</t>
  </si>
  <si>
    <t>ESPAÇADOR FECHAMENTO</t>
  </si>
  <si>
    <t>ET01</t>
  </si>
  <si>
    <t>ET02</t>
  </si>
  <si>
    <t>ET03</t>
  </si>
  <si>
    <t>ET04</t>
  </si>
  <si>
    <t>ET05</t>
  </si>
  <si>
    <t>CH8X170</t>
  </si>
  <si>
    <t>SUPORTE DE TERÇA</t>
  </si>
  <si>
    <t>ST01</t>
  </si>
  <si>
    <t>ST02</t>
  </si>
  <si>
    <t>ZR190#1.70</t>
  </si>
  <si>
    <t>TERÇA FECHAMENTO</t>
  </si>
  <si>
    <t>TF01</t>
  </si>
  <si>
    <t>ZR190#1.55</t>
  </si>
  <si>
    <t>TF02</t>
  </si>
  <si>
    <t>ZR190#1.25</t>
  </si>
  <si>
    <t>TF03</t>
  </si>
  <si>
    <t>TF04</t>
  </si>
  <si>
    <t>TF05</t>
  </si>
  <si>
    <t>TF06</t>
  </si>
  <si>
    <t>ZER275#1.70</t>
  </si>
  <si>
    <t>TF07</t>
  </si>
  <si>
    <t>ZER275#1.55</t>
  </si>
  <si>
    <t>TF08</t>
  </si>
  <si>
    <t>TF09</t>
  </si>
  <si>
    <t>TF10</t>
  </si>
  <si>
    <t>TF11</t>
  </si>
  <si>
    <t>TF12</t>
  </si>
  <si>
    <t>TF13</t>
  </si>
  <si>
    <t>TF14</t>
  </si>
  <si>
    <t>TF15</t>
  </si>
  <si>
    <t>TF16</t>
  </si>
  <si>
    <t>D12.5</t>
  </si>
  <si>
    <t>VIGA</t>
  </si>
  <si>
    <t>V10</t>
  </si>
  <si>
    <t>V11</t>
  </si>
  <si>
    <t>V12</t>
  </si>
  <si>
    <t>V14</t>
  </si>
  <si>
    <t>V15</t>
  </si>
  <si>
    <t>V16</t>
  </si>
  <si>
    <t>V17</t>
  </si>
  <si>
    <t>V18</t>
  </si>
  <si>
    <t>CH0.65X1000</t>
  </si>
  <si>
    <t>CALHA</t>
  </si>
  <si>
    <t>CA02</t>
  </si>
  <si>
    <t>CA03</t>
  </si>
  <si>
    <t>GRP01</t>
  </si>
  <si>
    <t>GRP02</t>
  </si>
  <si>
    <t>MÃO FRANCESA</t>
  </si>
  <si>
    <t>MF01</t>
  </si>
  <si>
    <t>MF02</t>
  </si>
  <si>
    <t>MF03</t>
  </si>
  <si>
    <t>MF04</t>
  </si>
  <si>
    <t>CH2.3X181.14</t>
  </si>
  <si>
    <t>STM01</t>
  </si>
  <si>
    <t>SP04</t>
  </si>
  <si>
    <t>ZER300#1.95</t>
  </si>
  <si>
    <t>TERÇA MARQUISE</t>
  </si>
  <si>
    <t>TC01</t>
  </si>
  <si>
    <t>TC02</t>
  </si>
  <si>
    <t>ZER300#2.30</t>
  </si>
  <si>
    <t>TC03</t>
  </si>
  <si>
    <t>TC04</t>
  </si>
  <si>
    <t>TC05</t>
  </si>
  <si>
    <t>TC06</t>
  </si>
  <si>
    <t>TC07</t>
  </si>
  <si>
    <t>TC08</t>
  </si>
  <si>
    <t>TC09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</si>
  <si>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</si>
  <si>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</si>
  <si>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</si>
  <si>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</si>
  <si>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</si>
  <si>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</si>
  <si>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</si>
  <si>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</si>
  <si>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</si>
  <si>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</si>
  <si>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</si>
  <si>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CH9.5X170</t>
  </si>
  <si>
    <t>VIGA MARQUISE</t>
  </si>
  <si>
    <t>VM01</t>
  </si>
  <si>
    <t>C130X30X4.75</t>
  </si>
  <si>
    <t>APOIO INTERMEDIÁRIO</t>
  </si>
  <si>
    <t>API02</t>
  </si>
  <si>
    <t>APOIO PRINCIPAL</t>
  </si>
  <si>
    <t>APP01</t>
  </si>
  <si>
    <t>CH2.7X80</t>
  </si>
  <si>
    <t>CLIPE ARANHA</t>
  </si>
  <si>
    <t>CLP01</t>
  </si>
  <si>
    <t>CH3X70</t>
  </si>
  <si>
    <t>CLP02</t>
  </si>
  <si>
    <t>CH0.65X1004.13</t>
  </si>
  <si>
    <t>CA01</t>
  </si>
  <si>
    <t>SUPORTE DE CALHA</t>
  </si>
  <si>
    <t>SC01</t>
  </si>
  <si>
    <t>3° REMESSA 30/07 sm92110+sm92125</t>
  </si>
  <si>
    <t>4° REMESSA 92176+92107</t>
  </si>
  <si>
    <t>5° REMESSA 92277</t>
  </si>
  <si>
    <t>PLANEJADO</t>
  </si>
  <si>
    <t>FALTA</t>
  </si>
  <si>
    <t>PARABOLT</t>
  </si>
  <si>
    <t>ARRUELA Ø1"</t>
  </si>
  <si>
    <t>FG023</t>
  </si>
  <si>
    <t>FIXADOR</t>
  </si>
  <si>
    <t>AB_TCP3</t>
  </si>
  <si>
    <t>ARRUELA Ø1/2"</t>
  </si>
  <si>
    <t>FG018</t>
  </si>
  <si>
    <t>ARRUELA Ø3/4"</t>
  </si>
  <si>
    <t>FG024</t>
  </si>
  <si>
    <t>ARRUELA Ø3/8"</t>
  </si>
  <si>
    <t>FJ005</t>
  </si>
  <si>
    <t>A307</t>
  </si>
  <si>
    <t>ARRUELA Ø7/8"</t>
  </si>
  <si>
    <t>FG020</t>
  </si>
  <si>
    <t>AUTOBROCANTE</t>
  </si>
  <si>
    <t>FJ006</t>
  </si>
  <si>
    <t>PARABOLT Ø1/2" X 4"</t>
  </si>
  <si>
    <t>FG001</t>
  </si>
  <si>
    <t>A307 ZB</t>
  </si>
  <si>
    <t>PARAF. AB Ø1/4" X 1/2"</t>
  </si>
  <si>
    <t>FG002</t>
  </si>
  <si>
    <t>PARAF. AB Ø1/4" X 2"</t>
  </si>
  <si>
    <t>FG003</t>
  </si>
  <si>
    <t>PARAF. AB Ø1/4" X 3/4"</t>
  </si>
  <si>
    <t>FG004</t>
  </si>
  <si>
    <t>A307 zb</t>
  </si>
  <si>
    <t>PARAF. Ø1/2" X 1 1/2"</t>
  </si>
  <si>
    <t>FG019</t>
  </si>
  <si>
    <t>A325</t>
  </si>
  <si>
    <t>PARAF. Ø1/2" X 1 3/4"</t>
  </si>
  <si>
    <t>FG005</t>
  </si>
  <si>
    <t>PARAF. Ø1/2" X 2 1/4"</t>
  </si>
  <si>
    <t>FG006</t>
  </si>
  <si>
    <t>PARAF. Ø1/2" X 2"</t>
  </si>
  <si>
    <t>FG007</t>
  </si>
  <si>
    <t>PARAF. Ø3/8" X 1 1/2"</t>
  </si>
  <si>
    <t>FG008</t>
  </si>
  <si>
    <t>PARAF. Ø3/8" X 1 1/4"</t>
  </si>
  <si>
    <t>FG009</t>
  </si>
  <si>
    <t>LISA</t>
  </si>
  <si>
    <t>PARAF. Ø3/8" X 1 3/4"</t>
  </si>
  <si>
    <t>FG010</t>
  </si>
  <si>
    <t>A-325</t>
  </si>
  <si>
    <t>PARAF. Ø3/8" X 1"</t>
  </si>
  <si>
    <t>FG011</t>
  </si>
  <si>
    <t>FJ001</t>
  </si>
  <si>
    <t>A194-2H</t>
  </si>
  <si>
    <t>PARAF. Ø3/8" X 3/4"</t>
  </si>
  <si>
    <t>FJ002</t>
  </si>
  <si>
    <t>PARAF. Ø7/8" X 2 1/4"</t>
  </si>
  <si>
    <t>FG012</t>
  </si>
  <si>
    <t>F-436</t>
  </si>
  <si>
    <t>PARAF. Ø7/8" X 2 3/4"</t>
  </si>
  <si>
    <t>FG013</t>
  </si>
  <si>
    <t>PARAF. Ø7/8" X 2"</t>
  </si>
  <si>
    <t>FG014</t>
  </si>
  <si>
    <t>GR.8 (CLASSE 10.9)</t>
  </si>
  <si>
    <t>PORCA Ø1"</t>
  </si>
  <si>
    <t>FG021</t>
  </si>
  <si>
    <t>PORCA Ø1/2"</t>
  </si>
  <si>
    <t>FG015</t>
  </si>
  <si>
    <t>PORCA Ø3/4"</t>
  </si>
  <si>
    <t>FG022</t>
  </si>
  <si>
    <t>PORCA Ø3/8"</t>
  </si>
  <si>
    <t>FJ003</t>
  </si>
  <si>
    <t>-</t>
  </si>
  <si>
    <t>PORCA Ø7/8"</t>
  </si>
  <si>
    <t>FG017</t>
  </si>
  <si>
    <t>CONSUMO</t>
  </si>
  <si>
    <t>TOTAL</t>
  </si>
  <si>
    <t>EJ</t>
  </si>
  <si>
    <t>CMM</t>
  </si>
  <si>
    <t>OF.198 - LYON - G200 | CONTROLE DE MATERIAIS</t>
  </si>
  <si>
    <t>PESO UNITÁRIO (kg)</t>
  </si>
  <si>
    <t>PESO TOTAL (kg)</t>
  </si>
  <si>
    <t>COMP (mm)</t>
  </si>
  <si>
    <t>QTD PLANEJADA (ENG)</t>
  </si>
  <si>
    <t>PESO CHEGOU</t>
  </si>
  <si>
    <t>QTD CHEGOU NA OBRA</t>
  </si>
  <si>
    <t>MATERIAL NECESSÁRIO REAL</t>
  </si>
  <si>
    <t>SOBRA / EXCEDENTE</t>
  </si>
  <si>
    <t>CONSUMO TERÃ‡AS (VBA)</t>
  </si>
  <si>
    <t>QTD CONSUMIDA TOTAL (VBA)</t>
  </si>
  <si>
    <t>ESTOQUE DISP. PÓS-BAIXA</t>
  </si>
  <si>
    <t>REAL CONTABIZADO 13/08</t>
  </si>
  <si>
    <t>diff</t>
  </si>
  <si>
    <t>% ATENDIMENTO</t>
  </si>
  <si>
    <t>STATUS LOGÍSTICO</t>
  </si>
  <si>
    <t>TIPO MATERIAL</t>
  </si>
  <si>
    <t>PRIORIDADE LOGÍSTICA</t>
  </si>
  <si>
    <t>ETAPA / USO</t>
  </si>
  <si>
    <t>QTD SOLICITAR SEMANA</t>
  </si>
  <si>
    <t>AÇÃO DE ENVIO</t>
  </si>
  <si>
    <t>ALERTA PRIORIDADE</t>
  </si>
  <si>
    <t>QTD BASE / RUA</t>
  </si>
  <si>
    <t>NECESSÁRIO / RUA</t>
  </si>
  <si>
    <t>APLICAÇÃO JOIST</t>
  </si>
  <si>
    <t>QTD / JOIST01</t>
  </si>
  <si>
    <t>QTD / JOIST02</t>
  </si>
  <si>
    <t>QTD / JOIST03</t>
  </si>
  <si>
    <t>ALERTA JOIST</t>
  </si>
  <si>
    <t>SOLICITAÇÃO VAZÃO JOIST</t>
  </si>
  <si>
    <t>QTD CONSUMIDA JOISTS</t>
  </si>
  <si>
    <t>ESTOQUE APÓS JOISTS</t>
  </si>
  <si>
    <t>ESTOQUE MÍNIMO JOIST</t>
  </si>
  <si>
    <t>COBERTURA (JOISTS)</t>
  </si>
  <si>
    <t>STATUS MONTAGEM</t>
  </si>
  <si>
    <t>SOLICITAR JOIST</t>
  </si>
  <si>
    <t>OBS MONTAGEM</t>
  </si>
  <si>
    <t>RUA AUTOMÁTICA</t>
  </si>
  <si>
    <t>PRIORIDADE RUA</t>
  </si>
  <si>
    <t>QTD CONSUMIDA RUA</t>
  </si>
  <si>
    <t>ESTOQUE FINAL REAL</t>
  </si>
  <si>
    <t>STATUS FINAL</t>
  </si>
  <si>
    <t>SOLICITAR FINAL</t>
  </si>
  <si>
    <t>OBS FLUXO DE BAIXA</t>
  </si>
  <si>
    <t>RUA MAPA</t>
  </si>
  <si>
    <t>OCORRÊNCIAS MAPA</t>
  </si>
  <si>
    <t>SINALIZAÇÃO TAG</t>
  </si>
  <si>
    <t>JOIST PARTICULAR</t>
  </si>
  <si>
    <t>BAIXA ESTRUTURAL AUTOMÁTICA</t>
  </si>
  <si>
    <t>OBS AUTOMAÇÃO</t>
  </si>
  <si>
    <t>QTD MAPA TOTAL</t>
  </si>
  <si>
    <t>QTD MAPA BAIXADA</t>
  </si>
  <si>
    <t>CONSUMO JOISTS (VBA)</t>
  </si>
  <si>
    <t>CONSUMO ESTRUTURAL (VBA)</t>
  </si>
  <si>
    <t>CONSUMO TOTAL (VBA)</t>
  </si>
  <si>
    <t>ÃšLTIMA ATUALIZAÃ‡ÃƒO VBA</t>
  </si>
  <si>
    <t>Pré-montagem / JOIST</t>
  </si>
  <si>
    <t>JOIST01-04</t>
  </si>
  <si>
    <t>JOIST/PREMONTAGEM</t>
  </si>
  <si>
    <t>ESTRUTURAL</t>
  </si>
  <si>
    <t>Montagem</t>
  </si>
  <si>
    <t>Pendente</t>
  </si>
  <si>
    <t>Aguardando remessa</t>
  </si>
  <si>
    <t>NÃO INICIADO</t>
  </si>
  <si>
    <t>Fluxo por macro</t>
  </si>
  <si>
    <t>Processamento manual por macro</t>
  </si>
  <si>
    <t>Fixação</t>
  </si>
  <si>
    <t>PF AB PONTA 1 12x14x3/4</t>
  </si>
  <si>
    <t>OF.198 - LYON - G200 | CONTROLE DE FIXADORES</t>
  </si>
  <si>
    <t>Lista consolidada conforme LISTA FIXADORES GERAIS e LISTA FIXADORES JOIST. As baixas são processadas manualmente pela macro.</t>
  </si>
  <si>
    <t>SOLICITAR</t>
  </si>
  <si>
    <t>CÓDIGO</t>
  </si>
  <si>
    <t>DESCRIÇÃO</t>
  </si>
  <si>
    <t>APLICAÇÃO</t>
  </si>
  <si>
    <t>QTD/J01</t>
  </si>
  <si>
    <t>QTD/J02</t>
  </si>
  <si>
    <t>QTD/J03</t>
  </si>
  <si>
    <t>QTD/J04</t>
  </si>
  <si>
    <t>OBSERVAÇÃO</t>
  </si>
  <si>
    <t>Entrada manual somente em QTD ENVIADA. Consumo vem do apontamento de JOIST.</t>
  </si>
  <si>
    <t>GERAL</t>
  </si>
  <si>
    <t>LISTA FIXADORES GERAIS</t>
  </si>
  <si>
    <t>FG016</t>
  </si>
  <si>
    <t>16 por JOIST</t>
  </si>
  <si>
    <t>376 por JOIST</t>
  </si>
  <si>
    <t>FJ004</t>
  </si>
  <si>
    <t>G-8</t>
  </si>
  <si>
    <t>392 por JOIST</t>
  </si>
  <si>
    <t>256 por JOIST</t>
  </si>
  <si>
    <t>OF.198 - LYON - G200 | CONSUMO DE JOISTS</t>
  </si>
  <si>
    <t>PREMONTAGEM</t>
  </si>
  <si>
    <t>A composição unitária de cada tipo de JOIST está cadastrada nesta aba. O consumo é atualizado somente ao executar a macro.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</si>
  <si>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</si>
  <si>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</si>
  <si>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</si>
  <si>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</si>
  <si>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</si>
  <si>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</si>
  <si>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</si>
  <si>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</si>
  <si>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</si>
  <si>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J10</t>
  </si>
  <si>
    <t>PERDA %</t>
  </si>
  <si>
    <t>CONSUMO TOTAL</t>
  </si>
  <si>
    <t>CONSUMO ACUM.</t>
  </si>
  <si>
    <t>ESTOQUE RECEBIDO</t>
  </si>
  <si>
    <t>ESTOQUE CONSUMIDO</t>
  </si>
  <si>
    <t>ESTOQUE DISPONÍVEL</t>
  </si>
  <si>
    <t>ESTOQUE MÍN.</t>
  </si>
  <si>
    <t xml:space="preserve">CAPACIDADE </t>
  </si>
  <si>
    <t>COB02</t>
  </si>
  <si>
    <t>COB03</t>
  </si>
  <si>
    <t>COB04</t>
  </si>
  <si>
    <t>FONTE</t>
  </si>
  <si>
    <t>QTDE JOISTS COM USO</t>
  </si>
  <si>
    <t>TAG PARTICULAR?</t>
  </si>
  <si>
    <t>OBS IDENTIFICAÇÃO</t>
  </si>
  <si>
    <t>CONSUMO SELECIONADO</t>
  </si>
  <si>
    <t>CAPACIDADE POR TAG</t>
  </si>
  <si>
    <t>TIPO DE JOIST</t>
  </si>
  <si>
    <t>JOIST01</t>
  </si>
  <si>
    <t>REMESSAS / preencher manualmente</t>
  </si>
  <si>
    <t>CAPACIDADE POSSÍVEL</t>
  </si>
  <si>
    <t>FATOR LIMITANTE</t>
  </si>
  <si>
    <t>ESTOQUE DO LIMITANTE</t>
  </si>
  <si>
    <t>A capacidade considera todos os componentes e fixadores que possuem consumo no JOIST selecionado. O resultado é limitado pela TAG com menor cobertura usando o ESTOQUE DISPONÍVEL da coluna "T".</t>
  </si>
  <si>
    <t>Projeto JOIST07/JOIST08</t>
  </si>
  <si>
    <t>CONSUMO DE FIXADORES POR JOIST</t>
  </si>
  <si>
    <t>FIXADOR JOIST</t>
  </si>
  <si>
    <t>CH 5/16</t>
  </si>
  <si>
    <t>PARÂMETRO</t>
  </si>
  <si>
    <t>VALOR</t>
  </si>
  <si>
    <t>PROJETO</t>
  </si>
  <si>
    <t>OF.198 - LYON - G200</t>
  </si>
  <si>
    <t>MODO DE CÁLCULO</t>
  </si>
  <si>
    <t>MANUAL</t>
  </si>
  <si>
    <t>MACRO</t>
  </si>
  <si>
    <t>Processar_Baixa_OF201</t>
  </si>
  <si>
    <t>Aplicada em fixadores/consumíveis</t>
  </si>
  <si>
    <t>Usada para estoque mínimo</t>
  </si>
  <si>
    <t>JOIST02</t>
  </si>
  <si>
    <t>Multiplicador do estoque mínimo</t>
  </si>
  <si>
    <t>JOIST03</t>
  </si>
  <si>
    <t>Quando SIM, baixa itens vinculados à rua</t>
  </si>
  <si>
    <t>JOIST04</t>
  </si>
  <si>
    <t>Nome da macro mantido por compatibilidade com o módulo incorporado.</t>
  </si>
  <si>
    <t>FAIXA DE EIXOS</t>
  </si>
  <si>
    <t>CRITÉRIO</t>
  </si>
  <si>
    <t>MATRIZ DE CONSUMO POR JOIST | preencher manualmente demais tipos</t>
  </si>
  <si>
    <t>UNID.</t>
  </si>
  <si>
    <t>QTD / JOIST04</t>
  </si>
  <si>
    <t>QTD / JOIST05</t>
  </si>
  <si>
    <t>QTD / JOIST06</t>
  </si>
  <si>
    <t>QTD / JOIST07</t>
  </si>
  <si>
    <t>QTD / JOIST08</t>
  </si>
  <si>
    <t>QTD / JOIST09</t>
  </si>
  <si>
    <t>QTD / JOIST10</t>
  </si>
  <si>
    <t>TIPO CONSUMO</t>
  </si>
  <si>
    <t>BZ009</t>
  </si>
  <si>
    <t>BANZO</t>
  </si>
  <si>
    <t>CR132#2.30</t>
  </si>
  <si>
    <t>ZAR-345</t>
  </si>
  <si>
    <t>un</t>
  </si>
  <si>
    <t>Estrutural</t>
  </si>
  <si>
    <t>PDF JOIST07/JOIST08</t>
  </si>
  <si>
    <t>P2 - Pré-montagem</t>
  </si>
  <si>
    <t>Automático para J07/J08; demais joists preencher manualmente</t>
  </si>
  <si>
    <t>BZ010</t>
  </si>
  <si>
    <t>ZAR-400</t>
  </si>
  <si>
    <t>DIAGONAIS</t>
  </si>
  <si>
    <t>DN008</t>
  </si>
  <si>
    <t>DN009</t>
  </si>
  <si>
    <t>DN010</t>
  </si>
  <si>
    <t>CHAPA REFORÇO</t>
  </si>
  <si>
    <t>RF002</t>
  </si>
  <si>
    <t>CH1.9X144.84</t>
  </si>
  <si>
    <t>RF004</t>
  </si>
  <si>
    <t>CH1.55X133.76</t>
  </si>
  <si>
    <t>TR001</t>
  </si>
  <si>
    <t>TRAVAMENTO</t>
  </si>
  <si>
    <t>TR002</t>
  </si>
  <si>
    <t>TR003</t>
  </si>
  <si>
    <t>Manual</t>
  </si>
  <si>
    <t>Matriz espelhada do motor Consumo_Joists</t>
  </si>
  <si>
    <t>Tag</t>
  </si>
  <si>
    <t>Peso Unit. (kg)</t>
  </si>
  <si>
    <t>Peso Total(kg)</t>
  </si>
  <si>
    <t>Descrição</t>
  </si>
  <si>
    <t>QTD</t>
  </si>
  <si>
    <t>CONJUNTO</t>
  </si>
  <si>
    <t>JOIST05</t>
  </si>
  <si>
    <t>JOIST06</t>
  </si>
  <si>
    <t>JOIST07</t>
  </si>
  <si>
    <t>JOIST08</t>
  </si>
  <si>
    <t>JOIST09</t>
  </si>
  <si>
    <t>JOIST10</t>
  </si>
  <si>
    <t>BZ003</t>
  </si>
  <si>
    <t>BZ004</t>
  </si>
  <si>
    <t>BZ006</t>
  </si>
  <si>
    <t>BZ007</t>
  </si>
  <si>
    <t>BZ008</t>
  </si>
  <si>
    <t>BZ011</t>
  </si>
  <si>
    <t>BZ012</t>
  </si>
  <si>
    <t>BZ013</t>
  </si>
  <si>
    <t>BZ014</t>
  </si>
  <si>
    <t>BZ015</t>
  </si>
  <si>
    <t>DN004</t>
  </si>
  <si>
    <t>DN005</t>
  </si>
  <si>
    <t>DN006</t>
  </si>
  <si>
    <t>DN007</t>
  </si>
  <si>
    <t>DN011</t>
  </si>
  <si>
    <t>DN012</t>
  </si>
  <si>
    <t>DN013</t>
  </si>
  <si>
    <t>12.26</t>
  </si>
  <si>
    <t>85.79</t>
  </si>
  <si>
    <t>CH0.65X600.46</t>
  </si>
  <si>
    <t>TESTEIRA</t>
  </si>
  <si>
    <t>6.13</t>
  </si>
  <si>
    <t>18.39</t>
  </si>
  <si>
    <t>753.88</t>
  </si>
  <si>
    <t>CH0.65X600.6</t>
  </si>
  <si>
    <t>0.80</t>
  </si>
  <si>
    <t>198.43</t>
  </si>
  <si>
    <t>SP14</t>
  </si>
  <si>
    <t>2.41</t>
  </si>
  <si>
    <t>5.02</t>
  </si>
  <si>
    <t>241.05</t>
  </si>
  <si>
    <t>BARRA.RED.16</t>
  </si>
  <si>
    <t>2.98</t>
  </si>
  <si>
    <t>23.87</t>
  </si>
  <si>
    <t>2.14</t>
  </si>
  <si>
    <t>23.49</t>
  </si>
  <si>
    <t>7.22</t>
  </si>
  <si>
    <t>50.57</t>
  </si>
  <si>
    <t>24.79</t>
  </si>
  <si>
    <t>49.57</t>
  </si>
  <si>
    <t>24.80</t>
  </si>
  <si>
    <t>49.59</t>
  </si>
  <si>
    <t>24.76</t>
  </si>
  <si>
    <t>24.77</t>
  </si>
  <si>
    <t>49.53</t>
  </si>
  <si>
    <t>24.78</t>
  </si>
  <si>
    <t>CTH07</t>
  </si>
  <si>
    <t>25.39</t>
  </si>
  <si>
    <t>50.78</t>
  </si>
  <si>
    <t>CTH08</t>
  </si>
  <si>
    <t>24.85</t>
  </si>
  <si>
    <t>49.70</t>
  </si>
  <si>
    <t>CTH09</t>
  </si>
  <si>
    <t>21.46</t>
  </si>
  <si>
    <t>42.91</t>
  </si>
  <si>
    <t>CTH10</t>
  </si>
  <si>
    <t>85.85</t>
  </si>
  <si>
    <t>CTH11</t>
  </si>
  <si>
    <t>21.49</t>
  </si>
  <si>
    <t>42.99</t>
  </si>
  <si>
    <t>CTH12</t>
  </si>
  <si>
    <t>14.09</t>
  </si>
  <si>
    <t>28.19</t>
  </si>
  <si>
    <t>CTH13</t>
  </si>
  <si>
    <t>21.53</t>
  </si>
  <si>
    <t>CTH14</t>
  </si>
  <si>
    <t>21.17</t>
  </si>
  <si>
    <t>42.34</t>
  </si>
  <si>
    <t>0.51</t>
  </si>
  <si>
    <t>0.38</t>
  </si>
  <si>
    <t>29.52</t>
  </si>
  <si>
    <t>TB120X120X3.75</t>
  </si>
  <si>
    <t>32.93</t>
  </si>
  <si>
    <t>37.10</t>
  </si>
  <si>
    <t>39.13</t>
  </si>
  <si>
    <t>43.84</t>
  </si>
  <si>
    <t>45.13</t>
  </si>
  <si>
    <t>PR07</t>
  </si>
  <si>
    <t>38.93</t>
  </si>
  <si>
    <t>W150X22.5</t>
  </si>
  <si>
    <t>PR08</t>
  </si>
  <si>
    <t>59.72</t>
  </si>
  <si>
    <t>PR09</t>
  </si>
  <si>
    <t>33.28</t>
  </si>
  <si>
    <t>PR10</t>
  </si>
  <si>
    <t>46.82</t>
  </si>
  <si>
    <t>PR11</t>
  </si>
  <si>
    <t>27.23</t>
  </si>
  <si>
    <t>PR12</t>
  </si>
  <si>
    <t>29.14</t>
  </si>
  <si>
    <t>PR13</t>
  </si>
  <si>
    <t>30.88</t>
  </si>
  <si>
    <t>PR14</t>
  </si>
  <si>
    <t>29.64</t>
  </si>
  <si>
    <t>PR17</t>
  </si>
  <si>
    <t>42.39</t>
  </si>
  <si>
    <t>PR18</t>
  </si>
  <si>
    <t>34.40</t>
  </si>
  <si>
    <t>PR20</t>
  </si>
  <si>
    <t>24.83</t>
  </si>
  <si>
    <t>49.65</t>
  </si>
  <si>
    <t>PR21</t>
  </si>
  <si>
    <t>27.09</t>
  </si>
  <si>
    <t>PR22</t>
  </si>
  <si>
    <t>30.09</t>
  </si>
  <si>
    <t>60.18</t>
  </si>
  <si>
    <t>PR23</t>
  </si>
  <si>
    <t>26.95</t>
  </si>
  <si>
    <t>PR24</t>
  </si>
  <si>
    <t>20.11</t>
  </si>
  <si>
    <t>PR25</t>
  </si>
  <si>
    <t>31.89</t>
  </si>
  <si>
    <t>PR26</t>
  </si>
  <si>
    <t>40.09</t>
  </si>
  <si>
    <t>W150X13</t>
  </si>
  <si>
    <t>PR29</t>
  </si>
  <si>
    <t>17.95</t>
  </si>
  <si>
    <t>W250X17.9</t>
  </si>
  <si>
    <t>PR30</t>
  </si>
  <si>
    <t>20.77</t>
  </si>
  <si>
    <t>PR31</t>
  </si>
  <si>
    <t>23.59</t>
  </si>
  <si>
    <t>PR32</t>
  </si>
  <si>
    <t>26.41</t>
  </si>
  <si>
    <t>PR33</t>
  </si>
  <si>
    <t>29.23</t>
  </si>
  <si>
    <t>PR34</t>
  </si>
  <si>
    <t>43.88</t>
  </si>
  <si>
    <t>PR35</t>
  </si>
  <si>
    <t>45.77</t>
  </si>
  <si>
    <t>PR36</t>
  </si>
  <si>
    <t>47.99</t>
  </si>
  <si>
    <t>PR37</t>
  </si>
  <si>
    <t>44.44</t>
  </si>
  <si>
    <t>PR38</t>
  </si>
  <si>
    <t>50.20</t>
  </si>
  <si>
    <t>PR39</t>
  </si>
  <si>
    <t>51.07</t>
  </si>
  <si>
    <t>PR40</t>
  </si>
  <si>
    <t>48.86</t>
  </si>
  <si>
    <t>PR41</t>
  </si>
  <si>
    <t>46.65</t>
  </si>
  <si>
    <t>PR42</t>
  </si>
  <si>
    <t>42.65</t>
  </si>
  <si>
    <t>PR43</t>
  </si>
  <si>
    <t>40.66</t>
  </si>
  <si>
    <t>PR45</t>
  </si>
  <si>
    <t>26.70</t>
  </si>
  <si>
    <t>PR46</t>
  </si>
  <si>
    <t>29.30</t>
  </si>
  <si>
    <t>PR48</t>
  </si>
  <si>
    <t>32.18</t>
  </si>
  <si>
    <t>PR49</t>
  </si>
  <si>
    <t>29.24</t>
  </si>
  <si>
    <t>PR50</t>
  </si>
  <si>
    <t>26.46</t>
  </si>
  <si>
    <t>PR51</t>
  </si>
  <si>
    <t>23.48</t>
  </si>
  <si>
    <t>0.69</t>
  </si>
  <si>
    <t>202.86</t>
  </si>
  <si>
    <t>13.93</t>
  </si>
  <si>
    <t>41.78</t>
  </si>
  <si>
    <t>L120X270X16</t>
  </si>
  <si>
    <t>7.90</t>
  </si>
  <si>
    <t>CH16X200</t>
  </si>
  <si>
    <t>7.88</t>
  </si>
  <si>
    <t>9.02</t>
  </si>
  <si>
    <t>18.04</t>
  </si>
  <si>
    <t>SP05</t>
  </si>
  <si>
    <t>9.38</t>
  </si>
  <si>
    <t>18.76</t>
  </si>
  <si>
    <t>CH9.5X200</t>
  </si>
  <si>
    <t>SP06</t>
  </si>
  <si>
    <t>15.75</t>
  </si>
  <si>
    <t>SP09</t>
  </si>
  <si>
    <t>0.32</t>
  </si>
  <si>
    <t>6.09</t>
  </si>
  <si>
    <t>SP11</t>
  </si>
  <si>
    <t>2.26</t>
  </si>
  <si>
    <t>SP15</t>
  </si>
  <si>
    <t>0.77</t>
  </si>
  <si>
    <t>43.19</t>
  </si>
  <si>
    <t>CH6.35X63.5</t>
  </si>
  <si>
    <t>78.89</t>
  </si>
  <si>
    <t>867.84</t>
  </si>
  <si>
    <t>TERÇA COBERTURA</t>
  </si>
  <si>
    <t>46.31</t>
  </si>
  <si>
    <t>59.27</t>
  </si>
  <si>
    <t>37.38</t>
  </si>
  <si>
    <t>44.74</t>
  </si>
  <si>
    <t>17.45</t>
  </si>
  <si>
    <t>58.12</t>
  </si>
  <si>
    <t>22.97</t>
  </si>
  <si>
    <t>84.48</t>
  </si>
  <si>
    <t>72.62</t>
  </si>
  <si>
    <t>217.86</t>
  </si>
  <si>
    <t>26.66</t>
  </si>
  <si>
    <t>85.62</t>
  </si>
  <si>
    <t>32.08</t>
  </si>
  <si>
    <t>88.84</t>
  </si>
  <si>
    <t>36.05</t>
  </si>
  <si>
    <t>28.75</t>
  </si>
  <si>
    <t>115.02</t>
  </si>
  <si>
    <t>28.27</t>
  </si>
  <si>
    <t>56.54</t>
  </si>
  <si>
    <t>31.14</t>
  </si>
  <si>
    <t>87.37</t>
  </si>
  <si>
    <t>TC21</t>
  </si>
  <si>
    <t>88.25</t>
  </si>
  <si>
    <t>264.74</t>
  </si>
  <si>
    <t>TC22</t>
  </si>
  <si>
    <t>17.99</t>
  </si>
  <si>
    <t>35.98</t>
  </si>
  <si>
    <t>TC23</t>
  </si>
  <si>
    <t>65.46</t>
  </si>
  <si>
    <t>TC24</t>
  </si>
  <si>
    <t>52.37</t>
  </si>
  <si>
    <t>TC25</t>
  </si>
  <si>
    <t>46.74</t>
  </si>
  <si>
    <t>TC26</t>
  </si>
  <si>
    <t>85.53</t>
  </si>
  <si>
    <t>684.26</t>
  </si>
  <si>
    <t>TC27</t>
  </si>
  <si>
    <t>32.41</t>
  </si>
  <si>
    <t>TC28</t>
  </si>
  <si>
    <t>33.69</t>
  </si>
  <si>
    <t>TC58</t>
  </si>
  <si>
    <t>2.60</t>
  </si>
  <si>
    <t>10.41</t>
  </si>
  <si>
    <t>TV01</t>
  </si>
  <si>
    <t>1.97</t>
  </si>
  <si>
    <t>19.70</t>
  </si>
  <si>
    <t>1.06</t>
  </si>
  <si>
    <t>6.35</t>
  </si>
  <si>
    <t>0.96</t>
  </si>
  <si>
    <t>22.08</t>
  </si>
  <si>
    <t>1.75</t>
  </si>
  <si>
    <t>10.49</t>
  </si>
  <si>
    <t>1.67</t>
  </si>
  <si>
    <t>1.33</t>
  </si>
  <si>
    <t>3.99</t>
  </si>
  <si>
    <t>1.21</t>
  </si>
  <si>
    <t>4.83</t>
  </si>
  <si>
    <t>TV08</t>
  </si>
  <si>
    <t>1.48</t>
  </si>
  <si>
    <t>5.91</t>
  </si>
  <si>
    <t>TV09</t>
  </si>
  <si>
    <t>2.12</t>
  </si>
  <si>
    <t>TV10</t>
  </si>
  <si>
    <t>1.58</t>
  </si>
  <si>
    <t>3.15</t>
  </si>
  <si>
    <t>TV11</t>
  </si>
  <si>
    <t>0.94</t>
  </si>
  <si>
    <t>1.87</t>
  </si>
  <si>
    <t>139.31</t>
  </si>
  <si>
    <t>212.28</t>
  </si>
  <si>
    <t>77.87</t>
  </si>
  <si>
    <t>245.97</t>
  </si>
  <si>
    <t>CH8X200</t>
  </si>
  <si>
    <t>477.56</t>
  </si>
  <si>
    <t>135.57</t>
  </si>
  <si>
    <t>201.72</t>
  </si>
  <si>
    <t>75.36</t>
  </si>
  <si>
    <t>213.75</t>
  </si>
  <si>
    <t>583.01</t>
  </si>
  <si>
    <t>144.04</t>
  </si>
  <si>
    <t>526.42</t>
  </si>
  <si>
    <t>99.59</t>
  </si>
  <si>
    <t>138.38</t>
  </si>
  <si>
    <t>163.98</t>
  </si>
  <si>
    <t>97.03</t>
  </si>
  <si>
    <t>827.63</t>
  </si>
  <si>
    <t>775.43</t>
  </si>
  <si>
    <t>832.96</t>
  </si>
  <si>
    <t>481.53</t>
  </si>
  <si>
    <t>119.84</t>
  </si>
  <si>
    <t>149.02</t>
  </si>
  <si>
    <t>W200X15</t>
  </si>
  <si>
    <t>VC23</t>
  </si>
  <si>
    <t>156.22</t>
  </si>
  <si>
    <t>VC24</t>
  </si>
  <si>
    <t>156.19</t>
  </si>
  <si>
    <t>VC25</t>
  </si>
  <si>
    <t>140.41</t>
  </si>
  <si>
    <t>VC26</t>
  </si>
  <si>
    <t>214.21</t>
  </si>
  <si>
    <t>W150X18</t>
  </si>
  <si>
    <t>VC27</t>
  </si>
  <si>
    <t>190.37</t>
  </si>
  <si>
    <t>VC28</t>
  </si>
  <si>
    <t>215.79</t>
  </si>
  <si>
    <t>VC29</t>
  </si>
  <si>
    <t>214.03</t>
  </si>
  <si>
    <t>VC30</t>
  </si>
  <si>
    <t>607.29</t>
  </si>
  <si>
    <t>VC31</t>
  </si>
  <si>
    <t>84.72</t>
  </si>
  <si>
    <t>VC32</t>
  </si>
  <si>
    <t>246.54</t>
  </si>
  <si>
    <t>VC33</t>
  </si>
  <si>
    <t>826.05</t>
  </si>
  <si>
    <t>VC34</t>
  </si>
  <si>
    <t>311.06</t>
  </si>
  <si>
    <t>VC35</t>
  </si>
  <si>
    <t>235.52</t>
  </si>
  <si>
    <t>VC36</t>
  </si>
  <si>
    <t>58.08</t>
  </si>
  <si>
    <t>VC37</t>
  </si>
  <si>
    <t>215.01</t>
  </si>
  <si>
    <t>VC38</t>
  </si>
  <si>
    <t>PR15</t>
  </si>
  <si>
    <t>16.94</t>
  </si>
  <si>
    <t>PR16</t>
  </si>
  <si>
    <t>13.49</t>
  </si>
  <si>
    <t>107.92</t>
  </si>
  <si>
    <t>TB100X100X2.25</t>
  </si>
  <si>
    <t>PR19</t>
  </si>
  <si>
    <t>21.45</t>
  </si>
  <si>
    <t>107.24</t>
  </si>
  <si>
    <t>PR27</t>
  </si>
  <si>
    <t>30.35</t>
  </si>
  <si>
    <t>PR28</t>
  </si>
  <si>
    <t>32.39</t>
  </si>
  <si>
    <t>TAP02</t>
  </si>
  <si>
    <t>0.29</t>
  </si>
  <si>
    <t>2.29</t>
  </si>
  <si>
    <t>U115.5X40X0.8</t>
  </si>
  <si>
    <t>TAMPA</t>
  </si>
  <si>
    <t>TC29</t>
  </si>
  <si>
    <t>121.37</t>
  </si>
  <si>
    <t>485.48</t>
  </si>
  <si>
    <t>UE240#1.25</t>
  </si>
  <si>
    <t>TC30</t>
  </si>
  <si>
    <t>116.96</t>
  </si>
  <si>
    <t>467.82</t>
  </si>
  <si>
    <t>TC31</t>
  </si>
  <si>
    <t>117.87</t>
  </si>
  <si>
    <t>471.48</t>
  </si>
  <si>
    <t>VC39</t>
  </si>
  <si>
    <t>76.95</t>
  </si>
  <si>
    <t>VC40</t>
  </si>
  <si>
    <t>615.63</t>
  </si>
  <si>
    <t>PR44</t>
  </si>
  <si>
    <t>9.61</t>
  </si>
  <si>
    <t>48.05</t>
  </si>
  <si>
    <t>PR47</t>
  </si>
  <si>
    <t>9.25</t>
  </si>
  <si>
    <t>PR58</t>
  </si>
  <si>
    <t>57.66</t>
  </si>
  <si>
    <t>TC32</t>
  </si>
  <si>
    <t>96.86</t>
  </si>
  <si>
    <t>387.43</t>
  </si>
  <si>
    <t>TC33</t>
  </si>
  <si>
    <t>33.09</t>
  </si>
  <si>
    <t>132.34</t>
  </si>
  <si>
    <t>TC34</t>
  </si>
  <si>
    <t>73.44</t>
  </si>
  <si>
    <t>293.76</t>
  </si>
  <si>
    <t>VC41</t>
  </si>
  <si>
    <t>85.40</t>
  </si>
  <si>
    <t>512.40</t>
  </si>
  <si>
    <t>PR52</t>
  </si>
  <si>
    <t>14.30</t>
  </si>
  <si>
    <t>28.61</t>
  </si>
  <si>
    <t>PR53</t>
  </si>
  <si>
    <t>13.98</t>
  </si>
  <si>
    <t>PR54</t>
  </si>
  <si>
    <t>13.03</t>
  </si>
  <si>
    <t>PR55</t>
  </si>
  <si>
    <t>14.14</t>
  </si>
  <si>
    <t>PR56</t>
  </si>
  <si>
    <t>12.17</t>
  </si>
  <si>
    <t>PR57</t>
  </si>
  <si>
    <t>11.73</t>
  </si>
  <si>
    <t>SP07</t>
  </si>
  <si>
    <t>7.89</t>
  </si>
  <si>
    <t>23.66</t>
  </si>
  <si>
    <t>L120X210X16</t>
  </si>
  <si>
    <t>SP08</t>
  </si>
  <si>
    <t>7.87</t>
  </si>
  <si>
    <t>TAP01</t>
  </si>
  <si>
    <t>0.15</t>
  </si>
  <si>
    <t>2.09</t>
  </si>
  <si>
    <t>U95.5X50X0.8</t>
  </si>
  <si>
    <t>TC35</t>
  </si>
  <si>
    <t>30.73</t>
  </si>
  <si>
    <t>215.13</t>
  </si>
  <si>
    <t>TC36</t>
  </si>
  <si>
    <t>42.64</t>
  </si>
  <si>
    <t>170.55</t>
  </si>
  <si>
    <t>TC37</t>
  </si>
  <si>
    <t>60.56</t>
  </si>
  <si>
    <t>181.68</t>
  </si>
  <si>
    <t>VC42</t>
  </si>
  <si>
    <t>224.74</t>
  </si>
  <si>
    <t>VC43</t>
  </si>
  <si>
    <t>VC44</t>
  </si>
  <si>
    <t>220.91</t>
  </si>
  <si>
    <t>VC45</t>
  </si>
  <si>
    <t>225.50</t>
  </si>
  <si>
    <t>VC46</t>
  </si>
  <si>
    <t>92.59</t>
  </si>
  <si>
    <t>60.25</t>
  </si>
  <si>
    <t>ESPAÇADOR</t>
  </si>
  <si>
    <t>SP12</t>
  </si>
  <si>
    <t>1.39</t>
  </si>
  <si>
    <t>26.39</t>
  </si>
  <si>
    <t>L80X80X6.4</t>
  </si>
  <si>
    <t>27.11</t>
  </si>
  <si>
    <t>54.22</t>
  </si>
  <si>
    <t>13.58</t>
  </si>
  <si>
    <t>27.16</t>
  </si>
  <si>
    <t>22.10</t>
  </si>
  <si>
    <t>44.20</t>
  </si>
  <si>
    <t>14.70</t>
  </si>
  <si>
    <t>29.39</t>
  </si>
  <si>
    <t>17.74</t>
  </si>
  <si>
    <t>35.48</t>
  </si>
  <si>
    <t>20.01</t>
  </si>
  <si>
    <t>40.01</t>
  </si>
  <si>
    <t>15.61</t>
  </si>
  <si>
    <t>31.22</t>
  </si>
  <si>
    <t>17.25</t>
  </si>
  <si>
    <t>34.49</t>
  </si>
  <si>
    <t>25.17</t>
  </si>
  <si>
    <t>50.33</t>
  </si>
  <si>
    <t>30.69</t>
  </si>
  <si>
    <t>61.37</t>
  </si>
  <si>
    <t>6.07</t>
  </si>
  <si>
    <t>20.88</t>
  </si>
  <si>
    <t>41.77</t>
  </si>
  <si>
    <t>TF17</t>
  </si>
  <si>
    <t>17.23</t>
  </si>
  <si>
    <t>34.46</t>
  </si>
  <si>
    <t>TF18</t>
  </si>
  <si>
    <t>14.27</t>
  </si>
  <si>
    <t>TF19</t>
  </si>
  <si>
    <t>17.46</t>
  </si>
  <si>
    <t>34.91</t>
  </si>
  <si>
    <t>TF20</t>
  </si>
  <si>
    <t>17.43</t>
  </si>
  <si>
    <t>34.85</t>
  </si>
  <si>
    <t>TF21</t>
  </si>
  <si>
    <t>24.72</t>
  </si>
  <si>
    <t>49.43</t>
  </si>
  <si>
    <t>TF22</t>
  </si>
  <si>
    <t>13.71</t>
  </si>
  <si>
    <t>TF23</t>
  </si>
  <si>
    <t>TF24</t>
  </si>
  <si>
    <t>4.68</t>
  </si>
  <si>
    <t>9.37</t>
  </si>
  <si>
    <t>TF25</t>
  </si>
  <si>
    <t>7.30</t>
  </si>
  <si>
    <t>TF26</t>
  </si>
  <si>
    <t>7.71</t>
  </si>
  <si>
    <t>15.42</t>
  </si>
  <si>
    <t>TF27</t>
  </si>
  <si>
    <t>12.86</t>
  </si>
  <si>
    <t>TF28</t>
  </si>
  <si>
    <t>13.17</t>
  </si>
  <si>
    <t>TF29</t>
  </si>
  <si>
    <t>13.45</t>
  </si>
  <si>
    <t>TF30</t>
  </si>
  <si>
    <t>12.70</t>
  </si>
  <si>
    <t>TF31</t>
  </si>
  <si>
    <t>13.37</t>
  </si>
  <si>
    <t>TF32</t>
  </si>
  <si>
    <t>7.45</t>
  </si>
  <si>
    <t>TF33</t>
  </si>
  <si>
    <t>4.65</t>
  </si>
  <si>
    <t>TF34</t>
  </si>
  <si>
    <t>4.42</t>
  </si>
  <si>
    <t>TF35</t>
  </si>
  <si>
    <t>5.06</t>
  </si>
  <si>
    <t>TF36</t>
  </si>
  <si>
    <t>12.43</t>
  </si>
  <si>
    <t>TF37</t>
  </si>
  <si>
    <t>9.35</t>
  </si>
  <si>
    <t>TF38</t>
  </si>
  <si>
    <t>13.54</t>
  </si>
  <si>
    <t>121.87</t>
  </si>
  <si>
    <t>TF39</t>
  </si>
  <si>
    <t>12.93</t>
  </si>
  <si>
    <t>25.86</t>
  </si>
  <si>
    <t>TF40</t>
  </si>
  <si>
    <t>12.85</t>
  </si>
  <si>
    <t>25.69</t>
  </si>
  <si>
    <t>TF41</t>
  </si>
  <si>
    <t>10.89</t>
  </si>
  <si>
    <t>21.78</t>
  </si>
  <si>
    <t>TF42</t>
  </si>
  <si>
    <t>8.76</t>
  </si>
  <si>
    <t>43.82</t>
  </si>
  <si>
    <t>TF43</t>
  </si>
  <si>
    <t>7.28</t>
  </si>
  <si>
    <t>43.67</t>
  </si>
  <si>
    <t>TF44</t>
  </si>
  <si>
    <t>8.90</t>
  </si>
  <si>
    <t>26.69</t>
  </si>
  <si>
    <t>TF45</t>
  </si>
  <si>
    <t>3.65</t>
  </si>
  <si>
    <t>TF46</t>
  </si>
  <si>
    <t>9.12</t>
  </si>
  <si>
    <t>TF47</t>
  </si>
  <si>
    <t>5.47</t>
  </si>
  <si>
    <t>10.95</t>
  </si>
  <si>
    <t>TF48</t>
  </si>
  <si>
    <t>10.72</t>
  </si>
  <si>
    <t>TF49</t>
  </si>
  <si>
    <t>12.83</t>
  </si>
  <si>
    <t>TF50</t>
  </si>
  <si>
    <t>12.10</t>
  </si>
  <si>
    <t>TF51</t>
  </si>
  <si>
    <t>12.64</t>
  </si>
  <si>
    <t>TF52</t>
  </si>
  <si>
    <t>8.52</t>
  </si>
  <si>
    <t>TF53</t>
  </si>
  <si>
    <t>10.36</t>
  </si>
  <si>
    <t>TF54</t>
  </si>
  <si>
    <t>12.00</t>
  </si>
  <si>
    <t>TF55</t>
  </si>
  <si>
    <t>33.74</t>
  </si>
  <si>
    <t>19.45</t>
  </si>
  <si>
    <t>21.34</t>
  </si>
  <si>
    <t>42.68</t>
  </si>
  <si>
    <t>33.58</t>
  </si>
  <si>
    <t>67.16</t>
  </si>
  <si>
    <t>30.50</t>
  </si>
  <si>
    <t>60.99</t>
  </si>
  <si>
    <t>1.04</t>
  </si>
  <si>
    <t>31.13</t>
  </si>
  <si>
    <t>1.50</t>
  </si>
  <si>
    <t>MT02</t>
  </si>
  <si>
    <t>0.54</t>
  </si>
  <si>
    <t>2.68</t>
  </si>
  <si>
    <t>MT03</t>
  </si>
  <si>
    <t>0.70</t>
  </si>
  <si>
    <t>3.48</t>
  </si>
  <si>
    <t>MT04</t>
  </si>
  <si>
    <t>0.86</t>
  </si>
  <si>
    <t>4.28</t>
  </si>
  <si>
    <t>MT05</t>
  </si>
  <si>
    <t>1.02</t>
  </si>
  <si>
    <t>5.08</t>
  </si>
  <si>
    <t>MT06</t>
  </si>
  <si>
    <t>1.18</t>
  </si>
  <si>
    <t>5.92</t>
  </si>
  <si>
    <t>SP10</t>
  </si>
  <si>
    <t>0.50</t>
  </si>
  <si>
    <t>15.04</t>
  </si>
  <si>
    <t>TC57</t>
  </si>
  <si>
    <t>11.98</t>
  </si>
  <si>
    <t>143.77</t>
  </si>
  <si>
    <t>TERÇA</t>
  </si>
  <si>
    <t>1.79</t>
  </si>
  <si>
    <t>TC41</t>
  </si>
  <si>
    <t>38.13</t>
  </si>
  <si>
    <t>76.26</t>
  </si>
  <si>
    <t>TC42</t>
  </si>
  <si>
    <t>38.11</t>
  </si>
  <si>
    <t>152.42</t>
  </si>
  <si>
    <t>TC43</t>
  </si>
  <si>
    <t>24.99</t>
  </si>
  <si>
    <t>49.98</t>
  </si>
  <si>
    <t>TC44</t>
  </si>
  <si>
    <t>29.77</t>
  </si>
  <si>
    <t>59.54</t>
  </si>
  <si>
    <t>TC45</t>
  </si>
  <si>
    <t>36.16</t>
  </si>
  <si>
    <t>TC46</t>
  </si>
  <si>
    <t>43.94</t>
  </si>
  <si>
    <t>TC47</t>
  </si>
  <si>
    <t>26.60</t>
  </si>
  <si>
    <t>TC48</t>
  </si>
  <si>
    <t>38.81</t>
  </si>
  <si>
    <t>TC49</t>
  </si>
  <si>
    <t>18.82</t>
  </si>
  <si>
    <t>TC50</t>
  </si>
  <si>
    <t>46.60</t>
  </si>
  <si>
    <t>TC51</t>
  </si>
  <si>
    <t>28.28</t>
  </si>
  <si>
    <t>TC52</t>
  </si>
  <si>
    <t>20.50</t>
  </si>
  <si>
    <t>TC53</t>
  </si>
  <si>
    <t>20.87</t>
  </si>
  <si>
    <t>41.73</t>
  </si>
  <si>
    <t>38.33</t>
  </si>
  <si>
    <t>498.31</t>
  </si>
  <si>
    <t>TB180X80X3.75</t>
  </si>
  <si>
    <t>0.60</t>
  </si>
  <si>
    <t>TC54</t>
  </si>
  <si>
    <t>25.64</t>
  </si>
  <si>
    <t>51.29</t>
  </si>
  <si>
    <t>TC55</t>
  </si>
  <si>
    <t>21.69</t>
  </si>
  <si>
    <t>86.77</t>
  </si>
  <si>
    <t>TC56</t>
  </si>
  <si>
    <t>53.40</t>
  </si>
  <si>
    <t>191.66</t>
  </si>
  <si>
    <t>TC38</t>
  </si>
  <si>
    <t>19.68</t>
  </si>
  <si>
    <t>39.35</t>
  </si>
  <si>
    <t>TC39</t>
  </si>
  <si>
    <t>36.33</t>
  </si>
  <si>
    <t>72.65</t>
  </si>
  <si>
    <t>TC40</t>
  </si>
  <si>
    <t>36.83</t>
  </si>
  <si>
    <t>73.65</t>
  </si>
  <si>
    <t>153.32</t>
  </si>
  <si>
    <t>PRF OLHAL01</t>
  </si>
  <si>
    <t>0.06</t>
  </si>
  <si>
    <t>D19</t>
  </si>
  <si>
    <t>PARAF. OLHAL 3/4"X10F</t>
  </si>
  <si>
    <t>PRF OLHAL01(?)</t>
  </si>
  <si>
    <t>4.02</t>
  </si>
  <si>
    <t>ROT-API01</t>
  </si>
  <si>
    <t>3.27</t>
  </si>
  <si>
    <t>143.86</t>
  </si>
  <si>
    <t>ROT-API01(?)</t>
  </si>
  <si>
    <t>6.54</t>
  </si>
  <si>
    <t>ROT-APP01</t>
  </si>
  <si>
    <t>13.99</t>
  </si>
  <si>
    <t>755.38</t>
  </si>
  <si>
    <t>ROT-APP01(?)</t>
  </si>
  <si>
    <t>55.95</t>
  </si>
  <si>
    <t>ROT-CLP01</t>
  </si>
  <si>
    <t>0.28</t>
  </si>
  <si>
    <t>84.38</t>
  </si>
  <si>
    <t>ROT-CLP01(?)</t>
  </si>
  <si>
    <t>5.55</t>
  </si>
  <si>
    <t>ROT-CLP02</t>
  </si>
  <si>
    <t>0.09</t>
  </si>
  <si>
    <t>27.76</t>
  </si>
  <si>
    <t>ROT-CLP02(?)</t>
  </si>
  <si>
    <t>1.83</t>
  </si>
  <si>
    <t>HARDBOLT M10X100</t>
  </si>
  <si>
    <t>HARDBOLT</t>
  </si>
  <si>
    <t>HARDBOLT M8X85</t>
  </si>
  <si>
    <t>HARDBOLT. M12X150</t>
  </si>
  <si>
    <t>Gr.8</t>
  </si>
  <si>
    <t>PARAF. Ø5/8" X 2 1/4"</t>
  </si>
  <si>
    <t>PARAF. Ø5/8" X 2"</t>
  </si>
  <si>
    <t>PORCA Ø5/8"</t>
  </si>
  <si>
    <t>ARRUELA Ø5/8"</t>
  </si>
  <si>
    <t>Qtd</t>
  </si>
  <si>
    <t>Comp. (mm)</t>
  </si>
  <si>
    <t>Peso Total (kg)</t>
  </si>
  <si>
    <t>Material</t>
  </si>
  <si>
    <t>DASHBOARD EXECUTIVO | OF.201 CPDA SAUIPE — Montagem, Estoque, Remessas e Gargalos</t>
  </si>
  <si>
    <t>Atualização automática por apontamento de JOIST, rua montada, remessa e consumo de fixadores.</t>
  </si>
  <si>
    <t>ITENS EM ATENÇÃO</t>
  </si>
  <si>
    <t>Status</t>
  </si>
  <si>
    <t>Materiais</t>
  </si>
  <si>
    <t>Fixadores</t>
  </si>
  <si>
    <t>Solicitar Total</t>
  </si>
  <si>
    <t>PLANO DE AÇÃO — LEITURA RÁPIDA</t>
  </si>
  <si>
    <t>Gargalo crítico</t>
  </si>
  <si>
    <t>Rua para liberação</t>
  </si>
  <si>
    <t>Alerta de reposição</t>
  </si>
  <si>
    <t>Orientação Lean</t>
  </si>
  <si>
    <t>Priorizar P1 estrutural e P2 pré-montagem antes do içamento. Evitar movimentação de material sem rua liberada.</t>
  </si>
  <si>
    <t>AUTOMAÇÃO DE BAIXA POR RUA E QUALIDADE DO MAPA</t>
  </si>
  <si>
    <t>Itens mapeados em rua única</t>
  </si>
  <si>
    <t>Tags comuns / multirua</t>
  </si>
  <si>
    <t>Tags não mapeadas</t>
  </si>
  <si>
    <t>Itens estruturais baixados</t>
  </si>
  <si>
    <t>FAIXA V</t>
  </si>
  <si>
    <t>KPI TERÇAS DM-002</t>
  </si>
  <si>
    <t>Total tags de terças DM-002</t>
  </si>
  <si>
    <t>Terças particulares por rua</t>
  </si>
  <si>
    <t>Terças comuns/multirua</t>
  </si>
  <si>
    <t>Terças pendentes de mapa</t>
  </si>
  <si>
    <t>LISTA DE FIXADORES POR ESCOPO - G200 (13.07.2026 )</t>
  </si>
  <si>
    <t>Item</t>
  </si>
  <si>
    <t>1.1.1 Estrutura Cobertura Galpão</t>
  </si>
  <si>
    <t>1.1.2 Estrutura Fechamento Lateral do Galpão</t>
  </si>
  <si>
    <t>1.1.3 Estrutura Metálica para as Marquises</t>
  </si>
  <si>
    <t>1.2.7 Calhas metálicas #0.65mm para o Galpão</t>
  </si>
  <si>
    <t>DESLIZAMENTO JOIST</t>
  </si>
  <si>
    <t>1.3.1. E.M. COB. ECLUSA</t>
  </si>
  <si>
    <t>1.3.13 E.M. COB PASSARELA</t>
  </si>
  <si>
    <t>1.3.15 E.M. COB. PONTO DE ÔNIBUS</t>
  </si>
  <si>
    <t>1.3.2 E.M. PLATIBANDA ECLUSA</t>
  </si>
  <si>
    <t>1.3.3. E.M. COB. PORTARIA</t>
  </si>
  <si>
    <t>1.3.7 E.M COB. REFEITÓRIO</t>
  </si>
  <si>
    <t>1.3.8 E.M. COB VESTIÁRIO</t>
  </si>
  <si>
    <t>1.3.9 E.M. MQ REFEITÓRIO E VESTIÁRIO</t>
  </si>
  <si>
    <t>1.4.10 CALHAS ANEXOS</t>
  </si>
  <si>
    <t>Linha de Vida</t>
  </si>
  <si>
    <t>Revisão 1</t>
  </si>
  <si>
    <t>Pendente envio</t>
  </si>
  <si>
    <t>Total Enviado</t>
  </si>
  <si>
    <t>RM 91767</t>
  </si>
  <si>
    <t>RM 91978</t>
  </si>
  <si>
    <t>RM 91792</t>
  </si>
  <si>
    <t>RM 91783</t>
  </si>
  <si>
    <t>RM 91972</t>
  </si>
  <si>
    <t>RM 92101 (CMM)</t>
  </si>
  <si>
    <t>RM 92102</t>
  </si>
  <si>
    <t>RM 92107</t>
  </si>
  <si>
    <t>RM 92120</t>
  </si>
  <si>
    <t>AMPOLA DE 1/2</t>
  </si>
  <si>
    <t>ARRUELA Ø1/2" GF</t>
  </si>
  <si>
    <t>ARRUELA Ø3/4" GF</t>
  </si>
  <si>
    <t>ARRUELA Ø3/8" GF</t>
  </si>
  <si>
    <t>CBQ Ø1/2"X7 7/8"</t>
  </si>
  <si>
    <t>CLIPE ARANHA GF</t>
  </si>
  <si>
    <t>Clips fixo telha zipada</t>
  </si>
  <si>
    <t>Esticador 3/8" GF</t>
  </si>
  <si>
    <t>Fixador autobrocante  5/16 ponta 1 1/4x14x7/8 (costura)</t>
  </si>
  <si>
    <t>Grampos</t>
  </si>
  <si>
    <t>HARDOBOLT M10x100</t>
  </si>
  <si>
    <t>Manilha 3/8" GF</t>
  </si>
  <si>
    <t>PARABOLT. Ø1/2" X 4"</t>
  </si>
  <si>
    <t>PARAF. Ø1/2" X 1 1/4"</t>
  </si>
  <si>
    <t>PARAF. Ø1/2" X 2 1/2"</t>
  </si>
  <si>
    <t>PARAF. Ø1/2" X 4"</t>
  </si>
  <si>
    <t>PARAF. Ø3/8" X 1" GF</t>
  </si>
  <si>
    <t>PARAF. Ø3/8" X 1" GR8</t>
  </si>
  <si>
    <t>PARAF. Ø5/8" X 1 1/2"</t>
  </si>
  <si>
    <t>PARAF. Ø5/8" X 1 1/4"</t>
  </si>
  <si>
    <t>PARAF. Ø5/8" X 1 3/4"</t>
  </si>
  <si>
    <t>PARAF. OLHAL 3/4 X 10 F - DIN-580 GF</t>
  </si>
  <si>
    <t>PARAF. OLHAL Ø1/2 X 13 F - DIN-580 GF</t>
  </si>
  <si>
    <t>PF AUTOBROCANTE C/ ARRULELA DE VEDACAO EPDM PONTA 3 (5,5)N12X14X3/4 CH 5/16 (FIXACAO)</t>
  </si>
  <si>
    <t>PF AUTOBROCANTE C/ ARRULELA DE VEDACAO EPDM PONTA 4 (5,5)N12X14X2.3/8 CH 5/16 (FIXACAO)</t>
  </si>
  <si>
    <t>PF AUTOBROCANTE S/ ARRULELA DE VEDACAO PONTA 1 (5,5)N12X14X3/4 CH 5/16 (FIXACAO)</t>
  </si>
  <si>
    <t>Pf sext. Auto brocante s/arruela pb 12 14x1’’  5/16 ponta 3  (fixação) - (Clip)</t>
  </si>
  <si>
    <t>PORCA Ø1/2" GF</t>
  </si>
  <si>
    <t>PORCA Ø3/4" GF</t>
  </si>
  <si>
    <t>PORCA Ø3/8" GF</t>
  </si>
  <si>
    <t>PORCA Ø5/16"</t>
  </si>
  <si>
    <t>Presilha Grampo 3/8" GF</t>
  </si>
  <si>
    <t>ESTOQUE VIRTUAL</t>
  </si>
  <si>
    <t>ESTOQUE FISICO 06/08</t>
  </si>
  <si>
    <t>CONSUMO VIRTUAL</t>
  </si>
  <si>
    <t>GESTÃO DE OBRA | Painel executivo de montagem, remessas e itens críticos</t>
  </si>
  <si>
    <t>KPI</t>
  </si>
  <si>
    <t>MONTADA?</t>
  </si>
  <si>
    <t>% JOISTS</t>
  </si>
  <si>
    <t>Total Joists Planejados</t>
  </si>
  <si>
    <t>Total Joists Montados</t>
  </si>
  <si>
    <t>Total Joists Pendentes</t>
  </si>
  <si>
    <t>% Avanço Joists</t>
  </si>
  <si>
    <t>Itens Críticos Controle</t>
  </si>
  <si>
    <t>Itens Atenção Controle</t>
  </si>
  <si>
    <t>Itens Críticos Joist</t>
  </si>
  <si>
    <t>Fixadores Críticos</t>
  </si>
  <si>
    <t>TOP ITENS PARA AÇÃO</t>
  </si>
  <si>
    <t>ESTOQUE FINAL</t>
  </si>
  <si>
    <t>OF.198 - LYON - G200 | MAPA ESTRUTURAL</t>
  </si>
  <si>
    <t>TIPO</t>
  </si>
  <si>
    <t>FONTE/PROJETO</t>
  </si>
  <si>
    <t>REGRA DE BAIXA</t>
  </si>
  <si>
    <t>QTD_NA_RUA</t>
  </si>
  <si>
    <t>TOTAL_TAG</t>
  </si>
  <si>
    <t>CLASSIFICAÇÃO</t>
  </si>
  <si>
    <t>PROJETO OF.198</t>
  </si>
  <si>
    <t>Baixa quando setor = SIM/OK</t>
  </si>
  <si>
    <t>CADASTRAR</t>
  </si>
  <si>
    <t>OF.198 - LYON - G200 | MAPA DE TERÇAS / FECHAMENTO</t>
  </si>
  <si>
    <t>TAG TERÇA</t>
  </si>
  <si>
    <t>REGRA NO CONTROLE</t>
  </si>
  <si>
    <t>TERÇA / FECHAMENTO</t>
  </si>
  <si>
    <t>LOG DE AJUSTES - V3</t>
  </si>
  <si>
    <t>ITEM</t>
  </si>
  <si>
    <t>AJUSTE</t>
  </si>
  <si>
    <t>ABA</t>
  </si>
  <si>
    <t>IMPACTO</t>
  </si>
  <si>
    <t>Criado mapa de baixa por rua com V25-V20, V19-V16, V15-V12, V11-V8 e V7-V1.</t>
  </si>
  <si>
    <t>Mapa_Ruas_Estrutural</t>
  </si>
  <si>
    <t>Controle por plano de montagem da obra</t>
  </si>
  <si>
    <t>V8 mantido na Rua 4 para evitar duplicidade.</t>
  </si>
  <si>
    <t>Controle_Materiais agora puxa Rua Montagem automaticamente pela TAG.</t>
  </si>
  <si>
    <t>Controle_Materiais</t>
  </si>
  <si>
    <t>Coluna N contabiliza baixa estrutural quando Rua Montada = SIM</t>
  </si>
  <si>
    <t>Tags comuns/multirua não são forçadas para evitar baixa indevida.</t>
  </si>
  <si>
    <t>Incluídas colunas de rastreabilidade: rua automática, ocorrências no mapa, sinalização e baixa estrutural.</t>
  </si>
  <si>
    <t>Auditoria e prevenção de erro do usuário</t>
  </si>
  <si>
    <t>VERIFICAR MAPA indica tag ainda não localizada no projeto/mapa.</t>
  </si>
  <si>
    <t>Consumo_Joists agora identifica tags particulares de cada joist e suprime alerta em tags comuns.</t>
  </si>
  <si>
    <t>Consumo_Joists</t>
  </si>
  <si>
    <t>Atende regra: se item tiver tag em comum, não sinalizar</t>
  </si>
  <si>
    <t>Preencher somente quantidades por tipo de JOIST.</t>
  </si>
  <si>
    <t>Apontamento_Montagem ganhou seção de controle de Rua Montada com validação SIM/NÃO.</t>
  </si>
  <si>
    <t>Apontamento_Montagem</t>
  </si>
  <si>
    <t>Baixa automática de vigas, pilaretes, terças e demais estruturais</t>
  </si>
  <si>
    <t>Baixa ocorre apenas para tags de rua única.</t>
  </si>
  <si>
    <t>Dashboard recebeu seção de qualidade do mapa e baixa por rua.</t>
  </si>
  <si>
    <t>Dashboard</t>
  </si>
  <si>
    <t>Gestão profissional dos gargalos de mapeamento e baixa</t>
  </si>
  <si>
    <t>KPIs contam tags mapeadas, comuns, não mapeadas e baixadas.</t>
  </si>
  <si>
    <t>V4 - FLUXO DE BAIXA AUTOMÁTICA</t>
  </si>
  <si>
    <t>Coluna N passa a consolidar AF (consumo por joist) + AO (baixa estrutural por rua).</t>
  </si>
  <si>
    <t>Consumo por JOIST</t>
  </si>
  <si>
    <t>AF busca a TAG em Consumo_Joists e usa a quantidade apontada na aba Apontamento_Montagem.</t>
  </si>
  <si>
    <t>Baixa por RUA</t>
  </si>
  <si>
    <t>AO baixa 100% da QTD planejada somente quando a rua do Mapa_Ruas_Estrutural estiver marcada como SIM.</t>
  </si>
  <si>
    <t>TAG comum</t>
  </si>
  <si>
    <t>Tags com múltiplas ruas não geram sinalização automática nem baixa forçada.</t>
  </si>
  <si>
    <t>2026-05-01</t>
  </si>
  <si>
    <t>v5</t>
  </si>
  <si>
    <t>Adicionada/normalizada a leitura de TERÇAS do projeto DM-002</t>
  </si>
  <si>
    <t>JOISTS desconsideradas conforme orientação; tags TC01 a TC34 tratadas como terças.</t>
  </si>
  <si>
    <t>Mapa_Tercas_DM002</t>
  </si>
  <si>
    <t>Criado mapa dedicado para controle das terças do DM-002</t>
  </si>
  <si>
    <t>Mostra TAG particular de rua x TAG comum/multirua.</t>
  </si>
  <si>
    <t>Mantido fluxo de baixa por rua montada</t>
  </si>
  <si>
    <t>Se TAG é particular, baixa quando rua = SIM; se TAG comum/multirua, não baixa automática.</t>
  </si>
  <si>
    <t>Adicionado KPI das terças DM-002</t>
  </si>
  <si>
    <t>Total, particulares, comuns e pendentes.</t>
  </si>
  <si>
    <t>FINAL</t>
  </si>
  <si>
    <t>Adicionadas colunas QTD_NA_RUA, TOTAL_TAG e classificação para baixa proporcional de TAG comum/multirua.</t>
  </si>
  <si>
    <t>Reestruturado mapa de terças DM-002 sem JOISTS, com distribuição de quantidade por rua.</t>
  </si>
  <si>
    <t>Coluna N consolidada: QTD CONSUMIDA JOISTS + QTD CONSUMIDA RUA.</t>
  </si>
  <si>
    <t>Dashboard_Final</t>
  </si>
  <si>
    <t>Criado dashboard executivo profissional com KPIs, saúde do estoque, avanço por rua e instruções operacionais.</t>
  </si>
  <si>
    <t>CÓDIGO VBA - PROCESSAMENTO DE BAIXA OF201</t>
  </si>
  <si>
    <t>Copie todo o código abaixo para um Módulo no Editor VBA (ALT+F11 &gt; Inserir &gt; Módulo). Depois salve como .XLSM e execute Processar_Baixa_OF201.</t>
  </si>
  <si>
    <t>Option Explicit</t>
  </si>
  <si>
    <t>=========================================================</t>
  </si>
  <si>
    <t>' OF.201 CPDA SAUIPE - MOTOR DE BAIXA AUTOMÁTICA</t>
  </si>
  <si>
    <t>' Autor: ChatGPT</t>
  </si>
  <si>
    <t>' Objetivo:</t>
  </si>
  <si>
    <t>'   Processar apontamentos sem fórmulas pesadas.</t>
  </si>
  <si>
    <t>'   O usuário altera apenas o Apontamento_Montagem.</t>
  </si>
  <si>
    <t>'   Depois executa Processar_Baixa_OF201.</t>
  </si>
  <si>
    <t>'</t>
  </si>
  <si>
    <t>' Saídas no Controle_Materiais:</t>
  </si>
  <si>
    <t>'   N  = CONSUMO TERÇAS (VBA)</t>
  </si>
  <si>
    <t>'   O  = QTD CONSUMIDA TOTAL (VBA)</t>
  </si>
  <si>
    <t>'   AG = QTD CONSUMIDA JOISTS</t>
  </si>
  <si>
    <t>'   AO = QTD CONSUMIDA RUA / ESTRUTURAL</t>
  </si>
  <si>
    <t>'   BE = CONSUMO JOISTS (VBA)</t>
  </si>
  <si>
    <t>'   BF = CONSUMO ESTRUTURAL (VBA)</t>
  </si>
  <si>
    <t>'   BG = CONSUMO TERÇAS (VBA)</t>
  </si>
  <si>
    <t>'   BH = CONSUMO TOTAL (VBA)</t>
  </si>
  <si>
    <t>'   BI = ÚLTIMA ATUALIZAÇÃO VBA</t>
  </si>
  <si>
    <t>Private Function NormalizarTexto(ByVal v As Variant) As String</t>
  </si>
  <si>
    <t>Dim s As String</t>
  </si>
  <si>
    <t>s = UCase$(Trim$(CStr(v)))</t>
  </si>
  <si>
    <t>s = Replace(s, Chr(160), " ")</t>
  </si>
  <si>
    <t>s = Replace(s, "  ", " ")</t>
  </si>
  <si>
    <t>s = Replace(s, "JOSH", "JOIST")</t>
  </si>
  <si>
    <t>s = Replace(s, "JOST", "JOIST")</t>
  </si>
  <si>
    <t>NormalizarTexto = s</t>
  </si>
  <si>
    <t>End Function</t>
  </si>
  <si>
    <t>Private Function NormalizarRua(ByVal v As Variant) As String</t>
  </si>
  <si>
    <t>Dim s As String, n As String, i As Long, ch As String</t>
  </si>
  <si>
    <t>s = NormalizarTexto(v)</t>
  </si>
  <si>
    <t>n = ""</t>
  </si>
  <si>
    <t>For i = 1 To Len(s)</t>
  </si>
  <si>
    <t>ch = Mid$(s, i, 1)</t>
  </si>
  <si>
    <t>If ch Like "[0-9]" Then n = n &amp; ch</t>
  </si>
  <si>
    <t>Next i</t>
  </si>
  <si>
    <t>If Len(n) &gt; 0 Then</t>
  </si>
  <si>
    <t>NormalizarRua = "RUA " &amp; CLng(n)</t>
  </si>
  <si>
    <t>Else</t>
  </si>
  <si>
    <t>NormalizarRua = s</t>
  </si>
  <si>
    <t>End If</t>
  </si>
  <si>
    <t>Private Function NormalizarJoist(ByVal v As Variant) As String</t>
  </si>
  <si>
    <t>If Len(n) &gt; 0 And InStr(1, s, "JOIST", vbTextCompare) &gt; 0 Then</t>
  </si>
  <si>
    <t>NormalizarJoist = "JOIST" &amp; Format$(CLng(n), "00")</t>
  </si>
  <si>
    <t>ElseIf Left$(s, 1) = "J" And Len(n) &gt; 0 Then</t>
  </si>
  <si>
    <t>NormalizarJoist = s</t>
  </si>
  <si>
    <t>Private Function Numero(ByVal v As Variant) As Double</t>
  </si>
  <si>
    <t>On Error GoTo trata</t>
  </si>
  <si>
    <t>If IsNumeric(v) Then</t>
  </si>
  <si>
    <t>Numero = CDbl(v)</t>
  </si>
  <si>
    <t>Numero = 0</t>
  </si>
  <si>
    <t>Exit Function</t>
  </si>
  <si>
    <t>trata:</t>
  </si>
  <si>
    <t>Private Function StatusConcluido(ByVal v As Variant) As Boolean</t>
  </si>
  <si>
    <t>StatusConcluido = (s = "SIM" Or s = "OK" Or s = "CONCLUIDO" Or s = "CONCLUÍDO")</t>
  </si>
  <si>
    <t>Private Function PrefixoValidoEstrutural(ByVal tag As String) As Boolean</t>
  </si>
  <si>
    <t>tag = NormalizarTexto(tag)</t>
  </si>
  <si>
    <t>PrefixoValidoEstrutural = _</t>
  </si>
  <si>
    <t>(Left$(tag, 2) = "VC") Or _</t>
  </si>
  <si>
    <t>(Left$(tag, 2) = "PR") Or _</t>
  </si>
  <si>
    <t>(Left$(tag, 2) = "TP") Or _</t>
  </si>
  <si>
    <t>(Left$(tag, 2) = "SP")</t>
  </si>
  <si>
    <t>Private Function PrefixoTerca(ByVal tag As String) As Boolean</t>
  </si>
  <si>
    <t>PrefixoTerca = (Left$(tag, 2) = "TC") Or (Left$(tag, 2) = "TF")</t>
  </si>
  <si>
    <t>Private Sub SomaDict(ByRef dic As Object, ByVal chave As String, ByVal valor As Double)</t>
  </si>
  <si>
    <t>chave = NormalizarTexto(chave)</t>
  </si>
  <si>
    <t>If Len(chave) = 0 Then Exit Sub</t>
  </si>
  <si>
    <t>If Not dic.Exists(chave) Then dic.Add chave, 0#</t>
  </si>
  <si>
    <t>dic(chave) = CDbl(dic(chave)) + valor</t>
  </si>
  <si>
    <t>End Sub</t>
  </si>
  <si>
    <t>Public Sub Processar_Baixa_OF201()</t>
  </si>
  <si>
    <t>Dim wsCM As Worksheet, wsAP As Worksheet, wsCJ As Worksheet</t>
  </si>
  <si>
    <t>Dim wsMR As Worksheet, wsMT As Worksheet</t>
  </si>
  <si>
    <t>Dim dictJoistQtd As Object, dictRuasOK As Object</t>
  </si>
  <si>
    <t>Dim consJoist As Object, consEstr As Object, consTerca As Object</t>
  </si>
  <si>
    <t>Dim lastCM As Long, lastAP As Long, lastCJ As Long, lastMR As Long, lastMT As Long</t>
  </si>
  <si>
    <t>Dim r As Long, c As Long, tag As String, rua As String, tipo As String</t>
  </si>
  <si>
    <t>Dim joist As String, qtd As Double, perda As Double, consumoLinha As Double</t>
  </si>
  <si>
    <t>Dim dtAtual As Date, total As Double</t>
  </si>
  <si>
    <t>On Error GoTo falha</t>
  </si>
  <si>
    <t>Application.ScreenUpdating = False</t>
  </si>
  <si>
    <t>Application.EnableEvents = False</t>
  </si>
  <si>
    <t>Application.Calculation = xlCalculationManual</t>
  </si>
  <si>
    <t>Set wsCM = ThisWorkbook.Worksheets("Controle_Materiais")</t>
  </si>
  <si>
    <t>Set wsAP = ThisWorkbook.Worksheets("Apontamento_Montagem")</t>
  </si>
  <si>
    <t>Set wsCJ = ThisWorkbook.Worksheets("Consumo_Joists")</t>
  </si>
  <si>
    <t>Set wsMR = ThisWorkbook.Worksheets("Mapa_Ruas_Estrutural")</t>
  </si>
  <si>
    <t>Set wsMT = ThisWorkbook.Worksheets("Mapa_Tercas_DM002")</t>
  </si>
  <si>
    <t>Set dictJoistQtd = CreateObject("Scripting.Dictionary")</t>
  </si>
  <si>
    <t>Set dictRuasOK = CreateObject("Scripting.Dictionary")</t>
  </si>
  <si>
    <t>Set consJoist = CreateObject("Scripting.Dictionary")</t>
  </si>
  <si>
    <t>Set consEstr = CreateObject("Scripting.Dictionary")</t>
  </si>
  <si>
    <t>Set consTerca = CreateObject("Scripting.Dictionary")</t>
  </si>
  <si>
    <t>dtAtual = Now</t>
  </si>
  <si>
    <t>'---------------------------------------------</t>
  </si>
  <si>
    <t>' 1) Ler Apontamento_Montagem</t>
  </si>
  <si>
    <t>'    JOISTS: coluna A = tipo; coluna D = quantidade editável</t>
  </si>
  <si>
    <t>'    RUAS: coluna A = rua; coluna D = SIM/OK</t>
  </si>
  <si>
    <t>lastAP = wsAP.Cells(wsAP.Rows.Count, "A").End(xlUp).Row</t>
  </si>
  <si>
    <t>For r = 1 To lastAP</t>
  </si>
  <si>
    <t>joist = NormalizarJoist(wsAP.Cells(r, "A").Value)</t>
  </si>
  <si>
    <t>If Left$(joist, 5) = "JOIST" Then</t>
  </si>
  <si>
    <t>dictJoistQtd(joist) = Numero(wsAP.Cells(r, "D").Value)</t>
  </si>
  <si>
    <t>rua = NormalizarRua(wsAP.Cells(r, "A").Value)</t>
  </si>
  <si>
    <t>If Left$(rua, 3) = "RUA" Then</t>
  </si>
  <si>
    <t>If StatusConcluido(wsAP.Cells(r, "D").Value) Then dictRuasOK(rua) = True</t>
  </si>
  <si>
    <t>Next r</t>
  </si>
  <si>
    <t>' 2) Consumo de JOISTS</t>
  </si>
  <si>
    <t>'    Consumo_Joists:</t>
  </si>
  <si>
    <t>'      A = TAG</t>
  </si>
  <si>
    <t>'      E:N = J01:J10</t>
  </si>
  <si>
    <t>'      O = PERDA %</t>
  </si>
  <si>
    <t>lastCJ = wsCJ.Cells(wsCJ.Rows.Count, "A").End(xlUp).Row</t>
  </si>
  <si>
    <t>For r = 4 To lastCJ</t>
  </si>
  <si>
    <t>tag = NormalizarTexto(wsCJ.Cells(r, "A").Value)</t>
  </si>
  <si>
    <t>If Len(tag) &gt; 0 Then</t>
  </si>
  <si>
    <t>consumoLinha = 0#</t>
  </si>
  <si>
    <t>For c = 5 To 14 'E:N</t>
  </si>
  <si>
    <t>joist = NormalizarJoist(wsCJ.Cells(3, c).Value)</t>
  </si>
  <si>
    <t>If dictJoistQtd.Exists(joist) Then</t>
  </si>
  <si>
    <t>consumoLinha = consumoLinha + Numero(wsCJ.Cells(r, c).Value) * Numero(dictJoistQtd(joist))</t>
  </si>
  <si>
    <t>Next c</t>
  </si>
  <si>
    <t>perda = Numero(wsCJ.Cells(r, "O").Value)</t>
  </si>
  <si>
    <t>If perda &gt; 1 Then perda = perda / 100</t>
  </si>
  <si>
    <t>If consumoLinha &gt; 0 Then</t>
  </si>
  <si>
    <t>If perda &gt; 0 Then</t>
  </si>
  <si>
    <t>consumoLinha = Application.WorksheetFunction.RoundUp(consumoLinha * (1 + perda), 0)</t>
  </si>
  <si>
    <t>SomaDict consJoist, tag, consumoLinha</t>
  </si>
  <si>
    <t>' 3) Consumo estrutural por rua</t>
  </si>
  <si>
    <t>'    Mapa_Ruas_Estrutural:</t>
  </si>
  <si>
    <t>'      A = RUA</t>
  </si>
  <si>
    <t>'      D = TAG</t>
  </si>
  <si>
    <t>'      E = TIPO</t>
  </si>
  <si>
    <t>'      H = QTD_NA_RUA</t>
  </si>
  <si>
    <t>'    Consome somente VC / PR / TP / SP.</t>
  </si>
  <si>
    <t>'    CTH, JOIST e TC/TF ficam fora daqui.</t>
  </si>
  <si>
    <t>lastMR = wsMR.Cells(wsMR.Rows.Count, "A").End(xlUp).Row</t>
  </si>
  <si>
    <t>For r = 5 To lastMR</t>
  </si>
  <si>
    <t>rua = NormalizarRua(wsMR.Cells(r, "A").Value)</t>
  </si>
  <si>
    <t>tag = NormalizarTexto(wsMR.Cells(r, "D").Value)</t>
  </si>
  <si>
    <t>tipo = NormalizarTexto(wsMR.Cells(r, "E").Value)</t>
  </si>
  <si>
    <t>qtd = Numero(wsMR.Cells(r, "H").Value)</t>
  </si>
  <si>
    <t>If dictRuasOK.Exists(rua) And qtd &lt;&gt; 0 Then</t>
  </si>
  <si>
    <t>If PrefixoValidoEstrutural(tag) Then</t>
  </si>
  <si>
    <t>If InStr(1, tipo, "CTH", vbTextCompare) = 0 Then</t>
  </si>
  <si>
    <t>SomaDict consEstr, tag, qtd</t>
  </si>
  <si>
    <t>' 4) Consumo de terças DM-002 por rua</t>
  </si>
  <si>
    <t>'    Mapa_Tercas_DM002:</t>
  </si>
  <si>
    <t>'      D = TAG TERÇA</t>
  </si>
  <si>
    <t>lastMT = wsMT.Cells(wsMT.Rows.Count, "A").End(xlUp).Row</t>
  </si>
  <si>
    <t>For r = 5 To lastMT</t>
  </si>
  <si>
    <t>rua = NormalizarRua(wsMT.Cells(r, "A").Value)</t>
  </si>
  <si>
    <t>tag = NormalizarTexto(wsMT.Cells(r, "D").Value)</t>
  </si>
  <si>
    <t>qtd = Numero(wsMT.Cells(r, "H").Value)</t>
  </si>
  <si>
    <t>If PrefixoTerca(tag) Then SomaDict consTerca, tag, qtd</t>
  </si>
  <si>
    <t>' 5) Escrever resultados no Controle_Materiais</t>
  </si>
  <si>
    <t>'    G = TAG de busca</t>
  </si>
  <si>
    <t>lastCM = wsCM.Cells(wsCM.Rows.Count, "G").End(xlUp).Row</t>
  </si>
  <si>
    <t>wsCM.Range("N3:O" &amp; lastCM).ClearContents</t>
  </si>
  <si>
    <t>wsCM.Range("AG3:AG" &amp; lastCM).ClearContents</t>
  </si>
  <si>
    <t>wsCM.Range("AO3:AO" &amp; lastCM).ClearContents</t>
  </si>
  <si>
    <t>wsCM.Range("BE3:BI" &amp; lastCM).ClearContents</t>
  </si>
  <si>
    <t>For r = 3 To lastCM</t>
  </si>
  <si>
    <t>tag = NormalizarTexto(wsCM.Cells(r, "G").Value)</t>
  </si>
  <si>
    <t>Dim vJ As Double, vE As Double, vT As Double</t>
  </si>
  <si>
    <t>vJ = 0#: vE = 0#: vT = 0#</t>
  </si>
  <si>
    <t>If consJoist.Exists(tag) Then vJ = consJoist(tag)</t>
  </si>
  <si>
    <t>If consEstr.Exists(tag) Then vE = consEstr(tag)</t>
  </si>
  <si>
    <t>If consTerca.Exists(tag) Then vT = consTerca(tag)</t>
  </si>
  <si>
    <t>total = vJ + vE + vT</t>
  </si>
  <si>
    <t>wsCM.Cells(r, "N").Value = vT</t>
  </si>
  <si>
    <t>wsCM.Cells(r, "O").Value = total</t>
  </si>
  <si>
    <t>wsCM.Cells(r, "AG").Value = vJ</t>
  </si>
  <si>
    <t>wsCM.Cells(r, "AO").Value = vE</t>
  </si>
  <si>
    <t>wsCM.Cells(r, "BE").Value = vJ</t>
  </si>
  <si>
    <t>wsCM.Cells(r, "BF").Value = vE</t>
  </si>
  <si>
    <t>wsCM.Cells(r, "BG").Value = vT</t>
  </si>
  <si>
    <t>wsCM.Cells(r, "BH").Value = total</t>
  </si>
  <si>
    <t>If total &lt;&gt; 0 Then wsCM.Cells(r, "BI").Value = dtAtual</t>
  </si>
  <si>
    <t>wsCM.Range("N2").Value = "CONSUMO TERÇAS (VBA)"</t>
  </si>
  <si>
    <t>wsCM.Range("O2").Value = "QTD CONSUMIDA TOTAL (VBA)"</t>
  </si>
  <si>
    <t>wsCM.Range("BE2").Value = "CONSUMO JOISTS (VBA)"</t>
  </si>
  <si>
    <t>wsCM.Range("BF2").Value = "CONSUMO ESTRUTURAL (VBA)"</t>
  </si>
  <si>
    <t>wsCM.Range("BG2").Value = "CONSUMO TERÇAS (VBA)"</t>
  </si>
  <si>
    <t>wsCM.Range("BH2").Value = "CONSUMO TOTAL (VBA)"</t>
  </si>
  <si>
    <t>wsCM.Range("BI2").Value = "ÚLTIMA ATUALIZAÇÃO VBA"</t>
  </si>
  <si>
    <t>Application.Calculation = xlCalculationAutomatic</t>
  </si>
  <si>
    <t>Application.Calculate</t>
  </si>
  <si>
    <t>MsgBox "Baixa OF201 processada com sucesso." &amp; vbCrLf &amp; _</t>
  </si>
  <si>
    <t>"JOISTS + ESTRUTURAL + TERÇAS atualizados no Controle_Materiais.", vbInformation</t>
  </si>
  <si>
    <t>finaliza:</t>
  </si>
  <si>
    <t>Application.EnableEvents = True</t>
  </si>
  <si>
    <t>Application.ScreenUpdating = True</t>
  </si>
  <si>
    <t>Exit Sub</t>
  </si>
  <si>
    <t>falha:</t>
  </si>
  <si>
    <t>MsgBox "Erro ao processar baixa OF201: " &amp; Err.Description, vbCritical</t>
  </si>
  <si>
    <t>Resume finaliza</t>
  </si>
  <si>
    <t>OF.198 - LYON G200 | FLUXO DE BAIXA POR VIGA + LADO DO QUADRANTE</t>
  </si>
  <si>
    <t>ONDE</t>
  </si>
  <si>
    <t>VALIDAÇÃO</t>
  </si>
  <si>
    <t>BAIXA</t>
  </si>
  <si>
    <t>RESULTADO</t>
  </si>
  <si>
    <t>1</t>
  </si>
  <si>
    <t>Montagem_Vigas</t>
  </si>
  <si>
    <t>Marcar MONTADA? = SIM na viga física</t>
  </si>
  <si>
    <t>ID único</t>
  </si>
  <si>
    <t>Apoio: FG021+FG023 / Intermediária: FG012+FG017+FG020</t>
  </si>
  <si>
    <t>Estrutura baixada uma vez</t>
  </si>
  <si>
    <t>Estrutura atualizada</t>
  </si>
  <si>
    <t>2</t>
  </si>
  <si>
    <t>Apontamento_Quadrantes</t>
  </si>
  <si>
    <t>Selecionar a RUA/quadrante</t>
  </si>
  <si>
    <t>Dois eixos precisam estar estruturados</t>
  </si>
  <si>
    <t>Sem JOIST antes da liberação</t>
  </si>
  <si>
    <t>Quadrante apto</t>
  </si>
  <si>
    <t>Consumo JOIST calculado</t>
  </si>
  <si>
    <t>3</t>
  </si>
  <si>
    <t>Informar QTD JOISTS em cada PAR DE VIGAS (0 a 3)</t>
  </si>
  <si>
    <t>Uma quantidade representa a mesma JOIST nos dois eixos</t>
  </si>
  <si>
    <t>4 parafusos no eixo inicial + 4 no final</t>
  </si>
  <si>
    <t>8 parafusos por JOIST</t>
  </si>
  <si>
    <t>Frente disponível</t>
  </si>
  <si>
    <t>4</t>
  </si>
  <si>
    <t>Consumo_Quadrantes</t>
  </si>
  <si>
    <t>Conferir FG005/FG006/FG007</t>
  </si>
  <si>
    <t>Mapeamento pela TAG do par de vigas</t>
  </si>
  <si>
    <t>FG015 e FG018 acompanham 1:1</t>
  </si>
  <si>
    <t>Consumo consolidado</t>
  </si>
  <si>
    <t>Base do inventário</t>
  </si>
  <si>
    <t>5</t>
  </si>
  <si>
    <t>INVENTARIO</t>
  </si>
  <si>
    <t>Manter rotina atual</t>
  </si>
  <si>
    <t>Físico × virtual</t>
  </si>
  <si>
    <t>Consumo quadrantes soma ao consumo virtual</t>
  </si>
  <si>
    <t>Acuracidade preservada</t>
  </si>
  <si>
    <t>Gestão de perda</t>
  </si>
  <si>
    <t>ESTOQUE VIRTUAL BASE</t>
  </si>
  <si>
    <t>CONSUMO FÍSICO</t>
  </si>
  <si>
    <t>ESTOQUE VIRTUAL ATUAL</t>
  </si>
  <si>
    <t>DIF. ESTOQUE VIRT - FÍS</t>
  </si>
  <si>
    <t>% DIF. ESTOQUE</t>
  </si>
  <si>
    <t>DIF. CONSUMO VIRT - FÍS</t>
  </si>
  <si>
    <t>% DIF. CONSUMO</t>
  </si>
  <si>
    <t>PERDA REAL (VIRT - FÍS)</t>
  </si>
  <si>
    <t>TAXA PERDA REAL</t>
  </si>
  <si>
    <t>ACURACIDADE</t>
  </si>
  <si>
    <t>PERDA REAL TOTAL</t>
  </si>
  <si>
    <t>TAXA MÉDIA DE PERDA</t>
  </si>
  <si>
    <t>ACURACIDADE MÉDIA</t>
  </si>
  <si>
    <t>OF.198 — CRITÉRIO DE BAIXA POR VIGA / LADO DO QUADRANTE</t>
  </si>
  <si>
    <t>Regra operacional: a JOIST pertence à RUA entre dois eixos. Para cada PAR DE VIGAS correspondente, informe de 0 a 3 JOISTS montadas. Cada JOIST recebe 4 parafusos no eixo inicial e 4 no eixo final (8 no total). Porca FG015 e arruela FG018 acompanham cada parafuso Ø1/2 em relação 1:1.</t>
  </si>
  <si>
    <t>SEQ.</t>
  </si>
  <si>
    <t>LOCAL</t>
  </si>
  <si>
    <t>TAG VIGA</t>
  </si>
  <si>
    <t>CAPACIDADE JOIST / RUA</t>
  </si>
  <si>
    <t>PAR DE EIXOS</t>
  </si>
  <si>
    <t>PARAF. / JOIST / EIXO</t>
  </si>
  <si>
    <t>PARAF. / JOIST TOTAL</t>
  </si>
  <si>
    <t>PORCA + ARRUELA 1/2</t>
  </si>
  <si>
    <t>FIXADOR ESTRUTURAL</t>
  </si>
  <si>
    <t>GATILHO</t>
  </si>
  <si>
    <t>A</t>
  </si>
  <si>
    <t>APOIO</t>
  </si>
  <si>
    <t>EIXO INI + EIXO FIM</t>
  </si>
  <si>
    <t>PARAF. Ø1/2" X 2" A307</t>
  </si>
  <si>
    <t>FG015 + FG018 | 1:1 com parafusos Ø1/2</t>
  </si>
  <si>
    <t>FG021 + FG023 | PORCA Ø1" + ARRUELA Ø1"</t>
  </si>
  <si>
    <t>VIGA MONTADA + JOISTS FIXADAS</t>
  </si>
  <si>
    <t>ID físico único</t>
  </si>
  <si>
    <t>B</t>
  </si>
  <si>
    <t>PARAF. Ø1/2" X 2 1/4" A307</t>
  </si>
  <si>
    <t>BC</t>
  </si>
  <si>
    <t>INTERMEDIARIA</t>
  </si>
  <si>
    <t>PARAF. Ø1/2" X 1 3/4" A307</t>
  </si>
  <si>
    <t>FG012 + FG017 + FG020 | CONJUNTO Ø7/8"</t>
  </si>
  <si>
    <t>C</t>
  </si>
  <si>
    <t>CD</t>
  </si>
  <si>
    <t>D</t>
  </si>
  <si>
    <t>DE</t>
  </si>
  <si>
    <t>E</t>
  </si>
  <si>
    <t>EF</t>
  </si>
  <si>
    <t>F</t>
  </si>
  <si>
    <t>FG</t>
  </si>
  <si>
    <t>G</t>
  </si>
  <si>
    <t>H</t>
  </si>
  <si>
    <t>REGRAS DE CONSUMO DOS FIXADORES</t>
  </si>
  <si>
    <t>EVENTO</t>
  </si>
  <si>
    <t>BASE</t>
  </si>
  <si>
    <t>REGRA</t>
  </si>
  <si>
    <t>Qualquer parafuso Ø1/2</t>
  </si>
  <si>
    <t>PORCA Ø1/2" A307</t>
  </si>
  <si>
    <t>por parafuso Ø1/2</t>
  </si>
  <si>
    <t>Sempre acompanha FG005/FG006/FG007</t>
  </si>
  <si>
    <t>ARRUELA Ø1/2" LISA</t>
  </si>
  <si>
    <t>Viga de apoio</t>
  </si>
  <si>
    <t>PORCA Ø1" A194-2H</t>
  </si>
  <si>
    <t>por viga montada</t>
  </si>
  <si>
    <t>Baixa estrutural única por ID físico</t>
  </si>
  <si>
    <t>ARRUELA Ø1" F-436</t>
  </si>
  <si>
    <t>Viga intermediária</t>
  </si>
  <si>
    <t>FG012/FG017/FG020</t>
  </si>
  <si>
    <t>CONJUNTO Ø7/8"</t>
  </si>
  <si>
    <t>de cada / viga montada</t>
  </si>
  <si>
    <t>VIGA MONTADA</t>
  </si>
  <si>
    <t>Projeto DM-001</t>
  </si>
  <si>
    <t>Conjunto de ligação 7/8</t>
  </si>
  <si>
    <t>OF.198 — MONTAGEM FÍSICA DE VIGAS E FIXAÇÃO DAS JOISTS</t>
  </si>
  <si>
    <t>Cada viga possui ID único para a baixa estrutural. Cada viga suporta 3 JOISTS no lado anterior e 3 no lado seguinte. Cada JOIST usa 4 parafusos nesta viga/eixo; os outros 4 são consumidos na viga correspondente do eixo oposto.</t>
  </si>
  <si>
    <t>EIXO</t>
  </si>
  <si>
    <t>ID FÍSICO</t>
  </si>
  <si>
    <t>QTD VIGA</t>
  </si>
  <si>
    <t>BAIXA ESTRUTURAL</t>
  </si>
  <si>
    <t>JOISTS LADO ANTERIOR</t>
  </si>
  <si>
    <t>JOISTS LADO SEGUINTE</t>
  </si>
  <si>
    <t>CAPACIDADE TOTAL</t>
  </si>
  <si>
    <t>CÓD. FIXADOR JOIST</t>
  </si>
  <si>
    <t>PARAF./JOIST NESTE EIXO</t>
  </si>
  <si>
    <t>CONSUMO MÁX. 1 LADO</t>
  </si>
  <si>
    <t>CONSUMO MÁX. 2 LADOS</t>
  </si>
  <si>
    <t>E10-A-VC01</t>
  </si>
  <si>
    <t>Eixo 10 é fronteira do quadrante 10/11.</t>
  </si>
  <si>
    <t>E10-B-VC06</t>
  </si>
  <si>
    <t>E10-BC-VC07</t>
  </si>
  <si>
    <t>E10-C-VC02</t>
  </si>
  <si>
    <t>E10-CD-VC03</t>
  </si>
  <si>
    <t>E10-D-VC04</t>
  </si>
  <si>
    <t>E10-DE-VC05</t>
  </si>
  <si>
    <t>E10-E-VC04</t>
  </si>
  <si>
    <t>E10-EF-VC03</t>
  </si>
  <si>
    <t>E10-F-VC02</t>
  </si>
  <si>
    <t>E10-FG-VC07</t>
  </si>
  <si>
    <t>E10-G-VC06</t>
  </si>
  <si>
    <t>E10-H-VC01</t>
  </si>
  <si>
    <t>E11-A-VC01</t>
  </si>
  <si>
    <t>E11-B-VC06</t>
  </si>
  <si>
    <t>E11-BC-VC07</t>
  </si>
  <si>
    <t>E11-C-VC02</t>
  </si>
  <si>
    <t>E11-CD-VC03</t>
  </si>
  <si>
    <t>E11-D-VC04</t>
  </si>
  <si>
    <t>E11-DE-VC05</t>
  </si>
  <si>
    <t>E11-E-VC04</t>
  </si>
  <si>
    <t>E11-EF-VC03</t>
  </si>
  <si>
    <t>E11-F-VC02</t>
  </si>
  <si>
    <t>E11-FG-VC07</t>
  </si>
  <si>
    <t>E11-G-VC06</t>
  </si>
  <si>
    <t>E11-H-VC01</t>
  </si>
  <si>
    <t>E12-A-VC01</t>
  </si>
  <si>
    <t>E12-B-VC06</t>
  </si>
  <si>
    <t>E12-BC-VC07</t>
  </si>
  <si>
    <t>E12-C-VC02</t>
  </si>
  <si>
    <t>E12-CD-VC03</t>
  </si>
  <si>
    <t>E12-D-VC04</t>
  </si>
  <si>
    <t>E12-DE-VC05</t>
  </si>
  <si>
    <t>E12-E-VC04</t>
  </si>
  <si>
    <t>E12-EF-VC03</t>
  </si>
  <si>
    <t>E12-F-VC02</t>
  </si>
  <si>
    <t>E12-FG-VC07</t>
  </si>
  <si>
    <t>E12-G-VC06</t>
  </si>
  <si>
    <t>E12-H-VC01</t>
  </si>
  <si>
    <t>E13-A-VC01</t>
  </si>
  <si>
    <t>E13-B-VC06</t>
  </si>
  <si>
    <t>E13-BC-VC07</t>
  </si>
  <si>
    <t>E13-C-VC02</t>
  </si>
  <si>
    <t>E13-CD-VC03</t>
  </si>
  <si>
    <t>E13-D-VC04</t>
  </si>
  <si>
    <t>E13-DE-VC05</t>
  </si>
  <si>
    <t>E13-E-VC04</t>
  </si>
  <si>
    <t>E13-EF-VC03</t>
  </si>
  <si>
    <t>E13-F-VC02</t>
  </si>
  <si>
    <t>E13-FG-VC07</t>
  </si>
  <si>
    <t>E13-G-VC06</t>
  </si>
  <si>
    <t>E13-H-VC01</t>
  </si>
  <si>
    <t>E14-A-VC01</t>
  </si>
  <si>
    <t>E14-B-VC06</t>
  </si>
  <si>
    <t>E14-BC-VC07</t>
  </si>
  <si>
    <t>E14-C-VC02</t>
  </si>
  <si>
    <t>E14-CD-VC03</t>
  </si>
  <si>
    <t>E14-D-VC04</t>
  </si>
  <si>
    <t>E14-DE-VC05</t>
  </si>
  <si>
    <t>E14-E-VC04</t>
  </si>
  <si>
    <t>E14-EF-VC03</t>
  </si>
  <si>
    <t>E14-F-VC02</t>
  </si>
  <si>
    <t>E14-FG-VC07</t>
  </si>
  <si>
    <t>E14-G-VC06</t>
  </si>
  <si>
    <t>E14-H-VC01</t>
  </si>
  <si>
    <t>E15-A-VC01</t>
  </si>
  <si>
    <t>E15-B-VC06</t>
  </si>
  <si>
    <t>E15-BC-VC07</t>
  </si>
  <si>
    <t>E15-C-VC02</t>
  </si>
  <si>
    <t>E15-CD-VC03</t>
  </si>
  <si>
    <t>E15-D-VC04</t>
  </si>
  <si>
    <t>E15-DE-VC05</t>
  </si>
  <si>
    <t>E15-E-VC04</t>
  </si>
  <si>
    <t>E15-EF-VC03</t>
  </si>
  <si>
    <t>E15-F-VC02</t>
  </si>
  <si>
    <t>E15-FG-VC07</t>
  </si>
  <si>
    <t>E15-G-VC06</t>
  </si>
  <si>
    <t>E15-H-VC01</t>
  </si>
  <si>
    <t>E16-A-VC01</t>
  </si>
  <si>
    <t>E16-B-VC06</t>
  </si>
  <si>
    <t>E16-BC-VC07</t>
  </si>
  <si>
    <t>E16-C-VC02</t>
  </si>
  <si>
    <t>E16-CD-VC03</t>
  </si>
  <si>
    <t>E16-D-VC04</t>
  </si>
  <si>
    <t>E16-DE-VC05</t>
  </si>
  <si>
    <t>E16-E-VC04</t>
  </si>
  <si>
    <t>E16-EF-VC03</t>
  </si>
  <si>
    <t>E16-F-VC02</t>
  </si>
  <si>
    <t>E16-FG-VC07</t>
  </si>
  <si>
    <t>E16-G-VC06</t>
  </si>
  <si>
    <t>E16-H-VC01</t>
  </si>
  <si>
    <t>E17-A-VC01</t>
  </si>
  <si>
    <t>E17-B-VC06</t>
  </si>
  <si>
    <t>E17-BC-VC07</t>
  </si>
  <si>
    <t>E17-C-VC02</t>
  </si>
  <si>
    <t>E17-CD-VC03</t>
  </si>
  <si>
    <t>E17-D-VC04</t>
  </si>
  <si>
    <t>E17-DE-VC05</t>
  </si>
  <si>
    <t>E17-E-VC04</t>
  </si>
  <si>
    <t>E17-EF-VC03</t>
  </si>
  <si>
    <t>E17-F-VC02</t>
  </si>
  <si>
    <t>E17-FG-VC07</t>
  </si>
  <si>
    <t>E17-G-VC06</t>
  </si>
  <si>
    <t>E17-H-VC01</t>
  </si>
  <si>
    <t>E18-A-VC01</t>
  </si>
  <si>
    <t>E18-B-VC06</t>
  </si>
  <si>
    <t>E18-BC-VC07</t>
  </si>
  <si>
    <t>E18-C-VC02</t>
  </si>
  <si>
    <t>E18-CD-VC03</t>
  </si>
  <si>
    <t>E18-D-VC04</t>
  </si>
  <si>
    <t>E18-DE-VC05</t>
  </si>
  <si>
    <t>E18-E-VC04</t>
  </si>
  <si>
    <t>E18-EF-VC03</t>
  </si>
  <si>
    <t>E18-F-VC02</t>
  </si>
  <si>
    <t>E18-FG-VC07</t>
  </si>
  <si>
    <t>E18-G-VC06</t>
  </si>
  <si>
    <t>E18-H-VC01</t>
  </si>
  <si>
    <t>E19-A-VC01</t>
  </si>
  <si>
    <t>E19-B-VC06</t>
  </si>
  <si>
    <t>E19-BC-VC07</t>
  </si>
  <si>
    <t>E19-C-VC02</t>
  </si>
  <si>
    <t>E19-CD-VC03</t>
  </si>
  <si>
    <t>E19-D-VC04</t>
  </si>
  <si>
    <t>E19-DE-VC05</t>
  </si>
  <si>
    <t>E19-E-VC04</t>
  </si>
  <si>
    <t>E19-EF-VC03</t>
  </si>
  <si>
    <t>E19-F-VC02</t>
  </si>
  <si>
    <t>E19-FG-VC07</t>
  </si>
  <si>
    <t>E19-G-VC06</t>
  </si>
  <si>
    <t>E19-H-VC01</t>
  </si>
  <si>
    <t>OF.198 — LIBERAÇÃO E CONTROLE POR QUADRANTE</t>
  </si>
  <si>
    <t>A RUA é o espaço entre dois eixos: Rua 11 = entre Eixos 11 e 12; Rua 12 = entre Eixos 12 e 13. Informe UMA quantidade de JOISTS montadas para cada PAR DE VIGAS correspondente. A mesma JOIST recebe 4 parafusos na viga do eixo inicial + 4 na viga do eixo final = 8 parafusos por JOIST.</t>
  </si>
  <si>
    <t>QUADRANTE</t>
  </si>
  <si>
    <t>EIXO INI</t>
  </si>
  <si>
    <t>EIXO FIM</t>
  </si>
  <si>
    <t>VIGA 1 EIXO INI</t>
  </si>
  <si>
    <t>VIGA 2 EIXO INI</t>
  </si>
  <si>
    <t>VIGA 3 EIXO INI</t>
  </si>
  <si>
    <t>VIGA 1 EIXO FIM</t>
  </si>
  <si>
    <t>VIGA 2 EIXO FIM</t>
  </si>
  <si>
    <t>VIGA 3 EIXO FIM</t>
  </si>
  <si>
    <t>QTD NEC. EIXO INI</t>
  </si>
  <si>
    <t>QTD NEC. EIXO FIM</t>
  </si>
  <si>
    <t>EIXO INI OK?</t>
  </si>
  <si>
    <t>EIXO FIM OK?</t>
  </si>
  <si>
    <t>QUADRANTE LIBERADO?</t>
  </si>
  <si>
    <t>VIGAS MONTADAS</t>
  </si>
  <si>
    <t>JOISTS FÍSICAS MONTADAS</t>
  </si>
  <si>
    <t>FIXADORES 1/2 TOTAL</t>
  </si>
  <si>
    <t>STATUS JOIST</t>
  </si>
  <si>
    <t>ESTRUTURA</t>
  </si>
  <si>
    <t>EIXOS</t>
  </si>
  <si>
    <t>FASE</t>
  </si>
  <si>
    <t>FG015 PORCA 1/2</t>
  </si>
  <si>
    <t>FG018 ARRUELA 1/2</t>
  </si>
  <si>
    <t>10/11-AB</t>
  </si>
  <si>
    <t>AB</t>
  </si>
  <si>
    <t>10/11</t>
  </si>
  <si>
    <t>TRANSIÇÃO</t>
  </si>
  <si>
    <t>10/11-BC</t>
  </si>
  <si>
    <t>10/11-CD</t>
  </si>
  <si>
    <t>10/11-DE</t>
  </si>
  <si>
    <t>10/11-EF</t>
  </si>
  <si>
    <t>10/11-FG</t>
  </si>
  <si>
    <t>10/11-GH</t>
  </si>
  <si>
    <t>GH</t>
  </si>
  <si>
    <t>11/12-AB</t>
  </si>
  <si>
    <t>11/12</t>
  </si>
  <si>
    <t>FASE 1</t>
  </si>
  <si>
    <t>11/12-BC</t>
  </si>
  <si>
    <t>11/12-CD</t>
  </si>
  <si>
    <t>11/12-DE</t>
  </si>
  <si>
    <t>11/12-EF</t>
  </si>
  <si>
    <t>11/12-FG</t>
  </si>
  <si>
    <t>11/12-GH</t>
  </si>
  <si>
    <t>12/13-AB</t>
  </si>
  <si>
    <t>12/13</t>
  </si>
  <si>
    <t>12/13-BC</t>
  </si>
  <si>
    <t>12/13-CD</t>
  </si>
  <si>
    <t>12/13-DE</t>
  </si>
  <si>
    <t>12/13-EF</t>
  </si>
  <si>
    <t>12/13-FG</t>
  </si>
  <si>
    <t>12/13-GH</t>
  </si>
  <si>
    <t>13/14-AB</t>
  </si>
  <si>
    <t>13/14</t>
  </si>
  <si>
    <t>13/14-BC</t>
  </si>
  <si>
    <t>13/14-CD</t>
  </si>
  <si>
    <t>13/14-DE</t>
  </si>
  <si>
    <t>13/14-EF</t>
  </si>
  <si>
    <t>13/14-FG</t>
  </si>
  <si>
    <t>13/14-GH</t>
  </si>
  <si>
    <t>14/15-AB</t>
  </si>
  <si>
    <t>14/15</t>
  </si>
  <si>
    <t>14/15-BC</t>
  </si>
  <si>
    <t>14/15-CD</t>
  </si>
  <si>
    <t>14/15-DE</t>
  </si>
  <si>
    <t>14/15-EF</t>
  </si>
  <si>
    <t>14/15-FG</t>
  </si>
  <si>
    <t>14/15-GH</t>
  </si>
  <si>
    <t>15/16-AB</t>
  </si>
  <si>
    <t>15/16</t>
  </si>
  <si>
    <t>15/16-BC</t>
  </si>
  <si>
    <t>15/16-CD</t>
  </si>
  <si>
    <t>15/16-DE</t>
  </si>
  <si>
    <t>15/16-EF</t>
  </si>
  <si>
    <t>15/16-FG</t>
  </si>
  <si>
    <t>15/16-GH</t>
  </si>
  <si>
    <t>16/17-AB</t>
  </si>
  <si>
    <t>16/17</t>
  </si>
  <si>
    <t>16/17-BC</t>
  </si>
  <si>
    <t>16/17-CD</t>
  </si>
  <si>
    <t>16/17-DE</t>
  </si>
  <si>
    <t>16/17-EF</t>
  </si>
  <si>
    <t>16/17-FG</t>
  </si>
  <si>
    <t>16/17-GH</t>
  </si>
  <si>
    <t>17/18-AB</t>
  </si>
  <si>
    <t>17/18</t>
  </si>
  <si>
    <t>17/18-BC</t>
  </si>
  <si>
    <t>17/18-CD</t>
  </si>
  <si>
    <t>17/18-DE</t>
  </si>
  <si>
    <t>17/18-EF</t>
  </si>
  <si>
    <t>17/18-FG</t>
  </si>
  <si>
    <t>17/18-GH</t>
  </si>
  <si>
    <t>18/19-AB</t>
  </si>
  <si>
    <t>18/19</t>
  </si>
  <si>
    <t>18/19-BC</t>
  </si>
  <si>
    <t>18/19-CD</t>
  </si>
  <si>
    <t>18/19-DE</t>
  </si>
  <si>
    <t>18/19-EF</t>
  </si>
  <si>
    <t>18/19-FG</t>
  </si>
  <si>
    <t>18/19-GH</t>
  </si>
  <si>
    <t>OF.198 — CONSUMO CONSOLIDADO | VIGAS + JOISTS + CONJUNTOS DE FIXAÇÃO</t>
  </si>
  <si>
    <t>A baixa das JOISTS vem do apontamento por PAR DE VIGAS na RUA entre dois eixos. Cada JOIST usa 4 parafusos no eixo inicial + 4 no eixo final. O consumo é consolidado por especificação (FG005/FG006/FG007), e FG015/FG018 acompanham 1:1 todo parafuso Ø1/2.</t>
  </si>
  <si>
    <t>ESCOPO</t>
  </si>
  <si>
    <t>CONSUMO ESTRUTURAL</t>
  </si>
  <si>
    <t>CONSUMO JOIST/QUADRANTE</t>
  </si>
  <si>
    <t>ESTOQUE DISP. ATUAL</t>
  </si>
  <si>
    <t>SALDO APÓS CONSUMO</t>
  </si>
  <si>
    <t>% UTILIZAÇÃO</t>
  </si>
  <si>
    <t>ORIGEM</t>
  </si>
  <si>
    <t>VIGAS DE APOIO</t>
  </si>
  <si>
    <t>4 por viga de apoio montada</t>
  </si>
  <si>
    <t>DM-001</t>
  </si>
  <si>
    <t>PARAF. Ø7/8" X 2 1/4" A325</t>
  </si>
  <si>
    <t>VIGAS INTERMEDIÁRIAS</t>
  </si>
  <si>
    <t>4 por viga intermediária montada</t>
  </si>
  <si>
    <t>PORCA Ø7/8" A325</t>
  </si>
  <si>
    <t>Conjunto 7/8</t>
  </si>
  <si>
    <t>JOIST × VC03/VC05/VC07</t>
  </si>
  <si>
    <t>8 por JOIST apoiada/fixada</t>
  </si>
  <si>
    <t>Matriz por viga</t>
  </si>
  <si>
    <t>JOIST × VC06</t>
  </si>
  <si>
    <t>JOIST × VC01/VC02/VC04</t>
  </si>
  <si>
    <t>ACOMPANHA TODO PARAFUSO Ø1/2</t>
  </si>
  <si>
    <t>VALIDAÇÃO DA REGRA JOIST POR LADO</t>
  </si>
  <si>
    <t>INDICADOR</t>
  </si>
  <si>
    <t>UNIDADE</t>
  </si>
  <si>
    <t>Capacidade por par de vigas</t>
  </si>
  <si>
    <t>máximo</t>
  </si>
  <si>
    <t>JOISTS</t>
  </si>
  <si>
    <t>uma única quantidade vale para os dois eixos</t>
  </si>
  <si>
    <t>Parafusos por JOIST / eixo</t>
  </si>
  <si>
    <t>fixo</t>
  </si>
  <si>
    <t>eixo inicial</t>
  </si>
  <si>
    <t>Parafusos por JOIST / outro eixo</t>
  </si>
  <si>
    <t>eixo final</t>
  </si>
  <si>
    <t>Parafusos por JOIST total</t>
  </si>
  <si>
    <t>4 + 4</t>
  </si>
  <si>
    <t>mesma JOIST física</t>
  </si>
  <si>
    <t>Porca + arruela Ø1/2</t>
  </si>
  <si>
    <t>1:1 com parafuso Ø1/2</t>
  </si>
  <si>
    <t>cada / JOIST</t>
  </si>
  <si>
    <t>FG015 + FG018</t>
  </si>
  <si>
    <t>SIM</t>
  </si>
  <si>
    <t>VIGA APOIO</t>
  </si>
  <si>
    <t>VIGA INTERMEDIARIA</t>
  </si>
  <si>
    <t>1ª REMESSA OE-198-02/03/04 20/07</t>
  </si>
  <si>
    <t>2° REMESSA OE-198-04/05 27/07</t>
  </si>
  <si>
    <t>ESTOQUE FISICO REAL 20/08</t>
  </si>
  <si>
    <t>TRAVAMENTOS</t>
  </si>
  <si>
    <t xml:space="preserve">ESTOQUE FÍSICO ATUAL </t>
  </si>
  <si>
    <t>RELATÓRIO GERENCIAL — QUALIDADE DO ESTOQUE</t>
  </si>
  <si>
    <t>ITENS CONFORMES</t>
  </si>
  <si>
    <t>PERDA</t>
  </si>
  <si>
    <t>AÇÃO IMEDIATA</t>
  </si>
  <si>
    <t>1 - IMEDIATA</t>
  </si>
  <si>
    <t>2 - ATENÇÃO</t>
  </si>
  <si>
    <t>INSIGHTS E AÇÕES IMEDIATAS</t>
  </si>
  <si>
    <t>GESTÃO</t>
  </si>
  <si>
    <t>% PERDA</t>
  </si>
  <si>
    <t>Priorizar inventário dirigido nas TAGs críticas e nas maiores diferenças.</t>
  </si>
  <si>
    <t>Atacar primeiro os itens com maior perda absoluta e maior taxa percentual.</t>
  </si>
  <si>
    <t>Atualização: 29/08/2026 09:49</t>
  </si>
  <si>
    <t>6° REMESSA OE-198-08 10/08</t>
  </si>
  <si>
    <t>7° REMESSA OE-198-09 11/09</t>
  </si>
  <si>
    <t>8° REMESSA OE-198-10/12 14/08</t>
  </si>
  <si>
    <t>9° REMESSA OE-198-11/14 21/08</t>
  </si>
  <si>
    <t>12° REMESSA OE-198-15 27/08</t>
  </si>
  <si>
    <t>10° REMESSA OE-198-13 31/08</t>
  </si>
  <si>
    <t>MONTANTES</t>
  </si>
  <si>
    <t>FG025</t>
  </si>
  <si>
    <t>A DEFINIR</t>
  </si>
  <si>
    <t>FG026</t>
  </si>
  <si>
    <t>13° REMESSA OE-198-16 03/09</t>
  </si>
  <si>
    <t>0,0%</t>
  </si>
  <si>
    <t>Acuracidade média do estoque em 0,0%.</t>
  </si>
  <si>
    <t>Perda física acumulada: 0 unidades.</t>
  </si>
  <si>
    <t>Atualização: 08/09/2026 09:26</t>
  </si>
  <si>
    <t>SEMANA 1 AGO</t>
  </si>
  <si>
    <t>SEMANA 2 AGO</t>
  </si>
  <si>
    <t>SEMANA 3 AGO</t>
  </si>
  <si>
    <t>SEMANA 4 AGO</t>
  </si>
  <si>
    <t>DASHBOARD EXECUTIVO | OF.198 - G200 LYON — CONTROLE FINAL DE MONTAGEM, ESTOQUE E BAIXA POR RUA</t>
  </si>
  <si>
    <t>14° ECLUSA OE198-17 04/09</t>
  </si>
  <si>
    <t>15° OE198-18-10/09</t>
  </si>
  <si>
    <t>SEMANA 7 SET</t>
  </si>
  <si>
    <t>SEMANA 5 08 a 12 SET</t>
  </si>
  <si>
    <t>DESENCONTRO COM PROJETO, JÁ AJUSTADO.</t>
  </si>
  <si>
    <t>PERDA EM CAMPO, FAZER 5S</t>
  </si>
  <si>
    <t>VERIFICAR USO</t>
  </si>
  <si>
    <t>USO NA VC01 NÃO CONTADO VIRTUAL</t>
  </si>
  <si>
    <t>saída incorreta, tratar com almoxarife</t>
  </si>
  <si>
    <t>falha sistemica</t>
  </si>
  <si>
    <t>falha operacional</t>
  </si>
  <si>
    <t>verificar sistema</t>
  </si>
  <si>
    <t>verificar operação</t>
  </si>
  <si>
    <t>SEMANA 6 SET 12 a 19</t>
  </si>
  <si>
    <t>16° OE198-20 - 18/09</t>
  </si>
  <si>
    <t>semana 7 21 a 26</t>
  </si>
  <si>
    <t>OF.198 - LYON - G200 | KPI DE CONSUMO POR EMPRESA</t>
  </si>
  <si>
    <t>Controle físico x virtual dos itens, com capacidade equivalente em JOISTS e comparação com a produção física informada.</t>
  </si>
  <si>
    <t>PRODUÇÃO FÍSICA</t>
  </si>
  <si>
    <t>QTD JOISTS</t>
  </si>
  <si>
    <t>EJ - JOISTS FEITAS FISICAMENTE</t>
  </si>
  <si>
    <t>CMM - JOISTS FEITAS FISICAMENTE</t>
  </si>
  <si>
    <t>FÍSICO REAL EJ</t>
  </si>
  <si>
    <t>% EJ DO FÍSICO</t>
  </si>
  <si>
    <t>FÍSICO REAL CMM</t>
  </si>
  <si>
    <t>% CMM DO FÍSICO</t>
  </si>
  <si>
    <t>FÍSICO REAL TOTAL</t>
  </si>
  <si>
    <t>VIRTUAL TOTAL</t>
  </si>
  <si>
    <t>EJ | CONTROLE DE ITENS DE JOIST</t>
  </si>
  <si>
    <t>CONSUMO FÍSICO REAL</t>
  </si>
  <si>
    <t>% DO FÍSICO TOTAL</t>
  </si>
  <si>
    <t>VIRTUAL JUSTIFICADO</t>
  </si>
  <si>
    <t>DIF.</t>
  </si>
  <si>
    <t>DESVIO %</t>
  </si>
  <si>
    <t>JOISTS POSSÍVEIS</t>
  </si>
  <si>
    <t>CMM | CONTROLE DE ITENS DE JOIST</t>
  </si>
  <si>
    <t>EMPRESA</t>
  </si>
  <si>
    <t>JOISTS FÍSICAS REALIZADAS</t>
  </si>
  <si>
    <t>JOISTS POSSÍVEIS (LIMITANTE)</t>
  </si>
  <si>
    <t>DIF. JOISTS</t>
  </si>
  <si>
    <t>STATUS GERAL</t>
  </si>
  <si>
    <t>CONSUMO FÍSICO REAL = quantidade efetivamente retirada/consumida pela empresa. VIRTUAL JUSTIFICADO = consumo teórico compatível com a quantidade de JOISTS físicas informada no topo. DIF. positiva indica retirada acima do que a produção justifica. JOISTS POSSÍVEIS = quantidade de JOISTS que a saída física daquele item suportaria, considerando o mix real atual de JOISTS concluídas.</t>
  </si>
  <si>
    <t>16° OE198-22 - 22/09</t>
  </si>
  <si>
    <t>A325N</t>
  </si>
  <si>
    <t>L02</t>
  </si>
  <si>
    <t>CANTONEIRA ARREMATE</t>
  </si>
  <si>
    <t>A CONFIRMAR</t>
  </si>
  <si>
    <t>L03</t>
  </si>
  <si>
    <t>ROT-ESM01</t>
  </si>
  <si>
    <t>FABRICADO ROTULA</t>
  </si>
  <si>
    <t>ESCADA MARINHEIRO</t>
  </si>
  <si>
    <t>ROT-DG01</t>
  </si>
  <si>
    <t>DEGRAU ESCADA</t>
  </si>
  <si>
    <t>ROT-ARO01</t>
  </si>
  <si>
    <t>ARO ESCADA</t>
  </si>
  <si>
    <t>ROT-ARO02</t>
  </si>
  <si>
    <t>ROT-ARO03</t>
  </si>
  <si>
    <t>ROT-MTE03</t>
  </si>
  <si>
    <t>MONTANTE ESCADA</t>
  </si>
  <si>
    <t>ROT-MTE06</t>
  </si>
  <si>
    <t>ROT-MTE08</t>
  </si>
  <si>
    <t>ROT-GRE01</t>
  </si>
  <si>
    <t>GRADE ESCADA</t>
  </si>
  <si>
    <t>ROT-GRE02</t>
  </si>
  <si>
    <t>ROT-LB01</t>
  </si>
  <si>
    <t>LONGARINA ESCADA</t>
  </si>
  <si>
    <t>ROT-PTE01</t>
  </si>
  <si>
    <t>PATAMAR ESCADA</t>
  </si>
  <si>
    <t>ROT-PTE02</t>
  </si>
  <si>
    <t>ROT-SPE01</t>
  </si>
  <si>
    <t>SUPORTE ESCADA</t>
  </si>
  <si>
    <t>ROT-SPE02</t>
  </si>
  <si>
    <t>ROT-GCE01</t>
  </si>
  <si>
    <t>GRADE CONTEN. ESC</t>
  </si>
  <si>
    <t>ROT-PUL01</t>
  </si>
  <si>
    <t>CORRIMAO ESCADA</t>
  </si>
  <si>
    <t>PTE04</t>
  </si>
  <si>
    <t>PATAMAR</t>
  </si>
  <si>
    <t>FG027</t>
  </si>
  <si>
    <t>OLHAL A307</t>
  </si>
  <si>
    <t>PARAF. OLHAL Ø1/2'' X 13F</t>
  </si>
  <si>
    <t>FG028</t>
  </si>
  <si>
    <t>PARAF. OLHAL Ø3/4'' X 10F</t>
  </si>
  <si>
    <t>LVX01</t>
  </si>
  <si>
    <t>CABO ACO</t>
  </si>
  <si>
    <t>CABO DE ACO LINHA DE VIDA</t>
  </si>
  <si>
    <t>24/09/2026</t>
  </si>
  <si>
    <t>Felipe Maciel</t>
  </si>
  <si>
    <t>CORRECAO SPD01: J02 e J04 de 10 para 15 unidades/joist (conforme JOIST02-R02 e JOIST04-R02)</t>
  </si>
  <si>
    <t>ADICAO: L02, L03 (cantoneiras arremate DM-021), ROT-* (escada marinheiro DM-009), FG027/FG028/LVX01 (linha de vida DM-005)</t>
  </si>
  <si>
    <t>ALERTA FG005: consumo planejado em Controle_Materiais (2918) diverge de Consumo_Joists (8/joist x 817 = 6536). Verificar origem da diferenca.</t>
  </si>
  <si>
    <t>CORRECAO: FG025 material atualizado de 'A DEFINIR' para 'A325N'. FG026 de 'A DEFINIR' para 'A307'.</t>
  </si>
  <si>
    <t>GRADE CONTENCAO ESCADA</t>
  </si>
  <si>
    <t>PARAF. OLHAL 1/2x13F</t>
  </si>
  <si>
    <t>PARAF. OLHAL 3/4x10F</t>
  </si>
  <si>
    <t>CABO ACO LINHA DE VIDA</t>
  </si>
  <si>
    <t>ADICAO: L02/L03 (cantoneiras DM-021), ROT-* escada marinheiro (DM-009), FG027/028/LVX01 (linha de vida DM-005)</t>
  </si>
  <si>
    <t>ALERTA: FG005 - consumo Joists (8/joist x 817 = 6536) diverge do planejado em Controle_Materiais (2918). Verificar.</t>
  </si>
  <si>
    <t>A CONF</t>
  </si>
  <si>
    <t>GRADE CONTENCAO ESC</t>
  </si>
  <si>
    <t>CABO ACO LINHA VIDA</t>
  </si>
  <si>
    <t>INSTRUÇÕES - MACRO VBA BAIXA IFC</t>
  </si>
  <si>
    <t>Para ativar a baixa automática via VBA:</t>
  </si>
  <si>
    <t>1. Pressione Alt+F11 para abrir o Editor VBA</t>
  </si>
  <si>
    <t>2. Insira &gt; Módulo</t>
  </si>
  <si>
    <t>3. Cole o código abaixo no módulo</t>
  </si>
  <si>
    <t>4. Feche o Editor VBA e salve o arquivo</t>
  </si>
  <si>
    <t>CÓDIGO VBA (copie e cole no módulo):</t>
  </si>
  <si>
    <t>Sub BaixarJoist()</t>
  </si>
  <si>
    <t xml:space="preserve">    Dim wsIFC As Worksheet, wsInv As Worksheet</t>
  </si>
  <si>
    <t xml:space="preserve">    Dim r As Long, lastRow As Long</t>
  </si>
  <si>
    <t xml:space="preserve">    Dim status As String, baixado As String, tag As String</t>
  </si>
  <si>
    <t xml:space="preserve">    Dim fj001 As Long, fj002 As Long, spd01 As Long</t>
  </si>
  <si>
    <t xml:space="preserve">    Dim count As Long, invRow As Long, invLast As Long</t>
  </si>
  <si>
    <t xml:space="preserve">    Set wsIFC = ThisWorkbook.Sheets("Apontamento_IFC")</t>
  </si>
  <si>
    <t xml:space="preserve">    Set wsInv = ThisWorkbook.Sheets("INVENTARIO")</t>
  </si>
  <si>
    <t xml:space="preserve">    lastRow = wsIFC.Cells(wsIFC.Rows.Count, 1).End(xlUp).Row</t>
  </si>
  <si>
    <t xml:space="preserve">    count = 0</t>
  </si>
  <si>
    <t xml:space="preserve">    Application.ScreenUpdating = False</t>
  </si>
  <si>
    <t xml:space="preserve">    For r = 2 To lastRow</t>
  </si>
  <si>
    <t xml:space="preserve">        status = Trim(CStr(wsIFC.Cells(r, 7).Value))</t>
  </si>
  <si>
    <t xml:space="preserve">        baixado = Trim(CStr(wsIFC.Cells(r, 13).Value))</t>
  </si>
  <si>
    <t xml:space="preserve">        If (status = "ICADO" Or status = "IÇADO") And baixado = "NAO" Then</t>
  </si>
  <si>
    <t xml:space="preserve">            fj001 = CLng(wsIFC.Cells(r, 10).Value)</t>
  </si>
  <si>
    <t xml:space="preserve">            fj002 = CLng(wsIFC.Cells(r, 11).Value)</t>
  </si>
  <si>
    <t xml:space="preserve">            spd01 = CLng(wsIFC.Cells(r, 12).Value)</t>
  </si>
  <si>
    <t xml:space="preserve">            invLast = wsInv.Cells(wsInv.Rows.Count, 1).End(xlUp).Row</t>
  </si>
  <si>
    <t xml:space="preserve">            For invRow = 2 To invLast</t>
  </si>
  <si>
    <t xml:space="preserve">                tag = Trim(CStr(wsInv.Cells(invRow, 1).Value))</t>
  </si>
  <si>
    <t xml:space="preserve">                Select Case tag</t>
  </si>
  <si>
    <t xml:space="preserve">                    Case "FJ001": wsInv.Cells(invRow, 7).Value = wsInv.Cells(invRow, 7).Value - fj001</t>
  </si>
  <si>
    <t xml:space="preserve">                    Case "FJ002": wsInv.Cells(invRow, 7).Value = wsInv.Cells(invRow, 7).Value - fj002</t>
  </si>
  <si>
    <t xml:space="preserve">                    Case "SPD01": If spd01 &gt; 0 Then wsInv.Cells(invRow, 7).Value = wsInv.Cells(invRow, 7).Value - spd01</t>
  </si>
  <si>
    <t xml:space="preserve">                End Select</t>
  </si>
  <si>
    <t xml:space="preserve">            Next invRow</t>
  </si>
  <si>
    <t xml:space="preserve">            wsIFC.Cells(r, 13).Value = "SIM"</t>
  </si>
  <si>
    <t xml:space="preserve">            wsIFC.Cells(r, 8).Value = Now()</t>
  </si>
  <si>
    <t xml:space="preserve">            wsIFC.Range(wsIFC.Cells(r,1), wsIFC.Cells(r,14)).Interior.Color = RGB(180, 240, 180)</t>
  </si>
  <si>
    <t xml:space="preserve">            count = count + 1</t>
  </si>
  <si>
    <t xml:space="preserve">        End If</t>
  </si>
  <si>
    <t xml:space="preserve">    Next r</t>
  </si>
  <si>
    <t xml:space="preserve">    Application.ScreenUpdating = True</t>
  </si>
  <si>
    <t xml:space="preserve">    MsgBox count &amp; " joist(s) baixados.", vbInformation, "Baixa IFC"</t>
  </si>
  <si>
    <t>Sub MarcarIcado()</t>
  </si>
  <si>
    <t xml:space="preserve">    If ActiveSheet.Name &lt;&gt; "Apontamento_IFC" Then MsgBox "Execute na aba Apontamento_IFC": Exit Sub</t>
  </si>
  <si>
    <t xml:space="preserve">    Dim resp As String</t>
  </si>
  <si>
    <t xml:space="preserve">    resp = InputBox("Responsavel:", "Apontamento", Environ("USERNAME"))</t>
  </si>
  <si>
    <t xml:space="preserve">    If resp = "" Then Exit Sub</t>
  </si>
  <si>
    <t xml:space="preserve">    Dim cel As Range</t>
  </si>
  <si>
    <t xml:space="preserve">    For Each cel In Selection.Rows</t>
  </si>
  <si>
    <t xml:space="preserve">        If cel.Row &gt; 1 Then</t>
  </si>
  <si>
    <t xml:space="preserve">            ActiveSheet.Cells(cel.Row, 7).Value = "IÇADO"</t>
  </si>
  <si>
    <t xml:space="preserve">            ActiveSheet.Cells(cel.Row, 9).Value = resp</t>
  </si>
  <si>
    <t xml:space="preserve">    Next cel</t>
  </si>
  <si>
    <t xml:space="preserve">    Call BaixarJoist</t>
  </si>
  <si>
    <t xml:space="preserve"> 18 OE198-23 -25/09</t>
  </si>
  <si>
    <t>L46X46X1.6</t>
  </si>
  <si>
    <t>ARR08</t>
  </si>
  <si>
    <t>PONTE  PRODUCAO x ESTOQUE  |  OF.198 LYON G200</t>
  </si>
  <si>
    <t>AUTOMATICO: todas as celulas sao formulas vivas. Pressione F9 ou salve para recalcular.</t>
  </si>
  <si>
    <t>BLOCO 1   KPIs DO DIA   (PAINEL KPI)</t>
  </si>
  <si>
    <t>DATA REFERENCIA</t>
  </si>
  <si>
    <t>PREVISTO DIA</t>
  </si>
  <si>
    <t>REALIZADO DIA</t>
  </si>
  <si>
    <t>ATINGIMENTO %</t>
  </si>
  <si>
    <t>DESVIO DIA</t>
  </si>
  <si>
    <t>ITENS CRITICOS</t>
  </si>
  <si>
    <t>BLOCO 2   PRODUCAO ACUMULADA   (CONTROLE PRODUCAO POR EMPRESAS)</t>
  </si>
  <si>
    <t>PROCESSO</t>
  </si>
  <si>
    <t>PREVISTO</t>
  </si>
  <si>
    <t>REALIZADO</t>
  </si>
  <si>
    <t>ATING. %</t>
  </si>
  <si>
    <t>DESVIO</t>
  </si>
  <si>
    <t>MEDIA/DIA</t>
  </si>
  <si>
    <t>FAROL</t>
  </si>
  <si>
    <t>ICAMENTO JOIST</t>
  </si>
  <si>
    <t>VIGAS</t>
  </si>
  <si>
    <t>BLOCO 3   JOISTS STATUS   (Dashboard_Final)</t>
  </si>
  <si>
    <t>PLANEJADAS</t>
  </si>
  <si>
    <t>ICADAS</t>
  </si>
  <si>
    <t>% CONCLUSAO</t>
  </si>
  <si>
    <t>Ritmo ICAMENTO/dia</t>
  </si>
  <si>
    <t>Dias uteis restantes</t>
  </si>
  <si>
    <t>Previsao termino</t>
  </si>
  <si>
    <t>BLOCO 4   ESTOQUE x CONSUMO   (INVENTARIO)</t>
  </si>
  <si>
    <t>UN/JOIST</t>
  </si>
  <si>
    <t>CONS.CALC.</t>
  </si>
  <si>
    <t>EST.FISICO</t>
  </si>
  <si>
    <t>SALDO VIRT.</t>
  </si>
  <si>
    <t>COB.JOISTS</t>
  </si>
  <si>
    <t>ALERTA</t>
  </si>
  <si>
    <t>BLOCO 5   ACOES PENDENTES</t>
  </si>
  <si>
    <t>#</t>
  </si>
  <si>
    <t>ACAO</t>
  </si>
  <si>
    <t>DETALHE</t>
  </si>
  <si>
    <t>RESPONSAVEL</t>
  </si>
  <si>
    <t>CRITICO</t>
  </si>
  <si>
    <t>Reabastecimento FJ002/FJ003/FJ005/FJ006</t>
  </si>
  <si>
    <t>Ver CRITICO Bloco 4. Saldo cobre &lt;50% joists pend.</t>
  </si>
  <si>
    <t>COMPRAS</t>
  </si>
  <si>
    <t>Mapear 380 posicoes IFC sem Position code</t>
  </si>
  <si>
    <t>JOIST01 (340) + JOIST03 (40) sem coordenada BIM</t>
  </si>
  <si>
    <t>BIM/ENG</t>
  </si>
  <si>
    <t>ATENCAO</t>
  </si>
  <si>
    <t>Reconciliar apontamentos EJ VIGAS</t>
  </si>
  <si>
    <t>CPE total=67 vs KPI diff - revisar lancamentos</t>
  </si>
  <si>
    <t>PRODUCAO</t>
  </si>
  <si>
    <t>Investigar delta Dashboard vs IFC +48</t>
  </si>
  <si>
    <t>Dashboard 294 vs CONTROLE KPI 246</t>
  </si>
  <si>
    <t>Ativar VBA BaixarJoist</t>
  </si>
  <si>
    <t>Copiar codigo de VBA_IFC_Baixa via Alt+F11</t>
  </si>
  <si>
    <t>TI/OBRA</t>
  </si>
  <si>
    <t>SEMANA 8 21 A 26</t>
  </si>
  <si>
    <t>PARAF. 1/2x1.1/4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</si>
</sst>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.0%"/>
    <numFmt numFmtId="165" formatCode="m/d/yyyy"/>
    <numFmt numFmtId="166" formatCode="0.0"/>
    <numFmt numFmtId="167" formatCode="dd/mm/\y\y\y\y"/>
    <numFmt numFmtId="168" formatCode="#,#00%"/>
    <numFmt numFmtId="169" formatCode="#,000"/>
  </numFmts>
  <fonts count="75" x14ac:knownFonts="1">
    <font>
      <sz val="11"/>
      <color theme="1"/>
      <name val="Aptos Narrow"/>
    </font>
    <font>
      <sz val="11"/>
      <color theme="1"/>
      <name val="Calibri"/>
      <family val="2"/>
    </font>
    <font>
      <b/>
      <sz val="14"/>
      <color rgb="FFFFFFFF"/>
      <name val="Cambria"/>
      <family val="1"/>
    </font>
    <font>
      <b/>
      <sz val="11"/>
      <color rgb="FFFFFFFF"/>
      <name val="Cambria"/>
      <family val="1"/>
    </font>
    <font>
      <b/>
      <sz val="11"/>
      <name val="Cambria"/>
      <family val="1"/>
    </font>
    <font>
      <sz val="11"/>
      <color rgb="FF000000"/>
      <name val="Arial"/>
      <family val="2"/>
    </font>
    <font>
      <sz val="12"/>
      <color rgb="FF000000"/>
      <name val="Calibri"/>
      <family val="2"/>
    </font>
    <font>
      <sz val="12"/>
      <color rgb="FF000000"/>
      <name val="Arial"/>
      <family val="2"/>
    </font>
    <font>
      <sz val="11"/>
      <color rgb="FFFFFFFF"/>
      <name val="Calibri"/>
      <family val="2"/>
    </font>
    <font>
      <b/>
      <sz val="26"/>
      <name val="Calibri"/>
      <family val="2"/>
    </font>
    <font>
      <b/>
      <sz val="18"/>
      <name val="Calibri"/>
      <family val="2"/>
    </font>
    <font>
      <sz val="11"/>
      <color rgb="FF000000"/>
      <name val="Calibri"/>
      <family val="2"/>
    </font>
    <font>
      <b/>
      <sz val="36"/>
      <name val="Calibri"/>
      <family val="2"/>
    </font>
    <font>
      <b/>
      <sz val="14"/>
      <name val="Calibri"/>
      <family val="2"/>
    </font>
    <font>
      <b/>
      <sz val="12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000000"/>
      <name val="Calibri"/>
      <family val="2"/>
    </font>
    <font>
      <b/>
      <sz val="11"/>
      <color rgb="FFFFFFFF"/>
      <name val="Aptos Narrow"/>
      <family val="2"/>
    </font>
    <font>
      <b/>
      <sz val="11"/>
      <color rgb="FF0000FF"/>
      <name val="Aptos Narrow"/>
      <family val="2"/>
    </font>
    <font>
      <b/>
      <sz val="14"/>
      <color rgb="FFFFFFFF"/>
      <name val="Aptos Narrow"/>
      <family val="2"/>
    </font>
    <font>
      <b/>
      <sz val="11"/>
      <name val="Aptos Narrow"/>
      <family val="2"/>
    </font>
    <font>
      <sz val="11"/>
      <color rgb="FF0000FF"/>
      <name val="Aptos Narrow"/>
      <family val="2"/>
    </font>
    <font>
      <b/>
      <sz val="16"/>
      <color rgb="FFFFFFFF"/>
      <name val="Aptos Narrow"/>
      <family val="2"/>
    </font>
    <font>
      <i/>
      <sz val="11"/>
      <color rgb="FF666666"/>
      <name val="Aptos Narrow"/>
      <family val="2"/>
    </font>
    <font>
      <b/>
      <sz val="18"/>
      <color rgb="FF1F1F1F"/>
      <name val="Aptos Narrow"/>
      <family val="2"/>
    </font>
    <font>
      <b/>
      <sz val="12"/>
      <color rgb="FFFFFFFF"/>
      <name val="Aptos Narrow"/>
      <family val="2"/>
    </font>
    <font>
      <b/>
      <sz val="16"/>
      <name val="Aptos Narrow"/>
      <family val="2"/>
    </font>
    <font>
      <b/>
      <sz val="11"/>
      <color rgb="FF1F4E78"/>
      <name val="Aptos Narrow"/>
      <family val="2"/>
    </font>
    <font>
      <b/>
      <sz val="16"/>
      <color rgb="FF000000"/>
      <name val="Aptos Narrow"/>
      <family val="2"/>
    </font>
    <font>
      <b/>
      <sz val="14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9"/>
      <color theme="1"/>
      <name val="Consolas"/>
      <family val="3"/>
    </font>
    <font>
      <b/>
      <sz val="11"/>
      <color theme="1"/>
      <name val="Aptos Narrow"/>
      <family val="2"/>
    </font>
    <font>
      <i/>
      <sz val="11"/>
      <color rgb="FF1F1F1F"/>
      <name val="Aptos Narrow"/>
      <family val="2"/>
    </font>
    <font>
      <b/>
      <sz val="11"/>
      <color rgb="FFFFFFFF"/>
      <name val="Aptos Narrow"/>
      <family val="2"/>
    </font>
    <font>
      <b/>
      <sz val="11"/>
      <color theme="0"/>
      <name val="Calibri"/>
      <family val="2"/>
    </font>
    <font>
      <sz val="11"/>
      <color theme="1"/>
      <name val="Aptos Narrow"/>
      <family val="2"/>
    </font>
    <font>
      <b/>
      <sz val="11"/>
      <color rgb="FF1F1F1F"/>
      <name val="Aptos Narrow"/>
      <family val="2"/>
    </font>
    <font>
      <b/>
      <sz val="14"/>
      <color rgb="FF274E13"/>
      <name val="Aptos Narrow"/>
      <family val="2"/>
    </font>
    <font>
      <sz val="11"/>
      <color rgb="FF1F1F1F"/>
      <name val="Aptos Narrow"/>
      <family val="2"/>
    </font>
    <font>
      <i/>
      <sz val="11"/>
      <color rgb="FF404040"/>
      <name val="Aptos Narrow"/>
      <family val="2"/>
    </font>
    <font>
      <sz val="11"/>
      <color rgb="FF000000"/>
      <name val="Arial"/>
      <family val="2"/>
    </font>
    <font>
      <b/>
      <sz val="12"/>
      <color rgb="FFFFFFFF"/>
      <name val="Aptos Narrow"/>
      <family val="2"/>
    </font>
    <font>
      <i/>
      <sz val="11"/>
      <color rgb="FF404040"/>
      <name val="Aptos Narrow"/>
      <family val="2"/>
    </font>
    <font>
      <sz val="16"/>
      <color theme="1"/>
      <name val="Calibri"/>
      <family val="2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b/>
      <sz val="11"/>
      <color rgb="FFFF0000"/>
      <name val="Calibri"/>
      <family val="2"/>
    </font>
    <font>
      <b/>
      <sz val="9"/>
      <color theme="0"/>
      <name val="Calibri"/>
      <family val="2"/>
    </font>
    <font>
      <sz val="10"/>
      <color theme="1"/>
      <name val="Calibri"/>
      <family val="2"/>
    </font>
    <font>
      <sz val="9"/>
      <color theme="1"/>
      <name val="Calibri"/>
      <family val="2"/>
    </font>
    <font>
      <b/>
      <sz val="18"/>
      <color theme="0"/>
      <name val="Aptos Narrow"/>
      <family val="2"/>
    </font>
    <font>
      <sz val="11"/>
      <color theme="1"/>
      <name val="Aptos Narrow"/>
      <family val="2"/>
    </font>
    <font>
      <b/>
      <sz val="10"/>
      <color rgb="FFFFFFFF"/>
      <name val="Cambria"/>
      <family val="1"/>
    </font>
    <font>
      <b/>
      <sz val="11"/>
      <color rgb="FF1F4E78"/>
      <name val="Cambria"/>
      <family val="1"/>
    </font>
    <font>
      <b/>
      <sz val="10"/>
      <color rgb="FFFFFFFF"/>
      <name val="Aptos Narrow"/>
      <family val="2"/>
    </font>
    <font>
      <b/>
      <sz val="11"/>
      <color rgb="FF1F4E78"/>
      <name val="Aptos Narrow"/>
      <family val="2"/>
    </font>
    <font>
      <b/>
      <sz val="10"/>
      <color rgb="FFFFFFFF"/>
      <name val="Aptos Narrow"/>
      <family val="2"/>
    </font>
    <font>
      <i/>
      <sz val="11"/>
      <color rgb="FF1F4E78"/>
      <name val="Aptos Narrow"/>
      <family val="2"/>
    </font>
    <font>
      <b/>
      <sz val="13"/>
      <color theme="1"/>
      <name val="Aptos Narrow"/>
      <family val="2"/>
    </font>
    <font>
      <b/>
      <sz val="13"/>
      <color rgb="FFFFFFFF"/>
      <name val="Aptos Narrow"/>
      <family val="2"/>
    </font>
    <font>
      <sz val="8"/>
      <name val="Aptos Narrow"/>
      <family val="2"/>
    </font>
    <font>
      <i/>
      <sz val="11"/>
      <color rgb="FF595959"/>
      <name val="Aptos Narrow"/>
      <family val="2"/>
    </font>
    <font>
      <b/>
      <sz val="15"/>
      <color rgb="FF1F4E79"/>
      <name val="Aptos Narrow"/>
      <family val="2"/>
    </font>
    <font>
      <b/>
      <sz val="11"/>
      <color rgb="FF000000"/>
      <name val="Aptos Narrow"/>
      <family val="2"/>
    </font>
    <font>
      <sz val="8"/>
      <name val="Aptos Narrow"/>
      <family val="2"/>
    </font>
    <font>
      <b/>
      <sz val="14"/>
      <color rgb="FFFFFFFF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i/>
      <sz val="11"/>
      <color theme="1"/>
      <name val="Aptos Narrow"/>
      <family val="2"/>
    </font>
    <font>
      <b/>
      <sz val="14"/>
      <color theme="1"/>
      <name val="Aptos Narrow"/>
      <family val="2"/>
    </font>
  </fonts>
  <fills count="6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E7E6E6"/>
      </patternFill>
    </fill>
    <fill>
      <patternFill patternType="solid">
        <fgColor theme="9" tint="0.59978026673177287"/>
        <bgColor indexed="65"/>
      </patternFill>
    </fill>
    <fill>
      <patternFill patternType="solid">
        <fgColor rgb="FFD9D9D9"/>
      </patternFill>
    </fill>
    <fill>
      <patternFill patternType="solid">
        <fgColor rgb="FF7030A0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F0D9"/>
      </patternFill>
    </fill>
    <fill>
      <patternFill patternType="solid">
        <fgColor rgb="FF00A6A6"/>
      </patternFill>
    </fill>
    <fill>
      <patternFill patternType="solid">
        <fgColor rgb="FFDDEBF7"/>
      </patternFill>
    </fill>
    <fill>
      <patternFill patternType="solid">
        <fgColor rgb="FF1F1F1F"/>
      </patternFill>
    </fill>
    <fill>
      <patternFill patternType="solid">
        <fgColor rgb="FFFCE4D6"/>
      </patternFill>
    </fill>
    <fill>
      <patternFill patternType="solid">
        <fgColor rgb="FF5B9BD5"/>
      </patternFill>
    </fill>
    <fill>
      <patternFill patternType="solid">
        <fgColor rgb="FFD9EAF7"/>
      </patternFill>
    </fill>
    <fill>
      <patternFill patternType="solid">
        <fgColor rgb="FFD9EAD3"/>
      </patternFill>
    </fill>
    <fill>
      <patternFill patternType="solid">
        <fgColor rgb="FFFFFFFF"/>
      </patternFill>
    </fill>
    <fill>
      <patternFill patternType="solid">
        <fgColor rgb="FFD9E1F2"/>
      </patternFill>
    </fill>
    <fill>
      <patternFill patternType="solid">
        <fgColor theme="0"/>
      </patternFill>
    </fill>
    <fill>
      <patternFill patternType="solid">
        <fgColor rgb="FF1F4E78"/>
      </patternFill>
    </fill>
    <fill>
      <patternFill patternType="solid">
        <fgColor rgb="FFFF0000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5B9BD5"/>
      </patternFill>
    </fill>
    <fill>
      <patternFill patternType="solid">
        <fgColor theme="0"/>
      </patternFill>
    </fill>
    <fill>
      <patternFill patternType="solid">
        <fgColor rgb="FFF2F2F2"/>
      </patternFill>
    </fill>
    <fill>
      <patternFill patternType="solid">
        <fgColor theme="3" tint="0.89996032593768116"/>
        <bgColor indexed="65"/>
      </patternFill>
    </fill>
    <fill>
      <patternFill patternType="solid">
        <fgColor theme="7" tint="-0.49995422223578601"/>
        <bgColor indexed="65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theme="1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5B9BD5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5B9BD5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2F75B5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784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2F2F2"/>
        <bgColor indexed="64"/>
      </patternFill>
    </fill>
  </fills>
  <borders count="9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  <border>
      <left/>
      <right/>
      <top/>
      <bottom style="thin">
        <color rgb="FFD9E2F3"/>
      </bottom>
      <diagonal/>
    </border>
    <border>
      <left/>
      <right style="thin">
        <color rgb="FFD9E2F3"/>
      </right>
      <top/>
      <bottom style="thin">
        <color rgb="FFD9E2F3"/>
      </bottom>
      <diagonal/>
    </border>
    <border>
      <left/>
      <right/>
      <top/>
      <bottom style="medium">
        <color rgb="FF1F4E78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 style="thin">
        <color rgb="FFD9E1F2"/>
      </left>
      <right/>
      <top/>
      <bottom style="thin">
        <color rgb="FFD9E1F2"/>
      </bottom>
      <diagonal/>
    </border>
    <border>
      <left/>
      <right style="thin">
        <color rgb="FFD9E1F2"/>
      </right>
      <top/>
      <bottom style="thin">
        <color rgb="FFD9E1F2"/>
      </bottom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D9E1F2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 style="thin">
        <color rgb="FFD9E2F3"/>
      </left>
      <right style="thin">
        <color rgb="FFD9E2F3"/>
      </right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rgb="FFBFBFBF"/>
      </top>
      <bottom style="thin">
        <color rgb="FFD9D9D9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1F2"/>
      </bottom>
      <diagonal/>
    </border>
    <border>
      <left/>
      <right/>
      <top style="thin">
        <color rgb="FFD9E2F3"/>
      </top>
      <bottom style="thin">
        <color rgb="FFD9E1F2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D9E1F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rgb="FF1F4E78"/>
      </bottom>
      <diagonal/>
    </border>
    <border>
      <left/>
      <right style="thick">
        <color indexed="64"/>
      </right>
      <top style="thick">
        <color indexed="64"/>
      </top>
      <bottom style="medium">
        <color rgb="FF1F4E78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auto="1"/>
      </right>
      <top/>
      <bottom/>
      <diagonal/>
    </border>
    <border>
      <left/>
      <right/>
      <top style="thick">
        <color indexed="64"/>
      </top>
      <bottom style="medium">
        <color rgb="FF1F4E78"/>
      </bottom>
      <diagonal/>
    </border>
    <border>
      <left style="thin">
        <color auto="1"/>
      </left>
      <right/>
      <top style="thin">
        <color auto="1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1F4E78"/>
      </bottom>
      <diagonal/>
    </border>
    <border>
      <left/>
      <right style="medium">
        <color indexed="64"/>
      </right>
      <top style="medium">
        <color indexed="64"/>
      </top>
      <bottom style="medium">
        <color rgb="FF1F4E78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rgb="FF1F4E7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" fillId="2" borderId="1"/>
    <xf numFmtId="44" fontId="33" fillId="0" borderId="0" applyFont="0" applyFill="0" applyBorder="0" applyAlignment="0" applyProtection="0"/>
    <xf numFmtId="9" fontId="33" fillId="0" borderId="0" applyFont="0" applyFill="0" applyBorder="0" applyAlignment="0" applyProtection="0"/>
  </cellStyleXfs>
  <cellXfs count="469">
    <xf numFmtId="0" fontId="0" fillId="0" borderId="0" xfId="0"/>
    <xf numFmtId="0" fontId="0" fillId="0" borderId="2" xfId="0" applyBorder="1" applyAlignment="1">
      <alignment vertical="center" wrapText="1"/>
    </xf>
    <xf numFmtId="1" fontId="0" fillId="0" borderId="2" xfId="0" applyNumberFormat="1" applyBorder="1" applyAlignment="1">
      <alignment vertical="center" wrapText="1"/>
    </xf>
    <xf numFmtId="164" fontId="0" fillId="0" borderId="2" xfId="0" applyNumberFormat="1" applyBorder="1" applyAlignment="1">
      <alignment vertical="center" wrapText="1"/>
    </xf>
    <xf numFmtId="1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4" borderId="0" xfId="0" applyFill="1"/>
    <xf numFmtId="0" fontId="5" fillId="0" borderId="2" xfId="0" applyFont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2" fontId="0" fillId="4" borderId="2" xfId="0" applyNumberFormat="1" applyFill="1" applyBorder="1" applyAlignment="1">
      <alignment vertical="center" wrapText="1"/>
    </xf>
    <xf numFmtId="2" fontId="0" fillId="0" borderId="2" xfId="0" applyNumberForma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2" fontId="0" fillId="4" borderId="0" xfId="0" applyNumberFormat="1" applyFill="1" applyAlignment="1">
      <alignment vertical="center" wrapText="1"/>
    </xf>
    <xf numFmtId="2" fontId="0" fillId="0" borderId="0" xfId="0" applyNumberFormat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0" fillId="3" borderId="0" xfId="0" applyFill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10" fillId="0" borderId="6" xfId="0" applyFont="1" applyBorder="1" applyAlignment="1">
      <alignment vertical="center" wrapText="1"/>
    </xf>
    <xf numFmtId="0" fontId="10" fillId="0" borderId="7" xfId="0" applyFont="1" applyBorder="1" applyAlignment="1">
      <alignment vertical="center" wrapText="1"/>
    </xf>
    <xf numFmtId="0" fontId="9" fillId="0" borderId="7" xfId="0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165" fontId="10" fillId="0" borderId="4" xfId="0" applyNumberFormat="1" applyFont="1" applyBorder="1" applyAlignment="1">
      <alignment vertical="center" wrapText="1"/>
    </xf>
    <xf numFmtId="165" fontId="10" fillId="0" borderId="7" xfId="0" applyNumberFormat="1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165" fontId="10" fillId="0" borderId="13" xfId="0" applyNumberFormat="1" applyFont="1" applyBorder="1" applyAlignment="1">
      <alignment vertical="center" wrapText="1"/>
    </xf>
    <xf numFmtId="165" fontId="10" fillId="0" borderId="16" xfId="0" applyNumberFormat="1" applyFont="1" applyBorder="1" applyAlignment="1">
      <alignment vertical="center" wrapText="1"/>
    </xf>
    <xf numFmtId="0" fontId="12" fillId="0" borderId="4" xfId="0" applyFont="1" applyBorder="1" applyAlignment="1">
      <alignment vertical="center" wrapText="1"/>
    </xf>
    <xf numFmtId="0" fontId="12" fillId="0" borderId="5" xfId="0" applyFont="1" applyBorder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3" fillId="0" borderId="7" xfId="0" applyFont="1" applyBorder="1" applyAlignment="1">
      <alignment vertical="center" wrapText="1"/>
    </xf>
    <xf numFmtId="0" fontId="12" fillId="0" borderId="13" xfId="0" applyFont="1" applyBorder="1" applyAlignment="1">
      <alignment vertical="center" wrapText="1"/>
    </xf>
    <xf numFmtId="0" fontId="12" fillId="0" borderId="14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6" xfId="0" applyFont="1" applyBorder="1" applyAlignment="1">
      <alignment vertical="center" wrapText="1"/>
    </xf>
    <xf numFmtId="0" fontId="12" fillId="0" borderId="16" xfId="0" applyFont="1" applyBorder="1" applyAlignment="1">
      <alignment vertical="center" wrapText="1"/>
    </xf>
    <xf numFmtId="0" fontId="13" fillId="0" borderId="13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15" fillId="0" borderId="3" xfId="0" applyFont="1" applyBorder="1" applyAlignment="1">
      <alignment vertical="center" wrapText="1"/>
    </xf>
    <xf numFmtId="0" fontId="16" fillId="0" borderId="3" xfId="0" applyFont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9" borderId="2" xfId="0" applyFill="1" applyBorder="1" applyAlignment="1">
      <alignment vertical="center" wrapText="1"/>
    </xf>
    <xf numFmtId="0" fontId="0" fillId="9" borderId="0" xfId="0" applyFill="1" applyAlignment="1">
      <alignment vertical="center" wrapText="1"/>
    </xf>
    <xf numFmtId="0" fontId="23" fillId="11" borderId="0" xfId="0" applyFont="1" applyFill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164" fontId="0" fillId="0" borderId="30" xfId="0" applyNumberFormat="1" applyBorder="1" applyAlignment="1">
      <alignment horizontal="center" vertical="center" wrapText="1"/>
    </xf>
    <xf numFmtId="0" fontId="0" fillId="0" borderId="30" xfId="0" applyBorder="1"/>
    <xf numFmtId="0" fontId="0" fillId="0" borderId="30" xfId="0" applyBorder="1" applyAlignment="1">
      <alignment horizontal="center"/>
    </xf>
    <xf numFmtId="0" fontId="0" fillId="0" borderId="0" xfId="0" applyAlignment="1">
      <alignment vertical="top" wrapText="1"/>
    </xf>
    <xf numFmtId="0" fontId="0" fillId="13" borderId="2" xfId="0" applyFill="1" applyBorder="1" applyAlignment="1">
      <alignment vertical="center" wrapText="1"/>
    </xf>
    <xf numFmtId="0" fontId="0" fillId="9" borderId="30" xfId="0" applyFill="1" applyBorder="1" applyAlignment="1">
      <alignment vertical="center" wrapText="1"/>
    </xf>
    <xf numFmtId="0" fontId="0" fillId="13" borderId="30" xfId="0" applyFill="1" applyBorder="1" applyAlignment="1">
      <alignment vertical="center" wrapText="1"/>
    </xf>
    <xf numFmtId="0" fontId="0" fillId="13" borderId="0" xfId="0" applyFill="1" applyAlignment="1">
      <alignment vertical="center" wrapText="1"/>
    </xf>
    <xf numFmtId="0" fontId="0" fillId="0" borderId="34" xfId="0" applyBorder="1" applyAlignment="1">
      <alignment vertical="center" wrapText="1"/>
    </xf>
    <xf numFmtId="0" fontId="23" fillId="15" borderId="34" xfId="0" applyFont="1" applyFill="1" applyBorder="1"/>
    <xf numFmtId="0" fontId="0" fillId="0" borderId="34" xfId="0" applyBorder="1"/>
    <xf numFmtId="1" fontId="0" fillId="9" borderId="2" xfId="0" applyNumberFormat="1" applyFill="1" applyBorder="1" applyAlignment="1">
      <alignment vertical="center" wrapText="1"/>
    </xf>
    <xf numFmtId="1" fontId="0" fillId="13" borderId="2" xfId="0" applyNumberFormat="1" applyFill="1" applyBorder="1" applyAlignment="1">
      <alignment vertical="center" wrapText="1"/>
    </xf>
    <xf numFmtId="1" fontId="0" fillId="0" borderId="0" xfId="0" applyNumberFormat="1"/>
    <xf numFmtId="1" fontId="0" fillId="9" borderId="0" xfId="0" applyNumberFormat="1" applyFill="1" applyAlignment="1">
      <alignment vertical="center" wrapText="1"/>
    </xf>
    <xf numFmtId="1" fontId="0" fillId="13" borderId="0" xfId="0" applyNumberFormat="1" applyFill="1" applyAlignment="1">
      <alignment vertical="center" wrapText="1"/>
    </xf>
    <xf numFmtId="1" fontId="0" fillId="0" borderId="3" xfId="0" applyNumberFormat="1" applyBorder="1" applyAlignment="1">
      <alignment vertical="center"/>
    </xf>
    <xf numFmtId="2" fontId="0" fillId="0" borderId="30" xfId="0" applyNumberFormat="1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23" fillId="0" borderId="31" xfId="0" applyFont="1" applyBorder="1" applyAlignment="1">
      <alignment vertical="center" wrapText="1"/>
    </xf>
    <xf numFmtId="164" fontId="0" fillId="0" borderId="31" xfId="0" applyNumberFormat="1" applyBorder="1" applyAlignment="1">
      <alignment vertical="center" wrapText="1"/>
    </xf>
    <xf numFmtId="1" fontId="0" fillId="0" borderId="31" xfId="0" applyNumberFormat="1" applyBorder="1" applyAlignment="1">
      <alignment vertical="center" wrapText="1"/>
    </xf>
    <xf numFmtId="0" fontId="0" fillId="19" borderId="0" xfId="0" applyFill="1"/>
    <xf numFmtId="0" fontId="6" fillId="5" borderId="38" xfId="0" applyFont="1" applyFill="1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1" xfId="0" applyBorder="1" applyAlignment="1">
      <alignment vertical="center"/>
    </xf>
    <xf numFmtId="0" fontId="24" fillId="8" borderId="31" xfId="0" applyFont="1" applyFill="1" applyBorder="1" applyAlignment="1">
      <alignment vertical="center" wrapText="1"/>
    </xf>
    <xf numFmtId="0" fontId="20" fillId="12" borderId="31" xfId="0" applyFont="1" applyFill="1" applyBorder="1" applyAlignment="1">
      <alignment vertical="center" wrapText="1"/>
    </xf>
    <xf numFmtId="0" fontId="0" fillId="17" borderId="31" xfId="0" applyFill="1" applyBorder="1" applyAlignment="1">
      <alignment vertical="top" wrapText="1"/>
    </xf>
    <xf numFmtId="0" fontId="0" fillId="0" borderId="31" xfId="0" applyBorder="1" applyAlignment="1">
      <alignment vertical="top" wrapText="1"/>
    </xf>
    <xf numFmtId="0" fontId="0" fillId="11" borderId="31" xfId="0" applyFill="1" applyBorder="1" applyAlignment="1">
      <alignment vertical="top" wrapText="1"/>
    </xf>
    <xf numFmtId="0" fontId="0" fillId="16" borderId="31" xfId="0" applyFill="1" applyBorder="1" applyAlignment="1">
      <alignment vertical="top" wrapText="1"/>
    </xf>
    <xf numFmtId="0" fontId="33" fillId="0" borderId="31" xfId="0" applyFont="1" applyBorder="1" applyAlignment="1">
      <alignment vertical="center" wrapText="1"/>
    </xf>
    <xf numFmtId="1" fontId="33" fillId="0" borderId="3" xfId="0" applyNumberFormat="1" applyFont="1" applyBorder="1" applyAlignment="1">
      <alignment vertical="center"/>
    </xf>
    <xf numFmtId="0" fontId="5" fillId="0" borderId="39" xfId="0" applyFont="1" applyBorder="1" applyAlignment="1">
      <alignment vertical="center" wrapText="1"/>
    </xf>
    <xf numFmtId="0" fontId="6" fillId="0" borderId="39" xfId="0" applyFont="1" applyBorder="1" applyAlignment="1">
      <alignment vertical="center" wrapText="1"/>
    </xf>
    <xf numFmtId="0" fontId="20" fillId="20" borderId="37" xfId="0" applyFont="1" applyFill="1" applyBorder="1" applyAlignment="1">
      <alignment horizontal="center" vertical="center" wrapText="1"/>
    </xf>
    <xf numFmtId="0" fontId="20" fillId="20" borderId="0" xfId="0" applyFont="1" applyFill="1" applyAlignment="1">
      <alignment wrapText="1"/>
    </xf>
    <xf numFmtId="22" fontId="0" fillId="0" borderId="0" xfId="0" applyNumberFormat="1"/>
    <xf numFmtId="0" fontId="22" fillId="20" borderId="0" xfId="0" applyFont="1" applyFill="1"/>
    <xf numFmtId="0" fontId="35" fillId="0" borderId="0" xfId="0" applyFont="1"/>
    <xf numFmtId="0" fontId="20" fillId="20" borderId="37" xfId="0" applyFont="1" applyFill="1" applyBorder="1" applyAlignment="1">
      <alignment vertical="center" wrapText="1"/>
    </xf>
    <xf numFmtId="0" fontId="3" fillId="20" borderId="22" xfId="0" applyFont="1" applyFill="1" applyBorder="1" applyAlignment="1">
      <alignment vertical="center" wrapText="1"/>
    </xf>
    <xf numFmtId="0" fontId="20" fillId="20" borderId="30" xfId="0" applyFont="1" applyFill="1" applyBorder="1" applyAlignment="1">
      <alignment horizontal="center" vertical="center" wrapText="1"/>
    </xf>
    <xf numFmtId="0" fontId="3" fillId="20" borderId="0" xfId="0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0" fontId="20" fillId="20" borderId="22" xfId="0" applyFont="1" applyFill="1" applyBorder="1" applyAlignment="1">
      <alignment horizontal="center" vertical="center" wrapText="1"/>
    </xf>
    <xf numFmtId="0" fontId="20" fillId="20" borderId="0" xfId="0" applyFont="1" applyFill="1" applyAlignment="1">
      <alignment horizontal="center" vertical="center" wrapText="1"/>
    </xf>
    <xf numFmtId="0" fontId="0" fillId="7" borderId="0" xfId="0" applyFill="1" applyAlignment="1">
      <alignment vertical="center" wrapText="1"/>
    </xf>
    <xf numFmtId="0" fontId="8" fillId="17" borderId="0" xfId="0" applyFont="1" applyFill="1" applyAlignment="1">
      <alignment vertical="center" wrapText="1"/>
    </xf>
    <xf numFmtId="0" fontId="14" fillId="17" borderId="9" xfId="0" applyFont="1" applyFill="1" applyBorder="1" applyAlignment="1">
      <alignment vertical="center" wrapText="1"/>
    </xf>
    <xf numFmtId="0" fontId="20" fillId="20" borderId="31" xfId="0" applyFont="1" applyFill="1" applyBorder="1" applyAlignment="1">
      <alignment vertical="center" wrapText="1"/>
    </xf>
    <xf numFmtId="0" fontId="20" fillId="20" borderId="22" xfId="0" applyFont="1" applyFill="1" applyBorder="1" applyAlignment="1">
      <alignment vertical="center" wrapText="1"/>
    </xf>
    <xf numFmtId="1" fontId="0" fillId="11" borderId="2" xfId="0" applyNumberFormat="1" applyFill="1" applyBorder="1" applyAlignment="1">
      <alignment vertical="center" wrapText="1"/>
    </xf>
    <xf numFmtId="164" fontId="0" fillId="11" borderId="2" xfId="0" applyNumberForma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21" borderId="0" xfId="0" applyFill="1"/>
    <xf numFmtId="0" fontId="0" fillId="21" borderId="31" xfId="0" applyFill="1" applyBorder="1" applyAlignment="1">
      <alignment vertical="center" wrapText="1"/>
    </xf>
    <xf numFmtId="0" fontId="5" fillId="21" borderId="2" xfId="0" applyFont="1" applyFill="1" applyBorder="1" applyAlignment="1">
      <alignment vertical="center" wrapText="1"/>
    </xf>
    <xf numFmtId="0" fontId="5" fillId="21" borderId="39" xfId="0" applyFont="1" applyFill="1" applyBorder="1" applyAlignment="1">
      <alignment vertical="center" wrapText="1"/>
    </xf>
    <xf numFmtId="0" fontId="6" fillId="21" borderId="2" xfId="0" applyFont="1" applyFill="1" applyBorder="1" applyAlignment="1">
      <alignment vertical="center" wrapText="1"/>
    </xf>
    <xf numFmtId="2" fontId="0" fillId="21" borderId="2" xfId="0" applyNumberFormat="1" applyFill="1" applyBorder="1" applyAlignment="1">
      <alignment vertical="center" wrapText="1"/>
    </xf>
    <xf numFmtId="2" fontId="0" fillId="21" borderId="0" xfId="0" applyNumberFormat="1" applyFill="1" applyAlignment="1">
      <alignment vertical="center" wrapText="1"/>
    </xf>
    <xf numFmtId="1" fontId="0" fillId="21" borderId="2" xfId="0" applyNumberFormat="1" applyFill="1" applyBorder="1" applyAlignment="1">
      <alignment vertical="center" wrapText="1"/>
    </xf>
    <xf numFmtId="1" fontId="0" fillId="21" borderId="0" xfId="0" applyNumberFormat="1" applyFill="1" applyAlignment="1">
      <alignment vertical="center" wrapText="1"/>
    </xf>
    <xf numFmtId="164" fontId="0" fillId="21" borderId="2" xfId="0" applyNumberFormat="1" applyFill="1" applyBorder="1" applyAlignment="1">
      <alignment vertical="center" wrapText="1"/>
    </xf>
    <xf numFmtId="0" fontId="0" fillId="21" borderId="2" xfId="0" applyFill="1" applyBorder="1" applyAlignment="1">
      <alignment vertical="center" wrapText="1"/>
    </xf>
    <xf numFmtId="0" fontId="0" fillId="21" borderId="0" xfId="0" applyFill="1" applyAlignment="1">
      <alignment vertical="center" wrapText="1"/>
    </xf>
    <xf numFmtId="0" fontId="0" fillId="21" borderId="30" xfId="0" applyFill="1" applyBorder="1" applyAlignment="1">
      <alignment vertical="center" wrapText="1"/>
    </xf>
    <xf numFmtId="1" fontId="0" fillId="21" borderId="0" xfId="0" applyNumberFormat="1" applyFill="1"/>
    <xf numFmtId="22" fontId="0" fillId="21" borderId="0" xfId="0" applyNumberFormat="1" applyFill="1"/>
    <xf numFmtId="0" fontId="0" fillId="21" borderId="31" xfId="0" applyFill="1" applyBorder="1" applyAlignment="1">
      <alignment horizontal="center" vertical="center" wrapText="1"/>
    </xf>
    <xf numFmtId="164" fontId="0" fillId="21" borderId="0" xfId="0" applyNumberFormat="1" applyFill="1" applyAlignment="1">
      <alignment vertical="center" wrapText="1"/>
    </xf>
    <xf numFmtId="0" fontId="36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vertical="center" wrapText="1"/>
    </xf>
    <xf numFmtId="0" fontId="4" fillId="3" borderId="2" xfId="0" applyFont="1" applyFill="1" applyBorder="1" applyAlignment="1">
      <alignment vertical="center" wrapText="1"/>
    </xf>
    <xf numFmtId="0" fontId="2" fillId="2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20" fillId="20" borderId="0" xfId="0" applyFont="1" applyFill="1" applyAlignment="1">
      <alignment vertical="center" wrapText="1"/>
    </xf>
    <xf numFmtId="1" fontId="31" fillId="11" borderId="0" xfId="0" applyNumberFormat="1" applyFont="1" applyFill="1" applyAlignment="1">
      <alignment vertical="center" wrapText="1"/>
    </xf>
    <xf numFmtId="0" fontId="0" fillId="0" borderId="0" xfId="0" applyAlignment="1">
      <alignment wrapText="1"/>
    </xf>
    <xf numFmtId="0" fontId="4" fillId="0" borderId="2" xfId="0" applyFont="1" applyBorder="1" applyAlignment="1">
      <alignment vertical="center" wrapText="1"/>
    </xf>
    <xf numFmtId="0" fontId="20" fillId="20" borderId="34" xfId="0" applyFont="1" applyFill="1" applyBorder="1" applyAlignment="1">
      <alignment vertical="center" wrapText="1"/>
    </xf>
    <xf numFmtId="2" fontId="33" fillId="0" borderId="2" xfId="0" applyNumberFormat="1" applyFont="1" applyBorder="1" applyAlignment="1">
      <alignment vertical="center" wrapText="1"/>
    </xf>
    <xf numFmtId="1" fontId="34" fillId="0" borderId="3" xfId="0" applyNumberFormat="1" applyFont="1" applyBorder="1" applyAlignment="1">
      <alignment vertical="center"/>
    </xf>
    <xf numFmtId="0" fontId="3" fillId="22" borderId="22" xfId="0" applyFont="1" applyFill="1" applyBorder="1" applyAlignment="1">
      <alignment horizontal="center" vertical="center" wrapText="1"/>
    </xf>
    <xf numFmtId="9" fontId="0" fillId="0" borderId="2" xfId="0" applyNumberFormat="1" applyBorder="1" applyAlignment="1">
      <alignment vertical="center" wrapText="1"/>
    </xf>
    <xf numFmtId="0" fontId="0" fillId="23" borderId="2" xfId="0" applyFill="1" applyBorder="1" applyAlignment="1">
      <alignment vertical="center" wrapText="1"/>
    </xf>
    <xf numFmtId="0" fontId="20" fillId="22" borderId="30" xfId="0" applyFont="1" applyFill="1" applyBorder="1" applyAlignment="1">
      <alignment horizontal="center" vertical="center" wrapText="1"/>
    </xf>
    <xf numFmtId="1" fontId="20" fillId="22" borderId="30" xfId="0" applyNumberFormat="1" applyFont="1" applyFill="1" applyBorder="1" applyAlignment="1">
      <alignment horizontal="center" vertical="center" wrapText="1"/>
    </xf>
    <xf numFmtId="164" fontId="20" fillId="22" borderId="30" xfId="0" applyNumberFormat="1" applyFont="1" applyFill="1" applyBorder="1" applyAlignment="1">
      <alignment horizontal="center" vertical="center" wrapText="1"/>
    </xf>
    <xf numFmtId="0" fontId="20" fillId="22" borderId="22" xfId="0" applyFont="1" applyFill="1" applyBorder="1" applyAlignment="1">
      <alignment horizontal="center" vertical="center" wrapText="1"/>
    </xf>
    <xf numFmtId="0" fontId="21" fillId="23" borderId="30" xfId="0" applyFont="1" applyFill="1" applyBorder="1" applyAlignment="1">
      <alignment horizontal="center" vertical="center" wrapText="1"/>
    </xf>
    <xf numFmtId="0" fontId="0" fillId="23" borderId="0" xfId="0" applyFill="1" applyAlignment="1">
      <alignment vertical="center" wrapText="1"/>
    </xf>
    <xf numFmtId="0" fontId="20" fillId="22" borderId="37" xfId="0" applyFont="1" applyFill="1" applyBorder="1" applyAlignment="1">
      <alignment horizontal="center" vertical="center" wrapText="1"/>
    </xf>
    <xf numFmtId="0" fontId="20" fillId="24" borderId="31" xfId="0" applyFont="1" applyFill="1" applyBorder="1" applyAlignment="1">
      <alignment horizontal="center" vertical="center" wrapText="1"/>
    </xf>
    <xf numFmtId="1" fontId="0" fillId="0" borderId="31" xfId="0" applyNumberFormat="1" applyBorder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0" fontId="0" fillId="26" borderId="31" xfId="0" applyFill="1" applyBorder="1" applyAlignment="1">
      <alignment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0" fontId="30" fillId="26" borderId="31" xfId="0" applyFont="1" applyFill="1" applyBorder="1" applyAlignment="1">
      <alignment horizontal="center" vertical="center" wrapText="1"/>
    </xf>
    <xf numFmtId="164" fontId="20" fillId="24" borderId="31" xfId="0" applyNumberFormat="1" applyFont="1" applyFill="1" applyBorder="1" applyAlignment="1">
      <alignment horizontal="center" vertical="center" wrapText="1"/>
    </xf>
    <xf numFmtId="1" fontId="20" fillId="24" borderId="31" xfId="0" applyNumberFormat="1" applyFont="1" applyFill="1" applyBorder="1" applyAlignment="1">
      <alignment horizontal="center" vertical="center" wrapText="1"/>
    </xf>
    <xf numFmtId="0" fontId="0" fillId="28" borderId="31" xfId="0" applyFill="1" applyBorder="1" applyAlignment="1">
      <alignment vertical="center" wrapText="1"/>
    </xf>
    <xf numFmtId="1" fontId="24" fillId="28" borderId="31" xfId="0" applyNumberFormat="1" applyFont="1" applyFill="1" applyBorder="1" applyAlignment="1">
      <alignment horizontal="center" vertical="center" wrapText="1"/>
    </xf>
    <xf numFmtId="1" fontId="0" fillId="28" borderId="31" xfId="0" applyNumberFormat="1" applyFill="1" applyBorder="1" applyAlignment="1">
      <alignment horizontal="center" vertical="center" wrapText="1"/>
    </xf>
    <xf numFmtId="1" fontId="0" fillId="28" borderId="31" xfId="0" applyNumberFormat="1" applyFill="1" applyBorder="1" applyAlignment="1">
      <alignment horizontal="right" vertical="center" wrapText="1"/>
    </xf>
    <xf numFmtId="9" fontId="0" fillId="28" borderId="31" xfId="4" applyFont="1" applyFill="1" applyBorder="1" applyAlignment="1">
      <alignment horizontal="right" vertical="center" wrapText="1"/>
    </xf>
    <xf numFmtId="0" fontId="38" fillId="20" borderId="30" xfId="0" applyFont="1" applyFill="1" applyBorder="1" applyAlignment="1">
      <alignment horizontal="center" vertical="center" wrapText="1"/>
    </xf>
    <xf numFmtId="0" fontId="0" fillId="0" borderId="19" xfId="0" applyBorder="1"/>
    <xf numFmtId="0" fontId="30" fillId="25" borderId="40" xfId="0" applyFont="1" applyFill="1" applyBorder="1" applyAlignment="1">
      <alignment vertical="center"/>
    </xf>
    <xf numFmtId="0" fontId="41" fillId="23" borderId="30" xfId="0" applyFont="1" applyFill="1" applyBorder="1" applyAlignment="1">
      <alignment horizontal="center"/>
    </xf>
    <xf numFmtId="0" fontId="30" fillId="25" borderId="41" xfId="0" applyFont="1" applyFill="1" applyBorder="1" applyAlignment="1">
      <alignment vertical="center"/>
    </xf>
    <xf numFmtId="0" fontId="42" fillId="9" borderId="42" xfId="0" applyFont="1" applyFill="1" applyBorder="1" applyAlignment="1">
      <alignment horizontal="center" vertical="center"/>
    </xf>
    <xf numFmtId="0" fontId="43" fillId="17" borderId="41" xfId="0" applyFont="1" applyFill="1" applyBorder="1" applyAlignment="1">
      <alignment horizontal="center" vertical="center"/>
    </xf>
    <xf numFmtId="0" fontId="30" fillId="25" borderId="43" xfId="0" applyFont="1" applyFill="1" applyBorder="1" applyAlignment="1">
      <alignment vertical="center"/>
    </xf>
    <xf numFmtId="0" fontId="43" fillId="17" borderId="43" xfId="0" applyFont="1" applyFill="1" applyBorder="1" applyAlignment="1">
      <alignment horizontal="center" vertical="center"/>
    </xf>
    <xf numFmtId="0" fontId="40" fillId="0" borderId="31" xfId="0" applyFont="1" applyBorder="1" applyAlignment="1">
      <alignment vertical="center" wrapText="1"/>
    </xf>
    <xf numFmtId="0" fontId="45" fillId="0" borderId="2" xfId="0" applyFont="1" applyBorder="1" applyAlignment="1">
      <alignment vertical="center" wrapText="1"/>
    </xf>
    <xf numFmtId="0" fontId="49" fillId="30" borderId="55" xfId="0" applyFont="1" applyFill="1" applyBorder="1" applyAlignment="1">
      <alignment wrapText="1"/>
    </xf>
    <xf numFmtId="0" fontId="50" fillId="30" borderId="56" xfId="0" applyFont="1" applyFill="1" applyBorder="1" applyAlignment="1">
      <alignment wrapText="1"/>
    </xf>
    <xf numFmtId="0" fontId="49" fillId="30" borderId="56" xfId="0" applyFont="1" applyFill="1" applyBorder="1" applyAlignment="1">
      <alignment wrapText="1"/>
    </xf>
    <xf numFmtId="0" fontId="51" fillId="30" borderId="56" xfId="0" applyFont="1" applyFill="1" applyBorder="1" applyAlignment="1">
      <alignment wrapText="1"/>
    </xf>
    <xf numFmtId="0" fontId="39" fillId="31" borderId="56" xfId="0" applyFont="1" applyFill="1" applyBorder="1" applyAlignment="1">
      <alignment wrapText="1"/>
    </xf>
    <xf numFmtId="0" fontId="52" fillId="31" borderId="56" xfId="0" applyFont="1" applyFill="1" applyBorder="1" applyAlignment="1">
      <alignment wrapText="1"/>
    </xf>
    <xf numFmtId="0" fontId="52" fillId="31" borderId="57" xfId="0" applyFont="1" applyFill="1" applyBorder="1" applyAlignment="1">
      <alignment wrapText="1"/>
    </xf>
    <xf numFmtId="0" fontId="53" fillId="0" borderId="55" xfId="0" applyFont="1" applyBorder="1" applyAlignment="1">
      <alignment horizontal="left"/>
    </xf>
    <xf numFmtId="1" fontId="54" fillId="32" borderId="56" xfId="0" applyNumberFormat="1" applyFont="1" applyFill="1" applyBorder="1"/>
    <xf numFmtId="0" fontId="54" fillId="32" borderId="56" xfId="0" applyFont="1" applyFill="1" applyBorder="1"/>
    <xf numFmtId="1" fontId="49" fillId="0" borderId="56" xfId="0" applyNumberFormat="1" applyFont="1" applyBorder="1"/>
    <xf numFmtId="0" fontId="49" fillId="0" borderId="56" xfId="0" applyFont="1" applyBorder="1"/>
    <xf numFmtId="0" fontId="54" fillId="0" borderId="56" xfId="0" applyFont="1" applyBorder="1"/>
    <xf numFmtId="0" fontId="54" fillId="0" borderId="57" xfId="0" applyFont="1" applyBorder="1"/>
    <xf numFmtId="0" fontId="53" fillId="0" borderId="55" xfId="0" applyFont="1" applyBorder="1"/>
    <xf numFmtId="3" fontId="54" fillId="0" borderId="56" xfId="0" applyNumberFormat="1" applyFont="1" applyBorder="1"/>
    <xf numFmtId="0" fontId="53" fillId="0" borderId="58" xfId="0" applyFont="1" applyBorder="1" applyAlignment="1">
      <alignment horizontal="left"/>
    </xf>
    <xf numFmtId="0" fontId="54" fillId="32" borderId="59" xfId="0" applyFont="1" applyFill="1" applyBorder="1"/>
    <xf numFmtId="1" fontId="49" fillId="0" borderId="59" xfId="0" applyNumberFormat="1" applyFont="1" applyBorder="1"/>
    <xf numFmtId="0" fontId="49" fillId="0" borderId="59" xfId="0" applyFont="1" applyBorder="1"/>
    <xf numFmtId="0" fontId="54" fillId="0" borderId="59" xfId="0" applyFont="1" applyBorder="1"/>
    <xf numFmtId="0" fontId="54" fillId="0" borderId="60" xfId="0" applyFont="1" applyBorder="1"/>
    <xf numFmtId="0" fontId="40" fillId="0" borderId="31" xfId="0" applyFont="1" applyBorder="1" applyAlignment="1">
      <alignment vertical="center"/>
    </xf>
    <xf numFmtId="0" fontId="22" fillId="22" borderId="0" xfId="0" applyFont="1" applyFill="1" applyAlignment="1">
      <alignment vertical="center"/>
    </xf>
    <xf numFmtId="0" fontId="28" fillId="27" borderId="31" xfId="0" applyFont="1" applyFill="1" applyBorder="1" applyAlignment="1">
      <alignment vertical="center" wrapText="1"/>
    </xf>
    <xf numFmtId="164" fontId="28" fillId="27" borderId="31" xfId="0" applyNumberFormat="1" applyFont="1" applyFill="1" applyBorder="1" applyAlignment="1">
      <alignment vertical="center" wrapText="1"/>
    </xf>
    <xf numFmtId="1" fontId="28" fillId="27" borderId="31" xfId="0" applyNumberFormat="1" applyFont="1" applyFill="1" applyBorder="1" applyAlignment="1">
      <alignment vertical="center" wrapText="1"/>
    </xf>
    <xf numFmtId="0" fontId="20" fillId="24" borderId="0" xfId="0" applyFont="1" applyFill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57" fillId="34" borderId="22" xfId="0" applyFont="1" applyFill="1" applyBorder="1" applyAlignment="1">
      <alignment horizontal="center" vertical="center" wrapText="1"/>
    </xf>
    <xf numFmtId="0" fontId="56" fillId="0" borderId="2" xfId="0" applyFont="1" applyBorder="1" applyAlignment="1">
      <alignment vertical="center" wrapText="1"/>
    </xf>
    <xf numFmtId="0" fontId="56" fillId="0" borderId="62" xfId="0" applyFont="1" applyBorder="1" applyAlignment="1">
      <alignment vertical="center" wrapText="1"/>
    </xf>
    <xf numFmtId="0" fontId="58" fillId="35" borderId="62" xfId="0" applyFont="1" applyFill="1" applyBorder="1" applyAlignment="1">
      <alignment vertical="center" wrapText="1"/>
    </xf>
    <xf numFmtId="0" fontId="59" fillId="34" borderId="30" xfId="0" applyFont="1" applyFill="1" applyBorder="1" applyAlignment="1">
      <alignment horizontal="center" vertical="center" wrapText="1"/>
    </xf>
    <xf numFmtId="0" fontId="56" fillId="0" borderId="30" xfId="0" applyFont="1" applyBorder="1" applyAlignment="1">
      <alignment horizontal="center" vertical="center" wrapText="1"/>
    </xf>
    <xf numFmtId="0" fontId="56" fillId="0" borderId="0" xfId="0" applyFont="1"/>
    <xf numFmtId="0" fontId="56" fillId="0" borderId="31" xfId="0" applyFont="1" applyBorder="1"/>
    <xf numFmtId="9" fontId="56" fillId="36" borderId="2" xfId="0" applyNumberFormat="1" applyFont="1" applyFill="1" applyBorder="1" applyAlignment="1">
      <alignment vertical="center" wrapText="1"/>
    </xf>
    <xf numFmtId="9" fontId="56" fillId="36" borderId="62" xfId="0" applyNumberFormat="1" applyFont="1" applyFill="1" applyBorder="1" applyAlignment="1">
      <alignment vertical="center" wrapText="1"/>
    </xf>
    <xf numFmtId="164" fontId="56" fillId="0" borderId="0" xfId="0" applyNumberFormat="1" applyFont="1" applyAlignment="1">
      <alignment vertical="center" wrapText="1"/>
    </xf>
    <xf numFmtId="164" fontId="59" fillId="34" borderId="30" xfId="0" applyNumberFormat="1" applyFont="1" applyFill="1" applyBorder="1" applyAlignment="1">
      <alignment horizontal="center" vertical="center" wrapText="1"/>
    </xf>
    <xf numFmtId="164" fontId="56" fillId="0" borderId="30" xfId="0" applyNumberFormat="1" applyFont="1" applyBorder="1" applyAlignment="1">
      <alignment horizontal="center" vertical="center" wrapText="1"/>
    </xf>
    <xf numFmtId="164" fontId="56" fillId="0" borderId="0" xfId="0" applyNumberFormat="1" applyFont="1"/>
    <xf numFmtId="164" fontId="56" fillId="0" borderId="31" xfId="0" applyNumberFormat="1" applyFont="1" applyBorder="1"/>
    <xf numFmtId="0" fontId="59" fillId="34" borderId="0" xfId="0" applyFont="1" applyFill="1" applyAlignment="1">
      <alignment horizontal="center" vertical="center" wrapText="1"/>
    </xf>
    <xf numFmtId="164" fontId="56" fillId="0" borderId="31" xfId="0" applyNumberFormat="1" applyFont="1" applyBorder="1" applyAlignment="1">
      <alignment vertical="center" wrapText="1"/>
    </xf>
    <xf numFmtId="164" fontId="60" fillId="35" borderId="63" xfId="0" applyNumberFormat="1" applyFont="1" applyFill="1" applyBorder="1" applyAlignment="1">
      <alignment vertical="center" wrapText="1"/>
    </xf>
    <xf numFmtId="0" fontId="56" fillId="0" borderId="64" xfId="0" applyFont="1" applyBorder="1" applyAlignment="1">
      <alignment vertical="center" wrapText="1"/>
    </xf>
    <xf numFmtId="0" fontId="56" fillId="0" borderId="31" xfId="0" applyFont="1" applyBorder="1" applyAlignment="1">
      <alignment vertical="center" wrapText="1"/>
    </xf>
    <xf numFmtId="164" fontId="56" fillId="0" borderId="2" xfId="0" applyNumberFormat="1" applyFont="1" applyBorder="1" applyAlignment="1">
      <alignment vertical="center" wrapText="1"/>
    </xf>
    <xf numFmtId="164" fontId="56" fillId="0" borderId="62" xfId="0" applyNumberFormat="1" applyFont="1" applyBorder="1" applyAlignment="1">
      <alignment vertical="center" wrapText="1"/>
    </xf>
    <xf numFmtId="164" fontId="58" fillId="35" borderId="62" xfId="0" applyNumberFormat="1" applyFont="1" applyFill="1" applyBorder="1" applyAlignment="1">
      <alignment vertical="center" wrapText="1"/>
    </xf>
    <xf numFmtId="0" fontId="59" fillId="34" borderId="22" xfId="0" applyFont="1" applyFill="1" applyBorder="1" applyAlignment="1">
      <alignment horizontal="center" vertical="center" wrapText="1"/>
    </xf>
    <xf numFmtId="0" fontId="56" fillId="0" borderId="65" xfId="0" applyFont="1" applyBorder="1" applyAlignment="1">
      <alignment vertical="center" wrapText="1"/>
    </xf>
    <xf numFmtId="0" fontId="38" fillId="20" borderId="0" xfId="0" applyFont="1" applyFill="1" applyAlignment="1">
      <alignment horizontal="center" vertical="center" wrapText="1"/>
    </xf>
    <xf numFmtId="0" fontId="0" fillId="0" borderId="31" xfId="0" applyBorder="1"/>
    <xf numFmtId="0" fontId="61" fillId="24" borderId="0" xfId="0" applyFont="1" applyFill="1" applyAlignment="1">
      <alignment horizontal="center" vertical="center" wrapText="1"/>
    </xf>
    <xf numFmtId="164" fontId="0" fillId="0" borderId="0" xfId="0" applyNumberFormat="1"/>
    <xf numFmtId="0" fontId="33" fillId="0" borderId="31" xfId="0" applyFont="1" applyBorder="1" applyAlignment="1">
      <alignment vertical="center"/>
    </xf>
    <xf numFmtId="14" fontId="0" fillId="0" borderId="0" xfId="0" applyNumberFormat="1"/>
    <xf numFmtId="14" fontId="0" fillId="0" borderId="31" xfId="0" applyNumberFormat="1" applyBorder="1"/>
    <xf numFmtId="164" fontId="0" fillId="0" borderId="31" xfId="0" applyNumberFormat="1" applyBorder="1"/>
    <xf numFmtId="0" fontId="0" fillId="0" borderId="3" xfId="0" applyBorder="1" applyAlignment="1">
      <alignment vertical="center"/>
    </xf>
    <xf numFmtId="0" fontId="33" fillId="0" borderId="3" xfId="0" applyFont="1" applyBorder="1" applyAlignment="1">
      <alignment vertical="center"/>
    </xf>
    <xf numFmtId="0" fontId="0" fillId="0" borderId="66" xfId="0" applyBorder="1" applyAlignment="1">
      <alignment vertical="center"/>
    </xf>
    <xf numFmtId="0" fontId="61" fillId="24" borderId="69" xfId="0" applyFont="1" applyFill="1" applyBorder="1" applyAlignment="1">
      <alignment horizontal="center" vertical="center" wrapText="1"/>
    </xf>
    <xf numFmtId="0" fontId="61" fillId="24" borderId="70" xfId="0" applyFont="1" applyFill="1" applyBorder="1" applyAlignment="1">
      <alignment horizontal="center" vertical="center" wrapText="1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40" fillId="0" borderId="0" xfId="0" applyFont="1"/>
    <xf numFmtId="0" fontId="63" fillId="0" borderId="0" xfId="0" applyFont="1" applyAlignment="1">
      <alignment horizontal="center"/>
    </xf>
    <xf numFmtId="0" fontId="59" fillId="20" borderId="0" xfId="0" applyFont="1" applyFill="1" applyAlignment="1">
      <alignment horizontal="center" vertical="center" wrapText="1"/>
    </xf>
    <xf numFmtId="0" fontId="0" fillId="7" borderId="0" xfId="0" applyFill="1"/>
    <xf numFmtId="0" fontId="0" fillId="7" borderId="31" xfId="0" applyFill="1" applyBorder="1"/>
    <xf numFmtId="0" fontId="30" fillId="15" borderId="0" xfId="0" applyFont="1" applyFill="1"/>
    <xf numFmtId="0" fontId="59" fillId="37" borderId="0" xfId="0" applyFont="1" applyFill="1" applyAlignment="1">
      <alignment horizontal="center" vertical="center" wrapText="1"/>
    </xf>
    <xf numFmtId="0" fontId="59" fillId="20" borderId="31" xfId="0" applyFont="1" applyFill="1" applyBorder="1" applyAlignment="1">
      <alignment horizontal="center" vertical="center" wrapText="1"/>
    </xf>
    <xf numFmtId="0" fontId="22" fillId="39" borderId="0" xfId="0" applyFont="1" applyFill="1" applyAlignment="1">
      <alignment horizontal="center" vertical="center"/>
    </xf>
    <xf numFmtId="0" fontId="62" fillId="40" borderId="0" xfId="0" applyFont="1" applyFill="1" applyAlignment="1">
      <alignment wrapText="1"/>
    </xf>
    <xf numFmtId="0" fontId="0" fillId="40" borderId="0" xfId="0" applyFill="1"/>
    <xf numFmtId="0" fontId="59" fillId="39" borderId="0" xfId="0" applyFont="1" applyFill="1" applyAlignment="1">
      <alignment horizontal="center" vertical="center" wrapText="1"/>
    </xf>
    <xf numFmtId="0" fontId="20" fillId="41" borderId="0" xfId="0" applyFont="1" applyFill="1" applyAlignment="1">
      <alignment horizontal="center" vertical="center" wrapText="1"/>
    </xf>
    <xf numFmtId="0" fontId="0" fillId="42" borderId="0" xfId="0" applyFill="1"/>
    <xf numFmtId="0" fontId="0" fillId="42" borderId="31" xfId="0" applyFill="1" applyBorder="1"/>
    <xf numFmtId="0" fontId="59" fillId="39" borderId="22" xfId="0" applyFont="1" applyFill="1" applyBorder="1" applyAlignment="1">
      <alignment horizontal="center" vertical="center" wrapText="1"/>
    </xf>
    <xf numFmtId="0" fontId="22" fillId="43" borderId="0" xfId="0" applyFont="1" applyFill="1" applyAlignment="1">
      <alignment horizontal="center" vertical="center"/>
    </xf>
    <xf numFmtId="0" fontId="62" fillId="44" borderId="0" xfId="0" applyFont="1" applyFill="1" applyAlignment="1">
      <alignment wrapText="1"/>
    </xf>
    <xf numFmtId="0" fontId="59" fillId="43" borderId="0" xfId="0" applyFont="1" applyFill="1" applyAlignment="1">
      <alignment horizontal="center" vertical="center" wrapText="1"/>
    </xf>
    <xf numFmtId="0" fontId="30" fillId="15" borderId="31" xfId="0" applyFont="1" applyFill="1" applyBorder="1"/>
    <xf numFmtId="0" fontId="63" fillId="0" borderId="31" xfId="0" applyFont="1" applyBorder="1" applyAlignment="1">
      <alignment horizontal="center"/>
    </xf>
    <xf numFmtId="0" fontId="59" fillId="45" borderId="0" xfId="0" applyFont="1" applyFill="1" applyAlignment="1">
      <alignment horizontal="center" vertical="center" wrapText="1"/>
    </xf>
    <xf numFmtId="0" fontId="59" fillId="46" borderId="0" xfId="0" applyFont="1" applyFill="1" applyAlignment="1">
      <alignment horizontal="center" vertical="center" wrapText="1"/>
    </xf>
    <xf numFmtId="0" fontId="0" fillId="47" borderId="0" xfId="0" applyFill="1"/>
    <xf numFmtId="1" fontId="0" fillId="42" borderId="0" xfId="0" applyNumberFormat="1" applyFill="1"/>
    <xf numFmtId="0" fontId="0" fillId="0" borderId="3" xfId="0" applyBorder="1"/>
    <xf numFmtId="0" fontId="0" fillId="0" borderId="0" xfId="0" applyAlignment="1">
      <alignment horizontal="center"/>
    </xf>
    <xf numFmtId="0" fontId="20" fillId="50" borderId="34" xfId="0" applyFont="1" applyFill="1" applyBorder="1" applyAlignment="1">
      <alignment horizontal="center" vertical="center" wrapText="1"/>
    </xf>
    <xf numFmtId="0" fontId="34" fillId="49" borderId="34" xfId="0" applyFont="1" applyFill="1" applyBorder="1" applyAlignment="1">
      <alignment vertical="center" wrapText="1"/>
    </xf>
    <xf numFmtId="0" fontId="34" fillId="48" borderId="34" xfId="0" applyFont="1" applyFill="1" applyBorder="1" applyAlignment="1">
      <alignment vertical="center" wrapText="1"/>
    </xf>
    <xf numFmtId="0" fontId="34" fillId="51" borderId="34" xfId="0" applyFont="1" applyFill="1" applyBorder="1" applyAlignment="1">
      <alignment vertical="center" wrapText="1"/>
    </xf>
    <xf numFmtId="0" fontId="68" fillId="49" borderId="34" xfId="0" applyFont="1" applyFill="1" applyBorder="1" applyAlignment="1">
      <alignment vertical="center" wrapText="1"/>
    </xf>
    <xf numFmtId="0" fontId="68" fillId="48" borderId="34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33" fillId="42" borderId="0" xfId="0" applyFont="1" applyFill="1"/>
    <xf numFmtId="16" fontId="0" fillId="0" borderId="0" xfId="0" applyNumberFormat="1"/>
    <xf numFmtId="0" fontId="28" fillId="24" borderId="0" xfId="0" applyFont="1" applyFill="1"/>
    <xf numFmtId="0" fontId="33" fillId="0" borderId="31" xfId="0" applyFont="1" applyBorder="1"/>
    <xf numFmtId="0" fontId="67" fillId="51" borderId="0" xfId="0" applyFont="1" applyFill="1" applyAlignment="1">
      <alignment horizontal="center" vertical="center"/>
    </xf>
    <xf numFmtId="0" fontId="20" fillId="50" borderId="50" xfId="0" applyFont="1" applyFill="1" applyBorder="1" applyAlignment="1">
      <alignment horizontal="left" vertical="center" wrapText="1"/>
    </xf>
    <xf numFmtId="0" fontId="22" fillId="50" borderId="0" xfId="0" applyFont="1" applyFill="1" applyAlignment="1">
      <alignment horizontal="center" vertical="center"/>
    </xf>
    <xf numFmtId="0" fontId="20" fillId="50" borderId="0" xfId="0" applyFont="1" applyFill="1" applyAlignment="1">
      <alignment horizontal="center" vertical="center"/>
    </xf>
    <xf numFmtId="0" fontId="66" fillId="0" borderId="0" xfId="0" applyFont="1" applyAlignment="1">
      <alignment horizontal="right" vertical="center"/>
    </xf>
    <xf numFmtId="0" fontId="20" fillId="50" borderId="0" xfId="0" applyFont="1" applyFill="1" applyAlignment="1">
      <alignment horizontal="center" vertical="center" wrapText="1"/>
    </xf>
    <xf numFmtId="0" fontId="0" fillId="0" borderId="80" xfId="0" applyBorder="1"/>
    <xf numFmtId="0" fontId="0" fillId="0" borderId="66" xfId="0" applyBorder="1" applyAlignment="1">
      <alignment horizontal="center"/>
    </xf>
    <xf numFmtId="0" fontId="0" fillId="0" borderId="66" xfId="0" applyBorder="1"/>
    <xf numFmtId="0" fontId="0" fillId="0" borderId="82" xfId="0" applyBorder="1"/>
    <xf numFmtId="0" fontId="0" fillId="0" borderId="85" xfId="0" applyBorder="1" applyAlignment="1">
      <alignment horizontal="center"/>
    </xf>
    <xf numFmtId="0" fontId="0" fillId="0" borderId="85" xfId="0" applyBorder="1"/>
    <xf numFmtId="0" fontId="0" fillId="0" borderId="10" xfId="0" applyBorder="1"/>
    <xf numFmtId="0" fontId="0" fillId="0" borderId="86" xfId="0" applyBorder="1"/>
    <xf numFmtId="0" fontId="0" fillId="0" borderId="87" xfId="0" applyBorder="1" applyAlignment="1">
      <alignment horizontal="center"/>
    </xf>
    <xf numFmtId="0" fontId="0" fillId="0" borderId="87" xfId="0" applyBorder="1"/>
    <xf numFmtId="0" fontId="0" fillId="0" borderId="88" xfId="0" applyBorder="1"/>
    <xf numFmtId="0" fontId="0" fillId="0" borderId="90" xfId="0" applyBorder="1" applyAlignment="1">
      <alignment horizontal="center"/>
    </xf>
    <xf numFmtId="0" fontId="0" fillId="0" borderId="90" xfId="0" applyBorder="1"/>
    <xf numFmtId="0" fontId="0" fillId="0" borderId="91" xfId="0" applyBorder="1"/>
    <xf numFmtId="0" fontId="0" fillId="0" borderId="89" xfId="0" applyBorder="1"/>
    <xf numFmtId="0" fontId="59" fillId="24" borderId="10" xfId="0" applyFont="1" applyFill="1" applyBorder="1" applyAlignment="1">
      <alignment horizontal="center" vertical="center" wrapText="1"/>
    </xf>
    <xf numFmtId="0" fontId="59" fillId="24" borderId="11" xfId="0" applyFont="1" applyFill="1" applyBorder="1" applyAlignment="1">
      <alignment horizontal="center" vertical="center" wrapText="1"/>
    </xf>
    <xf numFmtId="0" fontId="59" fillId="24" borderId="0" xfId="0" applyFont="1" applyFill="1" applyAlignment="1">
      <alignment horizontal="center" vertical="center" wrapText="1"/>
    </xf>
    <xf numFmtId="0" fontId="0" fillId="0" borderId="92" xfId="0" applyBorder="1" applyAlignment="1">
      <alignment horizontal="center"/>
    </xf>
    <xf numFmtId="0" fontId="0" fillId="0" borderId="92" xfId="0" applyBorder="1"/>
    <xf numFmtId="0" fontId="0" fillId="0" borderId="94" xfId="0" applyBorder="1"/>
    <xf numFmtId="0" fontId="0" fillId="0" borderId="95" xfId="0" applyBorder="1"/>
    <xf numFmtId="10" fontId="67" fillId="51" borderId="0" xfId="0" applyNumberFormat="1" applyFont="1" applyFill="1" applyAlignment="1">
      <alignment horizontal="center" vertical="center"/>
    </xf>
    <xf numFmtId="0" fontId="71" fillId="52" borderId="0" xfId="0" applyFont="1" applyFill="1" applyAlignment="1">
      <alignment horizontal="center" vertical="center" wrapText="1"/>
    </xf>
    <xf numFmtId="0" fontId="72" fillId="44" borderId="0" xfId="0" applyFont="1" applyFill="1" applyAlignment="1">
      <alignment horizontal="center" vertical="center" wrapText="1"/>
    </xf>
    <xf numFmtId="0" fontId="72" fillId="47" borderId="0" xfId="0" applyFont="1" applyFill="1" applyAlignment="1">
      <alignment horizontal="center" wrapText="1"/>
    </xf>
    <xf numFmtId="164" fontId="0" fillId="0" borderId="0" xfId="0" applyNumberFormat="1" applyAlignment="1">
      <alignment wrapText="1"/>
    </xf>
    <xf numFmtId="164" fontId="71" fillId="52" borderId="0" xfId="0" applyNumberFormat="1" applyFon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2" fontId="0" fillId="0" borderId="0" xfId="4" applyNumberFormat="1" applyFont="1" applyAlignment="1">
      <alignment wrapText="1"/>
    </xf>
    <xf numFmtId="166" fontId="0" fillId="0" borderId="0" xfId="0" applyNumberFormat="1" applyAlignment="1">
      <alignment wrapText="1"/>
    </xf>
    <xf numFmtId="0" fontId="33" fillId="0" borderId="0" xfId="0" applyFont="1"/>
    <xf numFmtId="0" fontId="34" fillId="0" borderId="0" xfId="0" applyFont="1"/>
    <xf numFmtId="0" fontId="74" fillId="0" borderId="0" xfId="0" applyFont="1"/>
    <xf numFmtId="0" fontId="34" fillId="56" borderId="0" xfId="0" applyFont="1" applyFill="1" applyAlignment="1">
      <alignment horizontal="center"/>
    </xf>
    <xf numFmtId="167" fontId="0" fillId="57" borderId="0" xfId="0" applyNumberFormat="1" applyFill="1" applyAlignment="1">
      <alignment horizontal="center"/>
    </xf>
    <xf numFmtId="0" fontId="34" fillId="57" borderId="0" xfId="0" applyFont="1" applyFill="1" applyAlignment="1">
      <alignment horizontal="right"/>
    </xf>
    <xf numFmtId="0" fontId="34" fillId="57" borderId="0" xfId="0" applyFont="1" applyFill="1" applyAlignment="1">
      <alignment horizontal="center"/>
    </xf>
    <xf numFmtId="168" fontId="34" fillId="57" borderId="0" xfId="0" applyNumberFormat="1" applyFont="1" applyFill="1" applyAlignment="1">
      <alignment horizontal="center"/>
    </xf>
    <xf numFmtId="0" fontId="0" fillId="57" borderId="0" xfId="0" applyFill="1" applyAlignment="1">
      <alignment horizontal="right"/>
    </xf>
    <xf numFmtId="0" fontId="20" fillId="54" borderId="0" xfId="0" applyFont="1" applyFill="1" applyAlignment="1">
      <alignment horizontal="center"/>
    </xf>
    <xf numFmtId="0" fontId="34" fillId="58" borderId="0" xfId="0" applyFont="1" applyFill="1" applyAlignment="1">
      <alignment horizontal="center"/>
    </xf>
    <xf numFmtId="0" fontId="0" fillId="57" borderId="0" xfId="0" applyFill="1" applyAlignment="1">
      <alignment horizontal="center"/>
    </xf>
    <xf numFmtId="169" fontId="0" fillId="57" borderId="0" xfId="0" applyNumberFormat="1" applyFill="1" applyAlignment="1">
      <alignment horizontal="right"/>
    </xf>
    <xf numFmtId="0" fontId="0" fillId="60" borderId="0" xfId="0" applyFill="1" applyAlignment="1">
      <alignment horizontal="center"/>
    </xf>
    <xf numFmtId="0" fontId="0" fillId="60" borderId="0" xfId="0" applyFill="1" applyAlignment="1">
      <alignment horizontal="right"/>
    </xf>
    <xf numFmtId="0" fontId="34" fillId="60" borderId="0" xfId="0" applyFont="1" applyFill="1" applyAlignment="1">
      <alignment horizontal="right"/>
    </xf>
    <xf numFmtId="0" fontId="34" fillId="60" borderId="0" xfId="0" applyFont="1" applyFill="1" applyAlignment="1">
      <alignment horizontal="center"/>
    </xf>
    <xf numFmtId="168" fontId="34" fillId="60" borderId="0" xfId="0" applyNumberFormat="1" applyFont="1" applyFill="1" applyAlignment="1">
      <alignment horizontal="center"/>
    </xf>
    <xf numFmtId="169" fontId="0" fillId="60" borderId="0" xfId="0" applyNumberFormat="1" applyFill="1" applyAlignment="1">
      <alignment horizontal="right"/>
    </xf>
    <xf numFmtId="0" fontId="0" fillId="58" borderId="0" xfId="0" applyFill="1" applyAlignment="1">
      <alignment horizontal="center"/>
    </xf>
    <xf numFmtId="0" fontId="34" fillId="58" borderId="0" xfId="0" applyFont="1" applyFill="1" applyAlignment="1">
      <alignment horizontal="right"/>
    </xf>
    <xf numFmtId="168" fontId="34" fillId="58" borderId="0" xfId="0" applyNumberFormat="1" applyFont="1" applyFill="1" applyAlignment="1">
      <alignment horizontal="center"/>
    </xf>
    <xf numFmtId="1" fontId="34" fillId="57" borderId="0" xfId="0" applyNumberFormat="1" applyFont="1" applyFill="1" applyAlignment="1">
      <alignment horizontal="center"/>
    </xf>
    <xf numFmtId="1" fontId="34" fillId="53" borderId="0" xfId="0" applyNumberFormat="1" applyFont="1" applyFill="1" applyAlignment="1">
      <alignment horizontal="center"/>
    </xf>
    <xf numFmtId="1" fontId="34" fillId="59" borderId="0" xfId="0" applyNumberFormat="1" applyFont="1" applyFill="1" applyAlignment="1">
      <alignment horizontal="center"/>
    </xf>
    <xf numFmtId="0" fontId="34" fillId="53" borderId="0" xfId="0" applyFont="1" applyFill="1" applyAlignment="1">
      <alignment horizontal="center"/>
    </xf>
    <xf numFmtId="168" fontId="34" fillId="53" borderId="0" xfId="0" applyNumberFormat="1" applyFont="1" applyFill="1" applyAlignment="1">
      <alignment horizontal="center"/>
    </xf>
    <xf numFmtId="169" fontId="34" fillId="57" borderId="0" xfId="0" applyNumberFormat="1" applyFont="1" applyFill="1" applyAlignment="1">
      <alignment horizontal="center"/>
    </xf>
    <xf numFmtId="167" fontId="34" fillId="57" borderId="0" xfId="0" applyNumberFormat="1" applyFont="1" applyFill="1" applyAlignment="1">
      <alignment horizontal="center"/>
    </xf>
    <xf numFmtId="0" fontId="34" fillId="59" borderId="0" xfId="0" applyFont="1" applyFill="1" applyAlignment="1">
      <alignment horizontal="center"/>
    </xf>
    <xf numFmtId="0" fontId="0" fillId="51" borderId="34" xfId="0" applyFill="1" applyBorder="1" applyAlignment="1">
      <alignment vertical="center" wrapText="1"/>
    </xf>
    <xf numFmtId="0" fontId="67" fillId="51" borderId="0" xfId="0" applyFont="1" applyFill="1" applyAlignment="1">
      <alignment horizontal="center" vertical="center"/>
    </xf>
    <xf numFmtId="0" fontId="20" fillId="50" borderId="0" xfId="0" applyFont="1" applyFill="1" applyAlignment="1">
      <alignment horizontal="center" vertical="center"/>
    </xf>
    <xf numFmtId="0" fontId="20" fillId="50" borderId="47" xfId="0" applyFont="1" applyFill="1" applyBorder="1" applyAlignment="1">
      <alignment horizontal="left" vertical="center" wrapText="1"/>
    </xf>
    <xf numFmtId="0" fontId="20" fillId="50" borderId="0" xfId="0" applyFont="1" applyFill="1" applyAlignment="1">
      <alignment horizontal="left" vertical="center" wrapText="1"/>
    </xf>
    <xf numFmtId="0" fontId="22" fillId="50" borderId="0" xfId="0" applyFont="1" applyFill="1" applyAlignment="1">
      <alignment horizontal="center" vertical="center"/>
    </xf>
    <xf numFmtId="0" fontId="66" fillId="0" borderId="0" xfId="0" applyFont="1" applyAlignment="1">
      <alignment horizontal="right" vertical="center"/>
    </xf>
    <xf numFmtId="10" fontId="67" fillId="51" borderId="0" xfId="0" applyNumberFormat="1" applyFont="1" applyFill="1" applyAlignment="1">
      <alignment horizontal="center" vertical="center"/>
    </xf>
    <xf numFmtId="0" fontId="20" fillId="5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4" fillId="55" borderId="0" xfId="0" applyFont="1" applyFill="1" applyAlignment="1">
      <alignment horizontal="center"/>
    </xf>
    <xf numFmtId="0" fontId="73" fillId="56" borderId="0" xfId="0" applyFont="1" applyFill="1" applyAlignment="1">
      <alignment horizontal="center"/>
    </xf>
    <xf numFmtId="0" fontId="0" fillId="0" borderId="0" xfId="0" applyAlignment="1">
      <alignment vertical="center" wrapText="1"/>
    </xf>
    <xf numFmtId="0" fontId="20" fillId="20" borderId="0" xfId="0" applyFont="1" applyFill="1" applyAlignment="1">
      <alignment vertical="center" wrapText="1"/>
    </xf>
    <xf numFmtId="0" fontId="26" fillId="0" borderId="0" xfId="0" applyFont="1" applyAlignment="1">
      <alignment vertical="center" wrapText="1"/>
    </xf>
    <xf numFmtId="0" fontId="32" fillId="11" borderId="0" xfId="0" applyFont="1" applyFill="1" applyAlignment="1">
      <alignment vertical="center" wrapText="1"/>
    </xf>
    <xf numFmtId="0" fontId="23" fillId="18" borderId="0" xfId="0" applyFont="1" applyFill="1" applyAlignment="1">
      <alignment vertical="center" wrapText="1"/>
    </xf>
    <xf numFmtId="1" fontId="31" fillId="11" borderId="0" xfId="0" applyNumberFormat="1" applyFont="1" applyFill="1" applyAlignment="1">
      <alignment vertical="center" wrapText="1"/>
    </xf>
    <xf numFmtId="0" fontId="22" fillId="20" borderId="0" xfId="0" applyFont="1" applyFill="1" applyAlignment="1">
      <alignment vertical="center" wrapText="1"/>
    </xf>
    <xf numFmtId="164" fontId="31" fillId="11" borderId="0" xfId="0" applyNumberFormat="1" applyFont="1" applyFill="1" applyAlignment="1">
      <alignment vertical="center" wrapText="1"/>
    </xf>
    <xf numFmtId="0" fontId="22" fillId="43" borderId="0" xfId="0" applyFont="1" applyFill="1" applyAlignment="1">
      <alignment horizontal="center" vertical="center"/>
    </xf>
    <xf numFmtId="0" fontId="22" fillId="39" borderId="0" xfId="0" applyFont="1" applyFill="1" applyAlignment="1">
      <alignment horizontal="center" vertical="center"/>
    </xf>
    <xf numFmtId="0" fontId="62" fillId="40" borderId="0" xfId="0" applyFont="1" applyFill="1" applyAlignment="1">
      <alignment wrapText="1"/>
    </xf>
    <xf numFmtId="0" fontId="30" fillId="12" borderId="21" xfId="0" applyFont="1" applyFill="1" applyBorder="1" applyAlignment="1">
      <alignment wrapText="1"/>
    </xf>
    <xf numFmtId="0" fontId="0" fillId="0" borderId="20" xfId="0" applyBorder="1"/>
    <xf numFmtId="0" fontId="0" fillId="0" borderId="21" xfId="0" applyBorder="1"/>
    <xf numFmtId="0" fontId="2" fillId="20" borderId="0" xfId="0" applyFont="1" applyFill="1" applyAlignment="1">
      <alignment vertical="center" wrapText="1"/>
    </xf>
    <xf numFmtId="0" fontId="0" fillId="0" borderId="0" xfId="0"/>
    <xf numFmtId="0" fontId="2" fillId="20" borderId="0" xfId="0" applyFont="1" applyFill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59" fillId="24" borderId="78" xfId="0" applyFont="1" applyFill="1" applyBorder="1" applyAlignment="1">
      <alignment horizontal="center" vertical="center" wrapText="1"/>
    </xf>
    <xf numFmtId="0" fontId="61" fillId="24" borderId="79" xfId="0" applyFont="1" applyFill="1" applyBorder="1" applyAlignment="1">
      <alignment horizontal="center" vertical="center" wrapText="1"/>
    </xf>
    <xf numFmtId="0" fontId="40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61" fillId="24" borderId="22" xfId="0" applyFont="1" applyFill="1" applyBorder="1" applyAlignment="1">
      <alignment horizontal="center" vertical="center" wrapText="1"/>
    </xf>
    <xf numFmtId="0" fontId="59" fillId="24" borderId="67" xfId="0" applyFont="1" applyFill="1" applyBorder="1" applyAlignment="1">
      <alignment horizontal="center" vertical="center" wrapText="1"/>
    </xf>
    <xf numFmtId="0" fontId="61" fillId="24" borderId="68" xfId="0" applyFont="1" applyFill="1" applyBorder="1" applyAlignment="1">
      <alignment horizontal="center" vertical="center" wrapText="1"/>
    </xf>
    <xf numFmtId="0" fontId="59" fillId="24" borderId="81" xfId="0" applyFont="1" applyFill="1" applyBorder="1" applyAlignment="1">
      <alignment horizontal="center" vertical="center" wrapText="1"/>
    </xf>
    <xf numFmtId="0" fontId="61" fillId="24" borderId="81" xfId="0" applyFont="1" applyFill="1" applyBorder="1" applyAlignment="1">
      <alignment horizontal="center" vertical="center" wrapText="1"/>
    </xf>
    <xf numFmtId="0" fontId="59" fillId="24" borderId="83" xfId="0" applyFont="1" applyFill="1" applyBorder="1" applyAlignment="1">
      <alignment horizontal="center" vertical="center" wrapText="1"/>
    </xf>
    <xf numFmtId="0" fontId="61" fillId="24" borderId="84" xfId="0" applyFont="1" applyFill="1" applyBorder="1" applyAlignment="1">
      <alignment horizontal="center" vertical="center" wrapText="1"/>
    </xf>
    <xf numFmtId="0" fontId="61" fillId="24" borderId="93" xfId="0" applyFont="1" applyFill="1" applyBorder="1" applyAlignment="1">
      <alignment horizontal="center" vertical="center" wrapText="1"/>
    </xf>
    <xf numFmtId="0" fontId="73" fillId="9" borderId="0" xfId="0" applyFont="1" applyFill="1" applyAlignment="1">
      <alignment wrapText="1"/>
    </xf>
    <xf numFmtId="0" fontId="70" fillId="46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164" fontId="73" fillId="9" borderId="0" xfId="0" applyNumberFormat="1" applyFont="1" applyFill="1" applyAlignment="1">
      <alignment wrapText="1"/>
    </xf>
    <xf numFmtId="0" fontId="22" fillId="24" borderId="0" xfId="0" applyFont="1" applyFill="1" applyAlignment="1">
      <alignment horizontal="left" vertical="center"/>
    </xf>
    <xf numFmtId="0" fontId="37" fillId="25" borderId="0" xfId="0" applyFont="1" applyFill="1" applyAlignment="1">
      <alignment wrapText="1"/>
    </xf>
    <xf numFmtId="0" fontId="47" fillId="29" borderId="44" xfId="0" applyFont="1" applyFill="1" applyBorder="1" applyAlignment="1">
      <alignment vertical="top" wrapText="1"/>
    </xf>
    <xf numFmtId="0" fontId="44" fillId="29" borderId="45" xfId="0" applyFont="1" applyFill="1" applyBorder="1" applyAlignment="1">
      <alignment vertical="top" wrapText="1"/>
    </xf>
    <xf numFmtId="0" fontId="44" fillId="29" borderId="46" xfId="0" applyFont="1" applyFill="1" applyBorder="1" applyAlignment="1">
      <alignment vertical="top" wrapText="1"/>
    </xf>
    <xf numFmtId="0" fontId="44" fillId="29" borderId="47" xfId="0" applyFont="1" applyFill="1" applyBorder="1" applyAlignment="1">
      <alignment vertical="top" wrapText="1"/>
    </xf>
    <xf numFmtId="0" fontId="44" fillId="29" borderId="0" xfId="0" applyFont="1" applyFill="1" applyAlignment="1">
      <alignment vertical="top" wrapText="1"/>
    </xf>
    <xf numFmtId="0" fontId="44" fillId="29" borderId="48" xfId="0" applyFont="1" applyFill="1" applyBorder="1" applyAlignment="1">
      <alignment vertical="top" wrapText="1"/>
    </xf>
    <xf numFmtId="0" fontId="44" fillId="29" borderId="49" xfId="0" applyFont="1" applyFill="1" applyBorder="1" applyAlignment="1">
      <alignment vertical="top" wrapText="1"/>
    </xf>
    <xf numFmtId="0" fontId="44" fillId="29" borderId="50" xfId="0" applyFont="1" applyFill="1" applyBorder="1" applyAlignment="1">
      <alignment vertical="top" wrapText="1"/>
    </xf>
    <xf numFmtId="0" fontId="44" fillId="29" borderId="51" xfId="0" applyFont="1" applyFill="1" applyBorder="1" applyAlignment="1">
      <alignment vertical="top" wrapText="1"/>
    </xf>
    <xf numFmtId="0" fontId="22" fillId="22" borderId="0" xfId="0" applyFont="1" applyFill="1" applyAlignment="1">
      <alignment horizontal="left" vertical="center"/>
    </xf>
    <xf numFmtId="0" fontId="46" fillId="24" borderId="0" xfId="0" applyFont="1" applyFill="1" applyAlignment="1">
      <alignment horizontal="center" vertical="center"/>
    </xf>
    <xf numFmtId="0" fontId="28" fillId="24" borderId="0" xfId="0" applyFont="1" applyFill="1" applyAlignment="1">
      <alignment horizontal="center" vertical="center"/>
    </xf>
    <xf numFmtId="0" fontId="55" fillId="33" borderId="61" xfId="0" applyFont="1" applyFill="1" applyBorder="1" applyAlignment="1">
      <alignment horizontal="center" vertical="center"/>
    </xf>
    <xf numFmtId="0" fontId="2" fillId="22" borderId="0" xfId="0" applyFont="1" applyFill="1" applyAlignment="1">
      <alignment vertical="center" wrapText="1"/>
    </xf>
    <xf numFmtId="0" fontId="20" fillId="22" borderId="0" xfId="0" applyFont="1" applyFill="1"/>
    <xf numFmtId="0" fontId="0" fillId="0" borderId="31" xfId="0" applyBorder="1" applyAlignment="1">
      <alignment wrapText="1"/>
    </xf>
    <xf numFmtId="0" fontId="0" fillId="0" borderId="31" xfId="0" applyBorder="1"/>
    <xf numFmtId="0" fontId="3" fillId="14" borderId="0" xfId="0" applyFont="1" applyFill="1" applyAlignment="1">
      <alignment vertical="center" wrapText="1"/>
    </xf>
    <xf numFmtId="0" fontId="20" fillId="20" borderId="0" xfId="0" applyFont="1" applyFill="1"/>
    <xf numFmtId="0" fontId="25" fillId="20" borderId="0" xfId="0" applyFont="1" applyFill="1" applyAlignment="1">
      <alignment vertical="center" wrapText="1"/>
    </xf>
    <xf numFmtId="0" fontId="20" fillId="10" borderId="23" xfId="0" applyFont="1" applyFill="1" applyBorder="1" applyAlignment="1">
      <alignment vertical="center" wrapText="1"/>
    </xf>
    <xf numFmtId="0" fontId="0" fillId="0" borderId="28" xfId="0" applyBorder="1"/>
    <xf numFmtId="0" fontId="0" fillId="0" borderId="29" xfId="0" applyBorder="1"/>
    <xf numFmtId="0" fontId="29" fillId="0" borderId="30" xfId="0" applyFon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23" fillId="11" borderId="30" xfId="0" applyFont="1" applyFill="1" applyBorder="1" applyAlignment="1">
      <alignment horizontal="center"/>
    </xf>
    <xf numFmtId="0" fontId="27" fillId="0" borderId="23" xfId="0" applyFont="1" applyBorder="1" applyAlignment="1">
      <alignment vertical="center"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164" fontId="27" fillId="0" borderId="23" xfId="0" applyNumberFormat="1" applyFont="1" applyBorder="1" applyAlignment="1">
      <alignment vertical="center" wrapText="1"/>
    </xf>
    <xf numFmtId="0" fontId="20" fillId="6" borderId="0" xfId="0" applyFont="1" applyFill="1" applyAlignment="1">
      <alignment vertical="center" wrapText="1"/>
    </xf>
    <xf numFmtId="0" fontId="28" fillId="12" borderId="0" xfId="0" applyFont="1" applyFill="1" applyAlignment="1">
      <alignment horizontal="center"/>
    </xf>
    <xf numFmtId="0" fontId="48" fillId="30" borderId="52" xfId="0" applyFont="1" applyFill="1" applyBorder="1" applyAlignment="1">
      <alignment horizontal="center"/>
    </xf>
    <xf numFmtId="0" fontId="48" fillId="30" borderId="53" xfId="0" applyFont="1" applyFill="1" applyBorder="1" applyAlignment="1">
      <alignment horizontal="center"/>
    </xf>
    <xf numFmtId="0" fontId="48" fillId="30" borderId="54" xfId="0" applyFont="1" applyFill="1" applyBorder="1" applyAlignment="1">
      <alignment horizontal="center"/>
    </xf>
    <xf numFmtId="0" fontId="4" fillId="0" borderId="2" xfId="0" applyFont="1" applyBorder="1" applyAlignment="1">
      <alignment vertical="center" wrapText="1"/>
    </xf>
    <xf numFmtId="0" fontId="0" fillId="0" borderId="18" xfId="0" applyBorder="1"/>
    <xf numFmtId="0" fontId="0" fillId="0" borderId="19" xfId="0" applyBorder="1"/>
    <xf numFmtId="0" fontId="22" fillId="20" borderId="0" xfId="0" applyFont="1" applyFill="1" applyAlignment="1">
      <alignment horizontal="left" vertical="center"/>
    </xf>
    <xf numFmtId="0" fontId="20" fillId="20" borderId="34" xfId="0" applyFont="1" applyFill="1" applyBorder="1" applyAlignment="1">
      <alignment vertical="center" wrapText="1"/>
    </xf>
    <xf numFmtId="0" fontId="0" fillId="0" borderId="35" xfId="0" applyBorder="1"/>
    <xf numFmtId="0" fontId="0" fillId="0" borderId="36" xfId="0" applyBorder="1"/>
    <xf numFmtId="0" fontId="62" fillId="44" borderId="0" xfId="0" applyFont="1" applyFill="1" applyAlignment="1">
      <alignment wrapText="1"/>
    </xf>
    <xf numFmtId="0" fontId="59" fillId="46" borderId="0" xfId="0" applyFont="1" applyFill="1" applyAlignment="1">
      <alignment horizontal="center" vertical="center" wrapText="1"/>
    </xf>
    <xf numFmtId="0" fontId="20" fillId="14" borderId="0" xfId="0" applyFont="1" applyFill="1" applyAlignment="1">
      <alignment horizontal="center" vertical="center" wrapText="1"/>
    </xf>
    <xf numFmtId="0" fontId="20" fillId="38" borderId="0" xfId="0" applyFont="1" applyFill="1" applyAlignment="1">
      <alignment horizontal="center" vertical="center" wrapText="1"/>
    </xf>
    <xf numFmtId="0" fontId="59" fillId="43" borderId="0" xfId="0" applyFont="1" applyFill="1" applyAlignment="1">
      <alignment horizontal="center" vertical="center" wrapText="1"/>
    </xf>
    <xf numFmtId="0" fontId="20" fillId="41" borderId="0" xfId="0" applyFont="1" applyFill="1" applyAlignment="1">
      <alignment horizontal="center" vertical="center" wrapText="1"/>
    </xf>
    <xf numFmtId="0" fontId="20" fillId="41" borderId="31" xfId="0" applyFont="1" applyFill="1" applyBorder="1" applyAlignment="1">
      <alignment horizontal="center" vertical="center" wrapText="1"/>
    </xf>
    <xf numFmtId="0" fontId="64" fillId="41" borderId="0" xfId="0" applyFont="1" applyFill="1" applyAlignment="1">
      <alignment horizontal="center" vertical="center" wrapText="1"/>
    </xf>
    <xf numFmtId="0" fontId="20" fillId="14" borderId="31" xfId="0" applyFont="1" applyFill="1" applyBorder="1" applyAlignment="1">
      <alignment horizontal="center" vertical="center" wrapText="1"/>
    </xf>
  </cellXfs>
  <cellStyles count="5">
    <cellStyle name="Moeda" xfId="3" xr:uid="{00000000-0005-0000-0000-000000000000}"/>
    <cellStyle name="Normal" xfId="0" builtinId="0"/>
    <cellStyle name="Normal 2" xfId="1" xr:uid="{00000000-0005-0000-0000-000002000000}"/>
    <cellStyle name="Nota 2" xfId="2" xr:uid="{00000000-0005-0000-0000-000003000000}"/>
    <cellStyle name="Porcentagem" xfId="4" xr:uid="{00000000-0005-0000-0000-000004000000}"/>
  </cellStyles>
  <dxfs count="183">
    <dxf>
      <font>
        <b/>
        <color rgb="FF274E1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274E13"/>
      </font>
      <fill>
        <patternFill>
          <bgColor rgb="FFE2F0D9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1F4E78"/>
      </font>
      <fill>
        <patternFill>
          <bgColor rgb="FFDDEBF7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</font>
      <fill>
        <patternFill>
          <bgColor rgb="FFDBEAFE"/>
        </patternFill>
      </fill>
    </dxf>
    <dxf>
      <font>
        <b/>
      </font>
      <fill>
        <patternFill>
          <bgColor rgb="FFDCFCE7"/>
        </patternFill>
      </fill>
    </dxf>
    <dxf>
      <font>
        <b/>
      </font>
      <fill>
        <patternFill>
          <bgColor rgb="FFFEF3C7"/>
        </patternFill>
      </fill>
    </dxf>
    <dxf>
      <font>
        <b/>
      </font>
      <fill>
        <patternFill>
          <bgColor rgb="FFFECACA"/>
        </patternFill>
      </fill>
    </dxf>
    <dxf>
      <font>
        <b/>
        <color rgb="FF9C0006"/>
      </font>
      <fill>
        <patternFill>
          <bgColor rgb="FFF8CBAD"/>
        </patternFill>
      </fill>
    </dxf>
    <dxf>
      <font>
        <b/>
      </font>
      <fill>
        <patternFill>
          <bgColor rgb="FFDCFCE7"/>
        </patternFill>
      </fill>
    </dxf>
    <dxf>
      <font>
        <b/>
      </font>
      <fill>
        <patternFill>
          <bgColor rgb="FFFEF3C7"/>
        </patternFill>
      </fill>
    </dxf>
    <dxf>
      <font>
        <b/>
      </font>
      <fill>
        <patternFill>
          <bgColor rgb="FFFECACA"/>
        </patternFill>
      </fill>
    </dxf>
    <dxf>
      <font>
        <b/>
        <color rgb="FF991B1B"/>
      </font>
      <fill>
        <patternFill>
          <bgColor rgb="FFFECACA"/>
        </patternFill>
      </fill>
    </dxf>
    <dxf>
      <font>
        <b/>
      </font>
      <fill>
        <patternFill>
          <bgColor rgb="FFE0F2FE"/>
        </patternFill>
      </fill>
    </dxf>
    <dxf>
      <fill>
        <patternFill>
          <bgColor rgb="FFFFF2CC"/>
        </patternFill>
      </fill>
    </dxf>
    <dxf>
      <font>
        <b/>
      </font>
      <fill>
        <patternFill>
          <bgColor rgb="FFDCFCE7"/>
        </patternFill>
      </fill>
    </dxf>
    <dxf>
      <font>
        <b/>
      </font>
      <fill>
        <patternFill>
          <bgColor rgb="FFFEF3C7"/>
        </patternFill>
      </fill>
    </dxf>
    <dxf>
      <font>
        <b/>
      </font>
      <fill>
        <patternFill>
          <bgColor rgb="FFFECACA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</font>
      <fill>
        <patternFill patternType="solid">
          <bgColor rgb="FFFFF2CC"/>
        </patternFill>
      </fill>
    </dxf>
    <dxf>
      <font>
        <b/>
      </font>
      <fill>
        <patternFill patternType="solid">
          <bgColor rgb="FFD9EAD3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</font>
      <fill>
        <patternFill>
          <bgColor rgb="FFD9EAD3"/>
        </patternFill>
      </fill>
    </dxf>
    <dxf>
      <font>
        <b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</font>
      <fill>
        <patternFill>
          <bgColor rgb="FFD9EAD3"/>
        </patternFill>
      </fill>
    </dxf>
    <dxf>
      <font>
        <b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ont>
        <color rgb="FF9C0006"/>
      </font>
      <fill>
        <patternFill>
          <bgColor rgb="FFF4CC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ont>
        <color rgb="FF9C0006"/>
      </font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C6EFCE"/>
        </patternFill>
      </fill>
    </dxf>
    <dxf>
      <fill>
        <patternFill>
          <bgColor rgb="FFFFD966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1D4ED8"/>
      </font>
      <fill>
        <patternFill>
          <bgColor rgb="FFDBEAFE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92400E"/>
      </font>
      <fill>
        <patternFill>
          <bgColor rgb="FFFEF3C7"/>
        </patternFill>
      </fill>
    </dxf>
    <dxf>
      <font>
        <b/>
        <color rgb="FF991B1B"/>
      </font>
      <fill>
        <patternFill>
          <bgColor rgb="FFFECACA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DDEBF7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92400E"/>
      </font>
      <fill>
        <patternFill>
          <bgColor rgb="FFFEF3C7"/>
        </patternFill>
      </fill>
    </dxf>
    <dxf>
      <font>
        <b/>
        <color rgb="FF991B1B"/>
      </font>
      <fill>
        <patternFill>
          <bgColor rgb="FFFECACA"/>
        </patternFill>
      </fill>
    </dxf>
    <dxf>
      <font>
        <b/>
        <color rgb="FF0C4A6E"/>
      </font>
      <fill>
        <patternFill>
          <bgColor rgb="FFE0F2FE"/>
        </patternFill>
      </fill>
    </dxf>
    <dxf>
      <font>
        <b/>
      </font>
      <fill>
        <patternFill>
          <bgColor rgb="FFDCFCE7"/>
        </patternFill>
      </fill>
    </dxf>
    <dxf>
      <font>
        <b/>
      </font>
      <fill>
        <patternFill>
          <bgColor rgb="FFFEF3C7"/>
        </patternFill>
      </fill>
    </dxf>
    <dxf>
      <font>
        <b/>
      </font>
      <fill>
        <patternFill>
          <bgColor rgb="FFFECACA"/>
        </patternFill>
      </fill>
    </dxf>
    <dxf>
      <font>
        <b/>
        <color rgb="FF1D4ED8"/>
      </font>
      <fill>
        <patternFill>
          <bgColor rgb="FFDBEAFE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92400E"/>
      </font>
      <fill>
        <patternFill>
          <bgColor rgb="FFFEF3C7"/>
        </patternFill>
      </fill>
    </dxf>
    <dxf>
      <font>
        <b/>
        <color rgb="FF991B1B"/>
      </font>
      <fill>
        <patternFill>
          <bgColor rgb="FFFECACA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DDEBF7"/>
        </patternFill>
      </fill>
    </dxf>
    <dxf>
      <fill>
        <patternFill>
          <bgColor rgb="FFFFF2CC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D966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FFD966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i val="0"/>
        <color rgb="FF0051E6"/>
      </font>
      <fill>
        <patternFill>
          <bgColor rgb="FFE1F8FF"/>
        </patternFill>
      </fill>
    </dxf>
    <dxf>
      <font>
        <b/>
        <i val="0"/>
        <color rgb="FF327D2E"/>
      </font>
      <fill>
        <patternFill>
          <bgColor rgb="FFE9F5E8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0051E6"/>
      </font>
      <fill>
        <patternFill>
          <bgColor rgb="FFE1F8FF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000000"/>
      </font>
      <fill>
        <patternFill>
          <bgColor rgb="FFE1F8FF"/>
        </patternFill>
      </fill>
    </dxf>
    <dxf>
      <font>
        <b/>
        <i val="0"/>
        <color rgb="FF000000"/>
      </font>
      <fill>
        <patternFill>
          <bgColor rgb="FFE9F5E8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000000"/>
      </font>
      <fill>
        <patternFill>
          <bgColor rgb="FFE1F8FF"/>
        </patternFill>
      </fill>
    </dxf>
    <dxf>
      <font>
        <b/>
        <i val="0"/>
        <color rgb="FF000000"/>
      </font>
      <fill>
        <patternFill>
          <bgColor rgb="FFE9F5E8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000000"/>
      </font>
      <fill>
        <patternFill>
          <bgColor rgb="FFE1F8FF"/>
        </patternFill>
      </fill>
    </dxf>
    <dxf>
      <font>
        <b/>
        <i val="0"/>
        <color rgb="FF000000"/>
      </font>
      <fill>
        <patternFill>
          <bgColor rgb="FFE9F5E8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000000"/>
      </font>
      <fill>
        <patternFill>
          <bgColor rgb="FFE1F8FF"/>
        </patternFill>
      </fill>
    </dxf>
    <dxf>
      <font>
        <b/>
        <i val="0"/>
        <color rgb="FF000000"/>
      </font>
      <fill>
        <patternFill>
          <bgColor rgb="FFE9F5E8"/>
        </patternFill>
      </fill>
    </dxf>
    <dxf>
      <font>
        <b/>
        <i val="0"/>
        <color rgb="FF2828C6"/>
      </font>
      <fill>
        <patternFill>
          <bgColor rgb="FFEEEBFF"/>
        </patternFill>
      </fill>
    </dxf>
    <dxf>
      <font>
        <b/>
        <i val="0"/>
        <color rgb="FF000000"/>
      </font>
      <fill>
        <patternFill>
          <bgColor rgb="FFE1F8FF"/>
        </patternFill>
      </fill>
    </dxf>
    <dxf>
      <font>
        <b/>
        <i val="0"/>
        <color rgb="FF000000"/>
      </font>
      <fill>
        <patternFill>
          <bgColor rgb="FFE9F5E8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i val="0"/>
        <color rgb="FFFFFFFF"/>
      </font>
      <fill>
        <patternFill>
          <bgColor rgb="FF3643F4"/>
        </patternFill>
      </fill>
    </dxf>
    <dxf>
      <font>
        <b/>
        <i val="0"/>
        <color rgb="FF000000"/>
      </font>
      <fill>
        <patternFill>
          <bgColor rgb="FF07C1FF"/>
        </patternFill>
      </fill>
    </dxf>
    <dxf>
      <font>
        <b/>
        <i val="0"/>
        <color rgb="FFFFFFFF"/>
      </font>
      <fill>
        <patternFill>
          <bgColor rgb="FF50AF4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  <dxf>
      <font>
        <b/>
        <color rgb="FF274E13"/>
      </font>
      <fill>
        <patternFill>
          <bgColor rgb="FFE2F0D9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9C0006"/>
      </font>
      <fill>
        <patternFill>
          <bgColor rgb="FFF4CC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3C7"/>
      <rgbColor rgb="FFFF00FF"/>
      <rgbColor rgb="FFDDEBF7"/>
      <rgbColor rgb="FF9C0006"/>
      <rgbColor rgb="FF166534"/>
      <rgbColor rgb="FF000080"/>
      <rgbColor rgb="FF7F6000"/>
      <rgbColor rgb="FF800080"/>
      <rgbColor rgb="FF0F766E"/>
      <rgbColor rgb="FFB2B2B2"/>
      <rgbColor rgb="FFDBEAFE"/>
      <rgbColor rgb="FF5B9BD5"/>
      <rgbColor rgb="FF993366"/>
      <rgbColor rgb="FFFFFFCC"/>
      <rgbColor rgb="FFDCFCE7"/>
      <rgbColor rgb="FF660066"/>
      <rgbColor rgb="FFFECACA"/>
      <rgbColor rgb="FF1D4ED8"/>
      <rgbColor rgb="FFD9D9D9"/>
      <rgbColor rgb="FF000080"/>
      <rgbColor rgb="FFFF00FF"/>
      <rgbColor rgb="FFFFF2CC"/>
      <rgbColor rgb="FFE2F0D9"/>
      <rgbColor rgb="FF800080"/>
      <rgbColor rgb="FF991B1B"/>
      <rgbColor rgb="FF0C4A6E"/>
      <rgbColor rgb="FF0000FF"/>
      <rgbColor rgb="FFF4F9FD"/>
      <rgbColor rgb="FFE0F2FE"/>
      <rgbColor rgb="FFC6EFCE"/>
      <rgbColor rgb="FFFFEB9C"/>
      <rgbColor rgb="FFD9E2F3"/>
      <rgbColor rgb="FFFFC7CE"/>
      <rgbColor rgb="FFF4CCCC"/>
      <rgbColor rgb="FFF8CBAD"/>
      <rgbColor rgb="FF3366FF"/>
      <rgbColor rgb="FFD9EAF7"/>
      <rgbColor rgb="FFB4E5A2"/>
      <rgbColor rgb="FFFCE4D6"/>
      <rgbColor rgb="FFE7E6E6"/>
      <rgbColor rgb="FFFF6600"/>
      <rgbColor rgb="FF666699"/>
      <rgbColor rgb="FFD9EAD3"/>
      <rgbColor rgb="FF0B3B3C"/>
      <rgbColor rgb="FF00B050"/>
      <rgbColor rgb="FF0F172A"/>
      <rgbColor rgb="FF274E13"/>
      <rgbColor rgb="FF92400E"/>
      <rgbColor rgb="FF993366"/>
      <rgbColor rgb="FF1F4E78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r>
              <a:rPr lang="pt-BR"/>
              <a:t>Avanço por Rua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Dashboard_Final!$G$10</c:f>
              <c:strCache>
                <c:ptCount val="1"/>
                <c:pt idx="0">
                  <c:v>0,0%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Dashboard_Final!$A$11:$A$15</c:f>
              <c:strCache>
                <c:ptCount val="4"/>
                <c:pt idx="0">
                  <c:v>SETOR 02</c:v>
                </c:pt>
                <c:pt idx="1">
                  <c:v>SETOR 03</c:v>
                </c:pt>
                <c:pt idx="2">
                  <c:v>SETOR 04</c:v>
                </c:pt>
                <c:pt idx="3">
                  <c:v>SETOR 05</c:v>
                </c:pt>
              </c:strCache>
            </c:strRef>
          </c:cat>
          <c:val>
            <c:numRef>
              <c:f>Dashboard_Final!$G$11:$G$15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2-400F-8C87-A8F7CB56F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r>
                  <a:rPr lang="pt-BR"/>
                  <a:t>Rua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r>
                  <a:rPr lang="pt-BR"/>
                  <a:t>% avanço</a:t>
                </a:r>
              </a:p>
            </c:rich>
          </c:tx>
          <c:overlay val="1"/>
        </c:title>
        <c:numFmt formatCode="0.0%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r>
              <a:rPr lang="pt-BR"/>
              <a:t>Saúde do estoque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Dashboard_Final!$K$10</c:f>
              <c:strCache>
                <c:ptCount val="1"/>
                <c:pt idx="0">
                  <c:v>178</c:v>
                </c:pt>
              </c:strCache>
            </c:strRef>
          </c:tx>
          <c:spPr>
            <a:ln>
              <a:prstDash val="solid"/>
            </a:ln>
          </c:spPr>
          <c:cat>
            <c:strRef>
              <c:f>Dashboard_Final!$J$11:$J$13</c:f>
              <c:strCache>
                <c:ptCount val="2"/>
                <c:pt idx="0">
                  <c:v>ATENÇÃO</c:v>
                </c:pt>
                <c:pt idx="1">
                  <c:v>CRÍTICO</c:v>
                </c:pt>
              </c:strCache>
            </c:strRef>
          </c:cat>
          <c:val>
            <c:numRef>
              <c:f>Dashboard_Final!$K$11:$K$13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5-4926-9B81-251471C25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pt-BR"/>
              <a:t>Consumo físico por empresa — participação por item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0476904290706977"/>
          <c:y val="5.7386951631046117E-2"/>
          <c:w val="0.86906690808034026"/>
          <c:h val="0.70111642294713161"/>
        </c:manualLayout>
      </c:layout>
      <c:barChart>
        <c:barDir val="col"/>
        <c:grouping val="clustered"/>
        <c:varyColors val="0"/>
        <c:ser>
          <c:idx val="0"/>
          <c:order val="0"/>
          <c:tx>
            <c:v>FÍSICO EJ</c:v>
          </c:tx>
          <c:invertIfNegative val="1"/>
          <c:cat>
            <c:strRef>
              <c:f>[2]KPI_CONSUMO_EMPRESA!$B$11:$B$34</c:f>
              <c:strCache>
                <c:ptCount val="24"/>
                <c:pt idx="0">
                  <c:v>PARABOLT Ø1/2" X 4"</c:v>
                </c:pt>
                <c:pt idx="1">
                  <c:v>PARAF. AB Ø1/4" X 1/2"</c:v>
                </c:pt>
                <c:pt idx="2">
                  <c:v>PARAF. AB Ø1/4" X 2"</c:v>
                </c:pt>
                <c:pt idx="3">
                  <c:v>PARAF. AB Ø1/4" X 3/4"</c:v>
                </c:pt>
                <c:pt idx="4">
                  <c:v>PARAF. Ø1/2" X 1 3/4"</c:v>
                </c:pt>
                <c:pt idx="5">
                  <c:v>PARAF. Ø1/2" X 2 1/4"</c:v>
                </c:pt>
                <c:pt idx="6">
                  <c:v>PARAF. Ø1/2" X 2"</c:v>
                </c:pt>
                <c:pt idx="7">
                  <c:v>PARAF. Ø3/8" X 1 1/2"</c:v>
                </c:pt>
                <c:pt idx="8">
                  <c:v>PARAF. Ø3/8" X 1 1/4"</c:v>
                </c:pt>
                <c:pt idx="9">
                  <c:v>PARAF. Ø3/8" X 1 3/4"</c:v>
                </c:pt>
                <c:pt idx="10">
                  <c:v>PARAF. Ø3/8" X 1"</c:v>
                </c:pt>
                <c:pt idx="11">
                  <c:v>PARAF. Ø7/8" X 2 1/4"</c:v>
                </c:pt>
                <c:pt idx="12">
                  <c:v>PARAF. Ø7/8" X 2 3/4"</c:v>
                </c:pt>
                <c:pt idx="13">
                  <c:v>PARAF. Ø7/8" X 2"</c:v>
                </c:pt>
                <c:pt idx="14">
                  <c:v>PORCA Ø1/2"</c:v>
                </c:pt>
                <c:pt idx="15">
                  <c:v>PORCA Ø7/8"</c:v>
                </c:pt>
                <c:pt idx="16">
                  <c:v>ARRUELA Ø1/2"</c:v>
                </c:pt>
                <c:pt idx="17">
                  <c:v>PARAF. Ø1/2" X 1 1/2"</c:v>
                </c:pt>
                <c:pt idx="18">
                  <c:v>ARRUELA Ø7/8"</c:v>
                </c:pt>
                <c:pt idx="19">
                  <c:v>PORCA Ø1"</c:v>
                </c:pt>
                <c:pt idx="20">
                  <c:v>PORCA Ø3/4"</c:v>
                </c:pt>
                <c:pt idx="21">
                  <c:v>ARRUELA Ø1"</c:v>
                </c:pt>
                <c:pt idx="22">
                  <c:v>ARRUELA Ø3/4"</c:v>
                </c:pt>
                <c:pt idx="23">
                  <c:v>PARAF. Ø3/8" X 1"</c:v>
                </c:pt>
              </c:strCache>
            </c:strRef>
          </c:cat>
          <c:val>
            <c:numRef>
              <c:f>[2]KPI_CONSUMO_EMPRESA!$C$11:$C$34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500</c:v>
                </c:pt>
                <c:pt idx="5">
                  <c:v>193</c:v>
                </c:pt>
                <c:pt idx="6">
                  <c:v>414</c:v>
                </c:pt>
                <c:pt idx="7">
                  <c:v>360</c:v>
                </c:pt>
                <c:pt idx="8">
                  <c:v>0</c:v>
                </c:pt>
                <c:pt idx="9">
                  <c:v>0</c:v>
                </c:pt>
                <c:pt idx="10">
                  <c:v>150</c:v>
                </c:pt>
                <c:pt idx="11">
                  <c:v>229</c:v>
                </c:pt>
                <c:pt idx="12">
                  <c:v>0</c:v>
                </c:pt>
                <c:pt idx="13">
                  <c:v>0</c:v>
                </c:pt>
                <c:pt idx="14">
                  <c:v>1090</c:v>
                </c:pt>
                <c:pt idx="15">
                  <c:v>259</c:v>
                </c:pt>
                <c:pt idx="16">
                  <c:v>1169</c:v>
                </c:pt>
                <c:pt idx="17">
                  <c:v>0</c:v>
                </c:pt>
                <c:pt idx="18">
                  <c:v>229</c:v>
                </c:pt>
                <c:pt idx="19">
                  <c:v>110</c:v>
                </c:pt>
                <c:pt idx="20">
                  <c:v>6</c:v>
                </c:pt>
                <c:pt idx="21">
                  <c:v>100</c:v>
                </c:pt>
                <c:pt idx="22">
                  <c:v>6</c:v>
                </c:pt>
                <c:pt idx="23">
                  <c:v>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5-498C-BE1C-ACE29158DDEB}"/>
            </c:ext>
          </c:extLst>
        </c:ser>
        <c:ser>
          <c:idx val="1"/>
          <c:order val="1"/>
          <c:tx>
            <c:v>% EJ DO FÍSICO</c:v>
          </c:tx>
          <c:invertIfNegative val="1"/>
          <c:cat>
            <c:strRef>
              <c:f>[2]KPI_CONSUMO_EMPRESA!$B$11:$B$34</c:f>
              <c:strCache>
                <c:ptCount val="24"/>
                <c:pt idx="0">
                  <c:v>PARABOLT Ø1/2" X 4"</c:v>
                </c:pt>
                <c:pt idx="1">
                  <c:v>PARAF. AB Ø1/4" X 1/2"</c:v>
                </c:pt>
                <c:pt idx="2">
                  <c:v>PARAF. AB Ø1/4" X 2"</c:v>
                </c:pt>
                <c:pt idx="3">
                  <c:v>PARAF. AB Ø1/4" X 3/4"</c:v>
                </c:pt>
                <c:pt idx="4">
                  <c:v>PARAF. Ø1/2" X 1 3/4"</c:v>
                </c:pt>
                <c:pt idx="5">
                  <c:v>PARAF. Ø1/2" X 2 1/4"</c:v>
                </c:pt>
                <c:pt idx="6">
                  <c:v>PARAF. Ø1/2" X 2"</c:v>
                </c:pt>
                <c:pt idx="7">
                  <c:v>PARAF. Ø3/8" X 1 1/2"</c:v>
                </c:pt>
                <c:pt idx="8">
                  <c:v>PARAF. Ø3/8" X 1 1/4"</c:v>
                </c:pt>
                <c:pt idx="9">
                  <c:v>PARAF. Ø3/8" X 1 3/4"</c:v>
                </c:pt>
                <c:pt idx="10">
                  <c:v>PARAF. Ø3/8" X 1"</c:v>
                </c:pt>
                <c:pt idx="11">
                  <c:v>PARAF. Ø7/8" X 2 1/4"</c:v>
                </c:pt>
                <c:pt idx="12">
                  <c:v>PARAF. Ø7/8" X 2 3/4"</c:v>
                </c:pt>
                <c:pt idx="13">
                  <c:v>PARAF. Ø7/8" X 2"</c:v>
                </c:pt>
                <c:pt idx="14">
                  <c:v>PORCA Ø1/2"</c:v>
                </c:pt>
                <c:pt idx="15">
                  <c:v>PORCA Ø7/8"</c:v>
                </c:pt>
                <c:pt idx="16">
                  <c:v>ARRUELA Ø1/2"</c:v>
                </c:pt>
                <c:pt idx="17">
                  <c:v>PARAF. Ø1/2" X 1 1/2"</c:v>
                </c:pt>
                <c:pt idx="18">
                  <c:v>ARRUELA Ø7/8"</c:v>
                </c:pt>
                <c:pt idx="19">
                  <c:v>PORCA Ø1"</c:v>
                </c:pt>
                <c:pt idx="20">
                  <c:v>PORCA Ø3/4"</c:v>
                </c:pt>
                <c:pt idx="21">
                  <c:v>ARRUELA Ø1"</c:v>
                </c:pt>
                <c:pt idx="22">
                  <c:v>ARRUELA Ø3/4"</c:v>
                </c:pt>
                <c:pt idx="23">
                  <c:v>PARAF. Ø3/8" X 1"</c:v>
                </c:pt>
              </c:strCache>
            </c:strRef>
          </c:cat>
          <c:val>
            <c:numRef>
              <c:f>[2]KPI_CONSUMO_EMPRESA!$D$11:$D$34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0.73313782991202348</c:v>
                </c:pt>
                <c:pt idx="5">
                  <c:v>0.83549783549783552</c:v>
                </c:pt>
                <c:pt idx="6">
                  <c:v>0.65714285714285714</c:v>
                </c:pt>
                <c:pt idx="7">
                  <c:v>0.66666666666666663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0.57974683544303796</c:v>
                </c:pt>
                <c:pt idx="12">
                  <c:v>0</c:v>
                </c:pt>
                <c:pt idx="13">
                  <c:v>0</c:v>
                </c:pt>
                <c:pt idx="14">
                  <c:v>0.4774419623302672</c:v>
                </c:pt>
                <c:pt idx="15">
                  <c:v>0.56673960612691465</c:v>
                </c:pt>
                <c:pt idx="16">
                  <c:v>0.44584286803966439</c:v>
                </c:pt>
                <c:pt idx="17">
                  <c:v>0</c:v>
                </c:pt>
                <c:pt idx="18">
                  <c:v>0.60742705570291777</c:v>
                </c:pt>
                <c:pt idx="19">
                  <c:v>0.60439560439560436</c:v>
                </c:pt>
                <c:pt idx="20">
                  <c:v>0.25</c:v>
                </c:pt>
                <c:pt idx="21">
                  <c:v>0.58139534883720934</c:v>
                </c:pt>
                <c:pt idx="22">
                  <c:v>0.13043478260869565</c:v>
                </c:pt>
                <c:pt idx="23">
                  <c:v>0.42891672159964844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5-498C-BE1C-ACE29158DDEB}"/>
            </c:ext>
          </c:extLst>
        </c:ser>
        <c:ser>
          <c:idx val="2"/>
          <c:order val="2"/>
          <c:tx>
            <c:v>FÍSICO CMM</c:v>
          </c:tx>
          <c:invertIfNegative val="1"/>
          <c:cat>
            <c:strRef>
              <c:f>[2]KPI_CONSUMO_EMPRESA!$B$11:$B$34</c:f>
              <c:strCache>
                <c:ptCount val="24"/>
                <c:pt idx="0">
                  <c:v>PARABOLT Ø1/2" X 4"</c:v>
                </c:pt>
                <c:pt idx="1">
                  <c:v>PARAF. AB Ø1/4" X 1/2"</c:v>
                </c:pt>
                <c:pt idx="2">
                  <c:v>PARAF. AB Ø1/4" X 2"</c:v>
                </c:pt>
                <c:pt idx="3">
                  <c:v>PARAF. AB Ø1/4" X 3/4"</c:v>
                </c:pt>
                <c:pt idx="4">
                  <c:v>PARAF. Ø1/2" X 1 3/4"</c:v>
                </c:pt>
                <c:pt idx="5">
                  <c:v>PARAF. Ø1/2" X 2 1/4"</c:v>
                </c:pt>
                <c:pt idx="6">
                  <c:v>PARAF. Ø1/2" X 2"</c:v>
                </c:pt>
                <c:pt idx="7">
                  <c:v>PARAF. Ø3/8" X 1 1/2"</c:v>
                </c:pt>
                <c:pt idx="8">
                  <c:v>PARAF. Ø3/8" X 1 1/4"</c:v>
                </c:pt>
                <c:pt idx="9">
                  <c:v>PARAF. Ø3/8" X 1 3/4"</c:v>
                </c:pt>
                <c:pt idx="10">
                  <c:v>PARAF. Ø3/8" X 1"</c:v>
                </c:pt>
                <c:pt idx="11">
                  <c:v>PARAF. Ø7/8" X 2 1/4"</c:v>
                </c:pt>
                <c:pt idx="12">
                  <c:v>PARAF. Ø7/8" X 2 3/4"</c:v>
                </c:pt>
                <c:pt idx="13">
                  <c:v>PARAF. Ø7/8" X 2"</c:v>
                </c:pt>
                <c:pt idx="14">
                  <c:v>PORCA Ø1/2"</c:v>
                </c:pt>
                <c:pt idx="15">
                  <c:v>PORCA Ø7/8"</c:v>
                </c:pt>
                <c:pt idx="16">
                  <c:v>ARRUELA Ø1/2"</c:v>
                </c:pt>
                <c:pt idx="17">
                  <c:v>PARAF. Ø1/2" X 1 1/2"</c:v>
                </c:pt>
                <c:pt idx="18">
                  <c:v>ARRUELA Ø7/8"</c:v>
                </c:pt>
                <c:pt idx="19">
                  <c:v>PORCA Ø1"</c:v>
                </c:pt>
                <c:pt idx="20">
                  <c:v>PORCA Ø3/4"</c:v>
                </c:pt>
                <c:pt idx="21">
                  <c:v>ARRUELA Ø1"</c:v>
                </c:pt>
                <c:pt idx="22">
                  <c:v>ARRUELA Ø3/4"</c:v>
                </c:pt>
                <c:pt idx="23">
                  <c:v>PARAF. Ø3/8" X 1"</c:v>
                </c:pt>
              </c:strCache>
            </c:strRef>
          </c:cat>
          <c:val>
            <c:numRef>
              <c:f>[2]KPI_CONSUMO_EMPRESA!$E$11:$E$34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182</c:v>
                </c:pt>
                <c:pt idx="5">
                  <c:v>38</c:v>
                </c:pt>
                <c:pt idx="6">
                  <c:v>216</c:v>
                </c:pt>
                <c:pt idx="7">
                  <c:v>180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166</c:v>
                </c:pt>
                <c:pt idx="12">
                  <c:v>48</c:v>
                </c:pt>
                <c:pt idx="13">
                  <c:v>0</c:v>
                </c:pt>
                <c:pt idx="14">
                  <c:v>1193</c:v>
                </c:pt>
                <c:pt idx="15">
                  <c:v>198</c:v>
                </c:pt>
                <c:pt idx="16">
                  <c:v>1453</c:v>
                </c:pt>
                <c:pt idx="17">
                  <c:v>290</c:v>
                </c:pt>
                <c:pt idx="18">
                  <c:v>148</c:v>
                </c:pt>
                <c:pt idx="19">
                  <c:v>72</c:v>
                </c:pt>
                <c:pt idx="20">
                  <c:v>18</c:v>
                </c:pt>
                <c:pt idx="21">
                  <c:v>72</c:v>
                </c:pt>
                <c:pt idx="22">
                  <c:v>40</c:v>
                </c:pt>
                <c:pt idx="23">
                  <c:v>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5-498C-BE1C-ACE29158DDEB}"/>
            </c:ext>
          </c:extLst>
        </c:ser>
        <c:ser>
          <c:idx val="3"/>
          <c:order val="3"/>
          <c:tx>
            <c:v>% CMM DO FÍSICO</c:v>
          </c:tx>
          <c:invertIfNegative val="1"/>
          <c:cat>
            <c:strRef>
              <c:f>[2]KPI_CONSUMO_EMPRESA!$B$11:$B$34</c:f>
              <c:strCache>
                <c:ptCount val="24"/>
                <c:pt idx="0">
                  <c:v>PARABOLT Ø1/2" X 4"</c:v>
                </c:pt>
                <c:pt idx="1">
                  <c:v>PARAF. AB Ø1/4" X 1/2"</c:v>
                </c:pt>
                <c:pt idx="2">
                  <c:v>PARAF. AB Ø1/4" X 2"</c:v>
                </c:pt>
                <c:pt idx="3">
                  <c:v>PARAF. AB Ø1/4" X 3/4"</c:v>
                </c:pt>
                <c:pt idx="4">
                  <c:v>PARAF. Ø1/2" X 1 3/4"</c:v>
                </c:pt>
                <c:pt idx="5">
                  <c:v>PARAF. Ø1/2" X 2 1/4"</c:v>
                </c:pt>
                <c:pt idx="6">
                  <c:v>PARAF. Ø1/2" X 2"</c:v>
                </c:pt>
                <c:pt idx="7">
                  <c:v>PARAF. Ø3/8" X 1 1/2"</c:v>
                </c:pt>
                <c:pt idx="8">
                  <c:v>PARAF. Ø3/8" X 1 1/4"</c:v>
                </c:pt>
                <c:pt idx="9">
                  <c:v>PARAF. Ø3/8" X 1 3/4"</c:v>
                </c:pt>
                <c:pt idx="10">
                  <c:v>PARAF. Ø3/8" X 1"</c:v>
                </c:pt>
                <c:pt idx="11">
                  <c:v>PARAF. Ø7/8" X 2 1/4"</c:v>
                </c:pt>
                <c:pt idx="12">
                  <c:v>PARAF. Ø7/8" X 2 3/4"</c:v>
                </c:pt>
                <c:pt idx="13">
                  <c:v>PARAF. Ø7/8" X 2"</c:v>
                </c:pt>
                <c:pt idx="14">
                  <c:v>PORCA Ø1/2"</c:v>
                </c:pt>
                <c:pt idx="15">
                  <c:v>PORCA Ø7/8"</c:v>
                </c:pt>
                <c:pt idx="16">
                  <c:v>ARRUELA Ø1/2"</c:v>
                </c:pt>
                <c:pt idx="17">
                  <c:v>PARAF. Ø1/2" X 1 1/2"</c:v>
                </c:pt>
                <c:pt idx="18">
                  <c:v>ARRUELA Ø7/8"</c:v>
                </c:pt>
                <c:pt idx="19">
                  <c:v>PORCA Ø1"</c:v>
                </c:pt>
                <c:pt idx="20">
                  <c:v>PORCA Ø3/4"</c:v>
                </c:pt>
                <c:pt idx="21">
                  <c:v>ARRUELA Ø1"</c:v>
                </c:pt>
                <c:pt idx="22">
                  <c:v>ARRUELA Ø3/4"</c:v>
                </c:pt>
                <c:pt idx="23">
                  <c:v>PARAF. Ø3/8" X 1"</c:v>
                </c:pt>
              </c:strCache>
            </c:strRef>
          </c:cat>
          <c:val>
            <c:numRef>
              <c:f>[2]KPI_CONSUMO_EMPRESA!$F$11:$F$34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0.26686217008797652</c:v>
                </c:pt>
                <c:pt idx="5">
                  <c:v>0.16450216450216451</c:v>
                </c:pt>
                <c:pt idx="6">
                  <c:v>0.34285714285714286</c:v>
                </c:pt>
                <c:pt idx="7">
                  <c:v>0.33333333333333331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0.42025316455696204</c:v>
                </c:pt>
                <c:pt idx="12">
                  <c:v>1</c:v>
                </c:pt>
                <c:pt idx="13">
                  <c:v>0</c:v>
                </c:pt>
                <c:pt idx="14">
                  <c:v>0.52255803766973286</c:v>
                </c:pt>
                <c:pt idx="15">
                  <c:v>0.43326039387308535</c:v>
                </c:pt>
                <c:pt idx="16">
                  <c:v>0.55415713196033567</c:v>
                </c:pt>
                <c:pt idx="17">
                  <c:v>1</c:v>
                </c:pt>
                <c:pt idx="18">
                  <c:v>0.39257294429708223</c:v>
                </c:pt>
                <c:pt idx="19">
                  <c:v>0.39560439560439559</c:v>
                </c:pt>
                <c:pt idx="20">
                  <c:v>0.75</c:v>
                </c:pt>
                <c:pt idx="21">
                  <c:v>0.41860465116279072</c:v>
                </c:pt>
                <c:pt idx="22">
                  <c:v>0.86956521739130432</c:v>
                </c:pt>
                <c:pt idx="23">
                  <c:v>0.57108327840035156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85-498C-BE1C-ACE29158DDEB}"/>
            </c:ext>
          </c:extLst>
        </c:ser>
        <c:ser>
          <c:idx val="4"/>
          <c:order val="4"/>
          <c:tx>
            <c:v>FÍSICO TOTAL</c:v>
          </c:tx>
          <c:invertIfNegative val="1"/>
          <c:cat>
            <c:strRef>
              <c:f>[2]KPI_CONSUMO_EMPRESA!$B$11:$B$34</c:f>
              <c:strCache>
                <c:ptCount val="24"/>
                <c:pt idx="0">
                  <c:v>PARABOLT Ø1/2" X 4"</c:v>
                </c:pt>
                <c:pt idx="1">
                  <c:v>PARAF. AB Ø1/4" X 1/2"</c:v>
                </c:pt>
                <c:pt idx="2">
                  <c:v>PARAF. AB Ø1/4" X 2"</c:v>
                </c:pt>
                <c:pt idx="3">
                  <c:v>PARAF. AB Ø1/4" X 3/4"</c:v>
                </c:pt>
                <c:pt idx="4">
                  <c:v>PARAF. Ø1/2" X 1 3/4"</c:v>
                </c:pt>
                <c:pt idx="5">
                  <c:v>PARAF. Ø1/2" X 2 1/4"</c:v>
                </c:pt>
                <c:pt idx="6">
                  <c:v>PARAF. Ø1/2" X 2"</c:v>
                </c:pt>
                <c:pt idx="7">
                  <c:v>PARAF. Ø3/8" X 1 1/2"</c:v>
                </c:pt>
                <c:pt idx="8">
                  <c:v>PARAF. Ø3/8" X 1 1/4"</c:v>
                </c:pt>
                <c:pt idx="9">
                  <c:v>PARAF. Ø3/8" X 1 3/4"</c:v>
                </c:pt>
                <c:pt idx="10">
                  <c:v>PARAF. Ø3/8" X 1"</c:v>
                </c:pt>
                <c:pt idx="11">
                  <c:v>PARAF. Ø7/8" X 2 1/4"</c:v>
                </c:pt>
                <c:pt idx="12">
                  <c:v>PARAF. Ø7/8" X 2 3/4"</c:v>
                </c:pt>
                <c:pt idx="13">
                  <c:v>PARAF. Ø7/8" X 2"</c:v>
                </c:pt>
                <c:pt idx="14">
                  <c:v>PORCA Ø1/2"</c:v>
                </c:pt>
                <c:pt idx="15">
                  <c:v>PORCA Ø7/8"</c:v>
                </c:pt>
                <c:pt idx="16">
                  <c:v>ARRUELA Ø1/2"</c:v>
                </c:pt>
                <c:pt idx="17">
                  <c:v>PARAF. Ø1/2" X 1 1/2"</c:v>
                </c:pt>
                <c:pt idx="18">
                  <c:v>ARRUELA Ø7/8"</c:v>
                </c:pt>
                <c:pt idx="19">
                  <c:v>PORCA Ø1"</c:v>
                </c:pt>
                <c:pt idx="20">
                  <c:v>PORCA Ø3/4"</c:v>
                </c:pt>
                <c:pt idx="21">
                  <c:v>ARRUELA Ø1"</c:v>
                </c:pt>
                <c:pt idx="22">
                  <c:v>ARRUELA Ø3/4"</c:v>
                </c:pt>
                <c:pt idx="23">
                  <c:v>PARAF. Ø3/8" X 1"</c:v>
                </c:pt>
              </c:strCache>
            </c:strRef>
          </c:cat>
          <c:val>
            <c:numRef>
              <c:f>[2]KPI_CONSUMO_EMPRESA!$G$11:$G$34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682</c:v>
                </c:pt>
                <c:pt idx="5">
                  <c:v>231</c:v>
                </c:pt>
                <c:pt idx="6">
                  <c:v>630</c:v>
                </c:pt>
                <c:pt idx="7">
                  <c:v>540</c:v>
                </c:pt>
                <c:pt idx="8">
                  <c:v>22</c:v>
                </c:pt>
                <c:pt idx="9">
                  <c:v>0</c:v>
                </c:pt>
                <c:pt idx="10">
                  <c:v>150</c:v>
                </c:pt>
                <c:pt idx="11">
                  <c:v>395</c:v>
                </c:pt>
                <c:pt idx="12">
                  <c:v>48</c:v>
                </c:pt>
                <c:pt idx="13">
                  <c:v>0</c:v>
                </c:pt>
                <c:pt idx="14">
                  <c:v>2283</c:v>
                </c:pt>
                <c:pt idx="15">
                  <c:v>457</c:v>
                </c:pt>
                <c:pt idx="16">
                  <c:v>2622</c:v>
                </c:pt>
                <c:pt idx="17">
                  <c:v>290</c:v>
                </c:pt>
                <c:pt idx="18">
                  <c:v>377</c:v>
                </c:pt>
                <c:pt idx="19">
                  <c:v>182</c:v>
                </c:pt>
                <c:pt idx="20">
                  <c:v>24</c:v>
                </c:pt>
                <c:pt idx="21">
                  <c:v>172</c:v>
                </c:pt>
                <c:pt idx="22">
                  <c:v>46</c:v>
                </c:pt>
                <c:pt idx="23">
                  <c:v>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85-498C-BE1C-ACE29158D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30</xdr:row>
      <xdr:rowOff>0</xdr:rowOff>
    </xdr:from>
    <xdr:ext cx="4320000" cy="2520000"/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0</xdr:colOff>
      <xdr:row>30</xdr:row>
      <xdr:rowOff>0</xdr:rowOff>
    </xdr:from>
    <xdr:ext cx="3240000" cy="2520000"/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21</xdr:col>
      <xdr:colOff>0</xdr:colOff>
      <xdr:row>22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14521092-0AD8-4A5E-8D40-64B41BEEB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ONTAGEM/PLANO%20DE%20PRODU&#199;&#195;O%20198.xlsm" TargetMode="External"/><Relationship Id="rId2" Type="http://schemas.openxmlformats.org/officeDocument/2006/relationships/externalLinkPath" Target="https://d.docs.live.net/AD7C007EBC703AEA/&#193;rea%20de%20Trabalho/Rotula%20Felipe%20Maciel/G200/MONTAGEM/PLANO%20DE%20PRODU&#199;&#195;O%20198.xlsm" TargetMode="External"/><Relationship Id="rId1" Type="http://schemas.openxmlformats.org/officeDocument/2006/relationships/externalLinkPath" Target="/AD7C007EBC703AEA/&#193;rea%20de%20Trabalho/Rotula%20Felipe%20Maciel/G200/MONTAGEM/PLANO%20DE%20PRODU&#199;&#195;O%20198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fpai\Downloads\OF198_LYON_G200_KPI_CONSUMO_EMPRESA_ATUALIZADO.xlsm" TargetMode="External"/><Relationship Id="rId1" Type="http://schemas.openxmlformats.org/officeDocument/2006/relationships/externalLinkPath" Target="file:///C:\Users\lfpai\Downloads\OF198_LYON_G200_KPI_CONSUMO_EMPRESA_ATUALIZ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E PRODUÇÃO POR EMPRESAS"/>
      <sheetName val="CONSULTA PRODUÇÃO"/>
      <sheetName val="USO DE EQUIPAMENTO AGOSTO"/>
      <sheetName val="LISTA DE IMPACTO"/>
      <sheetName val="PLANO ATAQUE + METAS"/>
      <sheetName val="USO DE EQUIPAMENTO SETEMBRO"/>
      <sheetName val="PAINEL KPI"/>
      <sheetName val="CONTROLE KPI"/>
      <sheetName val="PARAMETROS KPI"/>
      <sheetName val="GUIA KPI"/>
      <sheetName val="METAS EMPRESAS"/>
      <sheetName val="BASE METAS DIÁRIAS"/>
      <sheetName val="METAS CLIENTE"/>
      <sheetName val="CLIENTE - PREV X REAL"/>
      <sheetName val="DASHBOARD CLIENTE"/>
      <sheetName val="Planilha1"/>
    </sheetNames>
    <sheetDataSet>
      <sheetData sheetId="0">
        <row r="3">
          <cell r="L3">
            <v>128</v>
          </cell>
          <cell r="M3">
            <v>161</v>
          </cell>
          <cell r="N3">
            <v>63</v>
          </cell>
          <cell r="P3">
            <v>171</v>
          </cell>
          <cell r="Q3">
            <v>107</v>
          </cell>
          <cell r="R3">
            <v>39</v>
          </cell>
        </row>
        <row r="4">
          <cell r="L4">
            <v>3.3684210526315788</v>
          </cell>
          <cell r="M4">
            <v>7.0434782608695654</v>
          </cell>
          <cell r="N4">
            <v>4.4666666666666668</v>
          </cell>
          <cell r="P4">
            <v>4.384615384615385</v>
          </cell>
          <cell r="Q4">
            <v>6.6875</v>
          </cell>
          <cell r="R4">
            <v>3.5454545454545454</v>
          </cell>
        </row>
      </sheetData>
      <sheetData sheetId="1"/>
      <sheetData sheetId="2"/>
      <sheetData sheetId="3"/>
      <sheetData sheetId="4"/>
      <sheetData sheetId="5"/>
      <sheetData sheetId="6">
        <row r="3">
          <cell r="B3">
            <v>46293</v>
          </cell>
          <cell r="E3">
            <v>26</v>
          </cell>
          <cell r="G3">
            <v>7</v>
          </cell>
          <cell r="I3">
            <v>-19</v>
          </cell>
        </row>
        <row r="5">
          <cell r="E5">
            <v>0.26923076923076922</v>
          </cell>
          <cell r="G5">
            <v>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_Final"/>
      <sheetName val="Fluxo_Baixa"/>
      <sheetName val="Apontamento_Quadrantes"/>
      <sheetName val="Apontamento_Montagem"/>
      <sheetName val="REMESSAS"/>
      <sheetName val="Controle_Materiais"/>
      <sheetName val="CONSUMO FISICO"/>
      <sheetName val="INVENTARIO"/>
      <sheetName val="Fixadores"/>
      <sheetName val="Consumo_Joists"/>
      <sheetName val="Parametros"/>
      <sheetName val="BASE MATERIAL"/>
      <sheetName val="Dashboard"/>
      <sheetName val="lista geral fixadores, planejad"/>
      <sheetName val="INVENTÁRIO"/>
      <sheetName val="Gestao_Obra"/>
      <sheetName val="Mapa_Ruas_Estrutural"/>
      <sheetName val="Mapa_Tercas_DM002"/>
      <sheetName val="LOG_AJUSTES"/>
      <sheetName val="VBA_Processamento"/>
      <sheetName val="Criterio_Quadrantes"/>
      <sheetName val="Montagem_Vigas"/>
      <sheetName val="Consumo_Quadrantes"/>
      <sheetName val="KPI_CONSUMO_EMPRESA"/>
    </sheetNames>
    <sheetDataSet>
      <sheetData sheetId="0"/>
      <sheetData sheetId="1"/>
      <sheetData sheetId="2"/>
      <sheetData sheetId="3">
        <row r="4">
          <cell r="D4">
            <v>267</v>
          </cell>
        </row>
        <row r="5">
          <cell r="D5">
            <v>2</v>
          </cell>
        </row>
        <row r="6">
          <cell r="D6">
            <v>0</v>
          </cell>
        </row>
        <row r="7">
          <cell r="D7">
            <v>0</v>
          </cell>
        </row>
        <row r="8">
          <cell r="D8">
            <v>0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</sheetData>
      <sheetData sheetId="4"/>
      <sheetData sheetId="5">
        <row r="1">
          <cell r="A1" t="str">
            <v>OF.198 - LYON - G200 | CONTROLE DE MATERIAIS</v>
          </cell>
          <cell r="O1"/>
        </row>
        <row r="2">
          <cell r="A2" t="str">
            <v>TAG</v>
          </cell>
          <cell r="O2" t="str">
            <v>QTD CONSUMIDA TOTAL (VBA)</v>
          </cell>
        </row>
        <row r="3">
          <cell r="A3" t="str">
            <v>BZ001</v>
          </cell>
          <cell r="O3">
            <v>538</v>
          </cell>
        </row>
        <row r="4">
          <cell r="A4" t="str">
            <v>BZ002</v>
          </cell>
          <cell r="O4">
            <v>538</v>
          </cell>
        </row>
        <row r="5">
          <cell r="A5" t="str">
            <v>BZ005</v>
          </cell>
          <cell r="O5">
            <v>0</v>
          </cell>
        </row>
        <row r="6">
          <cell r="A6" t="str">
            <v>DN001</v>
          </cell>
          <cell r="O6">
            <v>1076</v>
          </cell>
        </row>
        <row r="7">
          <cell r="A7" t="str">
            <v>DN002</v>
          </cell>
          <cell r="O7">
            <v>1076</v>
          </cell>
        </row>
        <row r="8">
          <cell r="A8" t="str">
            <v>DN003</v>
          </cell>
          <cell r="O8">
            <v>13988</v>
          </cell>
        </row>
        <row r="9">
          <cell r="A9" t="str">
            <v>RF001</v>
          </cell>
          <cell r="O9">
            <v>17216</v>
          </cell>
        </row>
        <row r="10">
          <cell r="A10" t="str">
            <v>RF003</v>
          </cell>
          <cell r="O10">
            <v>2152</v>
          </cell>
        </row>
        <row r="11">
          <cell r="A11" t="str">
            <v>TV001</v>
          </cell>
          <cell r="O11">
            <v>4035</v>
          </cell>
        </row>
        <row r="12">
          <cell r="A12" t="str">
            <v>TV002</v>
          </cell>
          <cell r="O12">
            <v>4035</v>
          </cell>
        </row>
        <row r="13">
          <cell r="A13" t="str">
            <v>TV003</v>
          </cell>
          <cell r="O13">
            <v>16140</v>
          </cell>
        </row>
        <row r="14">
          <cell r="A14" t="str">
            <v>SPD01</v>
          </cell>
          <cell r="O14">
            <v>20</v>
          </cell>
        </row>
        <row r="15">
          <cell r="A15" t="str">
            <v>GRP03</v>
          </cell>
          <cell r="O15">
            <v>0</v>
          </cell>
        </row>
        <row r="16">
          <cell r="A16" t="str">
            <v>RCD01</v>
          </cell>
          <cell r="O16">
            <v>0</v>
          </cell>
        </row>
        <row r="17">
          <cell r="A17" t="str">
            <v>RCE01</v>
          </cell>
          <cell r="O17">
            <v>0</v>
          </cell>
        </row>
        <row r="18">
          <cell r="A18" t="str">
            <v>RCE02</v>
          </cell>
          <cell r="O18">
            <v>0</v>
          </cell>
        </row>
        <row r="19">
          <cell r="A19" t="str">
            <v>RO01</v>
          </cell>
          <cell r="O19">
            <v>0</v>
          </cell>
        </row>
        <row r="20">
          <cell r="A20" t="str">
            <v>RO02</v>
          </cell>
          <cell r="O20">
            <v>0</v>
          </cell>
        </row>
        <row r="21">
          <cell r="A21" t="str">
            <v>RPI01</v>
          </cell>
          <cell r="O21">
            <v>0</v>
          </cell>
        </row>
        <row r="22">
          <cell r="A22" t="str">
            <v>RS01</v>
          </cell>
          <cell r="O22">
            <v>0</v>
          </cell>
        </row>
        <row r="23">
          <cell r="A23" t="str">
            <v>RT01</v>
          </cell>
          <cell r="O23">
            <v>0</v>
          </cell>
        </row>
        <row r="24">
          <cell r="A24" t="str">
            <v>RT02</v>
          </cell>
          <cell r="O24">
            <v>0</v>
          </cell>
        </row>
        <row r="25">
          <cell r="A25" t="str">
            <v>RTO01</v>
          </cell>
          <cell r="O25">
            <v>0</v>
          </cell>
        </row>
        <row r="26">
          <cell r="A26" t="str">
            <v>ARR01</v>
          </cell>
          <cell r="O26">
            <v>0</v>
          </cell>
        </row>
        <row r="27">
          <cell r="A27" t="str">
            <v>ARR02</v>
          </cell>
          <cell r="O27">
            <v>0</v>
          </cell>
        </row>
        <row r="28">
          <cell r="A28" t="str">
            <v>ARR03</v>
          </cell>
          <cell r="O28">
            <v>0</v>
          </cell>
        </row>
        <row r="29">
          <cell r="A29" t="str">
            <v>ARR04</v>
          </cell>
          <cell r="O29">
            <v>0</v>
          </cell>
        </row>
        <row r="30">
          <cell r="A30" t="str">
            <v>ARR05</v>
          </cell>
          <cell r="O30">
            <v>0</v>
          </cell>
        </row>
        <row r="31">
          <cell r="A31" t="str">
            <v>ARR06</v>
          </cell>
          <cell r="O31">
            <v>0</v>
          </cell>
        </row>
        <row r="32">
          <cell r="A32" t="str">
            <v>ARR07</v>
          </cell>
          <cell r="O32">
            <v>0</v>
          </cell>
        </row>
        <row r="33">
          <cell r="A33" t="str">
            <v>CBB01</v>
          </cell>
          <cell r="O33">
            <v>0</v>
          </cell>
        </row>
        <row r="34">
          <cell r="A34" t="str">
            <v>CBB02</v>
          </cell>
          <cell r="O34">
            <v>0</v>
          </cell>
        </row>
        <row r="35">
          <cell r="A35" t="str">
            <v>CBB03</v>
          </cell>
          <cell r="O35">
            <v>0</v>
          </cell>
        </row>
        <row r="36">
          <cell r="A36" t="str">
            <v>CBB04</v>
          </cell>
          <cell r="O36">
            <v>0</v>
          </cell>
        </row>
        <row r="37">
          <cell r="A37" t="str">
            <v>CH01</v>
          </cell>
          <cell r="O37">
            <v>0</v>
          </cell>
        </row>
        <row r="38">
          <cell r="A38" t="str">
            <v>CTH01</v>
          </cell>
          <cell r="O38">
            <v>0</v>
          </cell>
        </row>
        <row r="39">
          <cell r="A39" t="str">
            <v>CTH02</v>
          </cell>
          <cell r="O39">
            <v>0</v>
          </cell>
        </row>
        <row r="40">
          <cell r="A40" t="str">
            <v>CTH03</v>
          </cell>
          <cell r="O40">
            <v>0</v>
          </cell>
        </row>
        <row r="41">
          <cell r="A41" t="str">
            <v>CTH04</v>
          </cell>
          <cell r="O41">
            <v>0</v>
          </cell>
        </row>
        <row r="42">
          <cell r="A42" t="str">
            <v>CTH05</v>
          </cell>
          <cell r="O42">
            <v>0</v>
          </cell>
        </row>
        <row r="43">
          <cell r="A43" t="str">
            <v>CTH06</v>
          </cell>
          <cell r="O43">
            <v>0</v>
          </cell>
        </row>
        <row r="44">
          <cell r="A44" t="str">
            <v>L01</v>
          </cell>
          <cell r="O44">
            <v>0</v>
          </cell>
        </row>
        <row r="45">
          <cell r="A45" t="str">
            <v>MT01</v>
          </cell>
          <cell r="O45">
            <v>0</v>
          </cell>
        </row>
        <row r="46">
          <cell r="A46" t="str">
            <v>PR01</v>
          </cell>
          <cell r="O46">
            <v>0</v>
          </cell>
        </row>
        <row r="47">
          <cell r="A47" t="str">
            <v>PR02</v>
          </cell>
          <cell r="O47">
            <v>0</v>
          </cell>
        </row>
        <row r="48">
          <cell r="A48" t="str">
            <v>PR03</v>
          </cell>
          <cell r="O48">
            <v>0</v>
          </cell>
        </row>
        <row r="49">
          <cell r="A49" t="str">
            <v>PR04</v>
          </cell>
          <cell r="O49">
            <v>0</v>
          </cell>
        </row>
        <row r="50">
          <cell r="A50" t="str">
            <v>PR05</v>
          </cell>
          <cell r="O50">
            <v>0</v>
          </cell>
        </row>
        <row r="51">
          <cell r="A51" t="str">
            <v>PR06</v>
          </cell>
          <cell r="O51">
            <v>0</v>
          </cell>
        </row>
        <row r="52">
          <cell r="A52" t="str">
            <v>SJ01</v>
          </cell>
          <cell r="O52">
            <v>1076</v>
          </cell>
        </row>
        <row r="53">
          <cell r="A53" t="str">
            <v>SJ02</v>
          </cell>
          <cell r="O53">
            <v>1076</v>
          </cell>
        </row>
        <row r="54">
          <cell r="A54" t="str">
            <v>SJ03</v>
          </cell>
          <cell r="O54">
            <v>0</v>
          </cell>
        </row>
        <row r="55">
          <cell r="A55" t="str">
            <v>SP01</v>
          </cell>
          <cell r="O55">
            <v>0</v>
          </cell>
        </row>
        <row r="56">
          <cell r="A56" t="str">
            <v>SP02</v>
          </cell>
          <cell r="O56">
            <v>0</v>
          </cell>
        </row>
        <row r="57">
          <cell r="A57" t="str">
            <v>SP03</v>
          </cell>
          <cell r="O57">
            <v>0</v>
          </cell>
        </row>
        <row r="58">
          <cell r="A58" t="str">
            <v>TP01</v>
          </cell>
          <cell r="O58">
            <v>0</v>
          </cell>
        </row>
        <row r="59">
          <cell r="A59" t="str">
            <v>TP02</v>
          </cell>
          <cell r="O59">
            <v>0</v>
          </cell>
        </row>
        <row r="60">
          <cell r="A60" t="str">
            <v>TP03</v>
          </cell>
          <cell r="O60">
            <v>0</v>
          </cell>
        </row>
        <row r="61">
          <cell r="A61" t="str">
            <v>TP04</v>
          </cell>
          <cell r="O61">
            <v>0</v>
          </cell>
        </row>
        <row r="62">
          <cell r="A62" t="str">
            <v>TP05</v>
          </cell>
          <cell r="O62">
            <v>0</v>
          </cell>
        </row>
        <row r="63">
          <cell r="A63" t="str">
            <v>TP06</v>
          </cell>
          <cell r="O63">
            <v>0</v>
          </cell>
        </row>
        <row r="64">
          <cell r="A64" t="str">
            <v>TP07</v>
          </cell>
          <cell r="O64">
            <v>0</v>
          </cell>
        </row>
        <row r="65">
          <cell r="A65" t="str">
            <v>TP08</v>
          </cell>
          <cell r="O65">
            <v>0</v>
          </cell>
        </row>
        <row r="66">
          <cell r="A66" t="str">
            <v>TV02</v>
          </cell>
          <cell r="O66">
            <v>0</v>
          </cell>
        </row>
        <row r="67">
          <cell r="A67" t="str">
            <v>TV03</v>
          </cell>
          <cell r="O67">
            <v>0</v>
          </cell>
        </row>
        <row r="68">
          <cell r="A68" t="str">
            <v>TV04</v>
          </cell>
          <cell r="O68">
            <v>0</v>
          </cell>
        </row>
        <row r="69">
          <cell r="A69" t="str">
            <v>TV05</v>
          </cell>
          <cell r="O69">
            <v>0</v>
          </cell>
        </row>
        <row r="70">
          <cell r="A70" t="str">
            <v>TV06</v>
          </cell>
          <cell r="O70">
            <v>0</v>
          </cell>
        </row>
        <row r="71">
          <cell r="A71" t="str">
            <v>TV07</v>
          </cell>
          <cell r="O71">
            <v>0</v>
          </cell>
        </row>
        <row r="72">
          <cell r="A72" t="str">
            <v>VC01</v>
          </cell>
          <cell r="O72">
            <v>0</v>
          </cell>
        </row>
        <row r="73">
          <cell r="A73" t="str">
            <v>VC02</v>
          </cell>
          <cell r="O73">
            <v>0</v>
          </cell>
        </row>
        <row r="74">
          <cell r="A74" t="str">
            <v>VC03</v>
          </cell>
          <cell r="O74">
            <v>0</v>
          </cell>
        </row>
        <row r="75">
          <cell r="A75" t="str">
            <v>VC04</v>
          </cell>
          <cell r="O75">
            <v>0</v>
          </cell>
        </row>
        <row r="76">
          <cell r="A76" t="str">
            <v>VC05</v>
          </cell>
          <cell r="O76">
            <v>0</v>
          </cell>
        </row>
        <row r="77">
          <cell r="A77" t="str">
            <v>VC06</v>
          </cell>
          <cell r="O77">
            <v>0</v>
          </cell>
        </row>
        <row r="78">
          <cell r="A78" t="str">
            <v>VC07</v>
          </cell>
          <cell r="O78">
            <v>0</v>
          </cell>
        </row>
        <row r="79">
          <cell r="A79" t="str">
            <v>VC08</v>
          </cell>
          <cell r="O79">
            <v>0</v>
          </cell>
        </row>
        <row r="80">
          <cell r="A80" t="str">
            <v>VC09</v>
          </cell>
          <cell r="O80">
            <v>0</v>
          </cell>
        </row>
        <row r="81">
          <cell r="A81" t="str">
            <v>VC10</v>
          </cell>
          <cell r="O81">
            <v>0</v>
          </cell>
        </row>
        <row r="82">
          <cell r="A82" t="str">
            <v>VC11</v>
          </cell>
          <cell r="O82">
            <v>0</v>
          </cell>
        </row>
        <row r="83">
          <cell r="A83" t="str">
            <v>VC12</v>
          </cell>
          <cell r="O83">
            <v>0</v>
          </cell>
        </row>
        <row r="84">
          <cell r="A84" t="str">
            <v>VC13</v>
          </cell>
          <cell r="O84">
            <v>0</v>
          </cell>
        </row>
        <row r="85">
          <cell r="A85" t="str">
            <v>VC14</v>
          </cell>
          <cell r="O85">
            <v>0</v>
          </cell>
        </row>
        <row r="86">
          <cell r="A86" t="str">
            <v>VC15</v>
          </cell>
          <cell r="O86">
            <v>0</v>
          </cell>
        </row>
        <row r="87">
          <cell r="A87" t="str">
            <v>VC16</v>
          </cell>
          <cell r="O87">
            <v>0</v>
          </cell>
        </row>
        <row r="88">
          <cell r="A88" t="str">
            <v>VC17</v>
          </cell>
          <cell r="O88">
            <v>0</v>
          </cell>
        </row>
        <row r="89">
          <cell r="A89" t="str">
            <v>VC18</v>
          </cell>
          <cell r="O89">
            <v>0</v>
          </cell>
        </row>
        <row r="90">
          <cell r="A90" t="str">
            <v>VC19</v>
          </cell>
          <cell r="O90">
            <v>0</v>
          </cell>
        </row>
        <row r="91">
          <cell r="A91" t="str">
            <v>VC20</v>
          </cell>
          <cell r="O91">
            <v>0</v>
          </cell>
        </row>
        <row r="92">
          <cell r="A92" t="str">
            <v>VC21</v>
          </cell>
          <cell r="O92">
            <v>0</v>
          </cell>
        </row>
        <row r="93">
          <cell r="A93" t="str">
            <v>VC22</v>
          </cell>
          <cell r="O93">
            <v>0</v>
          </cell>
        </row>
        <row r="94">
          <cell r="A94" t="str">
            <v>ET01</v>
          </cell>
          <cell r="O94">
            <v>0</v>
          </cell>
        </row>
        <row r="95">
          <cell r="A95" t="str">
            <v>ET02</v>
          </cell>
          <cell r="O95">
            <v>0</v>
          </cell>
        </row>
        <row r="96">
          <cell r="A96" t="str">
            <v>ET03</v>
          </cell>
          <cell r="O96">
            <v>0</v>
          </cell>
        </row>
        <row r="97">
          <cell r="A97" t="str">
            <v>ET04</v>
          </cell>
          <cell r="O97">
            <v>0</v>
          </cell>
        </row>
        <row r="98">
          <cell r="A98" t="str">
            <v>ET05</v>
          </cell>
          <cell r="O98">
            <v>0</v>
          </cell>
        </row>
        <row r="99">
          <cell r="A99" t="str">
            <v>ST01</v>
          </cell>
          <cell r="O99">
            <v>0</v>
          </cell>
        </row>
        <row r="100">
          <cell r="A100" t="str">
            <v>ST02</v>
          </cell>
          <cell r="O100">
            <v>0</v>
          </cell>
        </row>
        <row r="101">
          <cell r="A101" t="str">
            <v>TF01</v>
          </cell>
          <cell r="O101">
            <v>0</v>
          </cell>
        </row>
        <row r="102">
          <cell r="A102" t="str">
            <v>TF02</v>
          </cell>
          <cell r="O102">
            <v>0</v>
          </cell>
        </row>
        <row r="103">
          <cell r="A103" t="str">
            <v>TF03</v>
          </cell>
          <cell r="O103">
            <v>0</v>
          </cell>
        </row>
        <row r="104">
          <cell r="A104" t="str">
            <v>TF04</v>
          </cell>
          <cell r="O104">
            <v>0</v>
          </cell>
        </row>
        <row r="105">
          <cell r="A105" t="str">
            <v>TF05</v>
          </cell>
          <cell r="O105">
            <v>0</v>
          </cell>
        </row>
        <row r="106">
          <cell r="A106" t="str">
            <v>TF06</v>
          </cell>
          <cell r="O106">
            <v>0</v>
          </cell>
        </row>
        <row r="107">
          <cell r="A107" t="str">
            <v>TF07</v>
          </cell>
          <cell r="O107">
            <v>0</v>
          </cell>
        </row>
        <row r="108">
          <cell r="A108" t="str">
            <v>TF08</v>
          </cell>
          <cell r="O108">
            <v>0</v>
          </cell>
        </row>
        <row r="109">
          <cell r="A109" t="str">
            <v>TF09</v>
          </cell>
          <cell r="O109">
            <v>0</v>
          </cell>
        </row>
        <row r="110">
          <cell r="A110" t="str">
            <v>TF10</v>
          </cell>
          <cell r="O110">
            <v>0</v>
          </cell>
        </row>
        <row r="111">
          <cell r="A111" t="str">
            <v>TF11</v>
          </cell>
          <cell r="O111">
            <v>0</v>
          </cell>
        </row>
        <row r="112">
          <cell r="A112" t="str">
            <v>TF12</v>
          </cell>
          <cell r="O112">
            <v>0</v>
          </cell>
        </row>
        <row r="113">
          <cell r="A113" t="str">
            <v>TF13</v>
          </cell>
          <cell r="O113">
            <v>0</v>
          </cell>
        </row>
        <row r="114">
          <cell r="A114" t="str">
            <v>TF14</v>
          </cell>
          <cell r="O114">
            <v>0</v>
          </cell>
        </row>
        <row r="115">
          <cell r="A115" t="str">
            <v>TF15</v>
          </cell>
          <cell r="O115">
            <v>0</v>
          </cell>
        </row>
        <row r="116">
          <cell r="A116" t="str">
            <v>TF16</v>
          </cell>
          <cell r="O116">
            <v>0</v>
          </cell>
        </row>
        <row r="117">
          <cell r="A117" t="str">
            <v>V10</v>
          </cell>
          <cell r="O117">
            <v>0</v>
          </cell>
        </row>
        <row r="118">
          <cell r="A118" t="str">
            <v>V11</v>
          </cell>
          <cell r="O118">
            <v>0</v>
          </cell>
        </row>
        <row r="119">
          <cell r="A119" t="str">
            <v>V12</v>
          </cell>
          <cell r="O119">
            <v>0</v>
          </cell>
        </row>
        <row r="120">
          <cell r="A120" t="str">
            <v>V14</v>
          </cell>
          <cell r="O120">
            <v>0</v>
          </cell>
        </row>
        <row r="121">
          <cell r="A121" t="str">
            <v>V15</v>
          </cell>
          <cell r="O121">
            <v>0</v>
          </cell>
        </row>
        <row r="122">
          <cell r="A122" t="str">
            <v>V16</v>
          </cell>
          <cell r="O122">
            <v>0</v>
          </cell>
        </row>
        <row r="123">
          <cell r="A123" t="str">
            <v>V17</v>
          </cell>
          <cell r="O123">
            <v>0</v>
          </cell>
        </row>
        <row r="124">
          <cell r="A124" t="str">
            <v>V18</v>
          </cell>
          <cell r="O124">
            <v>0</v>
          </cell>
        </row>
        <row r="125">
          <cell r="A125" t="str">
            <v>CA02</v>
          </cell>
          <cell r="O125">
            <v>0</v>
          </cell>
        </row>
        <row r="126">
          <cell r="A126" t="str">
            <v>CA03</v>
          </cell>
          <cell r="O126">
            <v>0</v>
          </cell>
        </row>
        <row r="127">
          <cell r="A127" t="str">
            <v>GRP01</v>
          </cell>
          <cell r="O127">
            <v>0</v>
          </cell>
        </row>
        <row r="128">
          <cell r="A128" t="str">
            <v>GRP02</v>
          </cell>
          <cell r="O128">
            <v>0</v>
          </cell>
        </row>
        <row r="129">
          <cell r="A129" t="str">
            <v>MF01</v>
          </cell>
          <cell r="O129">
            <v>0</v>
          </cell>
        </row>
        <row r="130">
          <cell r="A130" t="str">
            <v>MF02</v>
          </cell>
          <cell r="O130">
            <v>0</v>
          </cell>
        </row>
        <row r="131">
          <cell r="A131" t="str">
            <v>MF03</v>
          </cell>
          <cell r="O131">
            <v>0</v>
          </cell>
        </row>
        <row r="132">
          <cell r="A132" t="str">
            <v>MF04</v>
          </cell>
          <cell r="O132">
            <v>0</v>
          </cell>
        </row>
        <row r="133">
          <cell r="A133" t="str">
            <v>STM01</v>
          </cell>
          <cell r="O133">
            <v>0</v>
          </cell>
        </row>
        <row r="134">
          <cell r="A134" t="str">
            <v>SP04</v>
          </cell>
          <cell r="O134">
            <v>0</v>
          </cell>
        </row>
        <row r="135">
          <cell r="A135" t="str">
            <v>TC01</v>
          </cell>
          <cell r="O135">
            <v>0</v>
          </cell>
        </row>
        <row r="136">
          <cell r="A136" t="str">
            <v>TC02</v>
          </cell>
          <cell r="O136">
            <v>0</v>
          </cell>
        </row>
        <row r="137">
          <cell r="A137" t="str">
            <v>TC03</v>
          </cell>
          <cell r="O137">
            <v>0</v>
          </cell>
        </row>
        <row r="138">
          <cell r="A138" t="str">
            <v>TC04</v>
          </cell>
          <cell r="O138">
            <v>0</v>
          </cell>
        </row>
        <row r="139">
          <cell r="A139" t="str">
            <v>TC05</v>
          </cell>
          <cell r="O139">
            <v>0</v>
          </cell>
        </row>
        <row r="140">
          <cell r="A140" t="str">
            <v>TC06</v>
          </cell>
          <cell r="O140">
            <v>0</v>
          </cell>
        </row>
        <row r="141">
          <cell r="A141" t="str">
            <v>TC07</v>
          </cell>
          <cell r="O141">
            <v>0</v>
          </cell>
        </row>
        <row r="142">
          <cell r="A142" t="str">
            <v>TC08</v>
          </cell>
          <cell r="O142">
            <v>0</v>
          </cell>
        </row>
        <row r="143">
          <cell r="A143" t="str">
            <v>TC09</v>
          </cell>
          <cell r="O143">
            <v>0</v>
          </cell>
        </row>
        <row r="144">
          <cell r="A144" t="str">
            <v>TC10</v>
          </cell>
          <cell r="O144">
            <v>0</v>
          </cell>
        </row>
        <row r="145">
          <cell r="A145" t="str">
            <v>TC11</v>
          </cell>
          <cell r="O145">
            <v>0</v>
          </cell>
        </row>
        <row r="146">
          <cell r="A146" t="str">
            <v>TC12</v>
          </cell>
          <cell r="O146">
            <v>0</v>
          </cell>
        </row>
        <row r="147">
          <cell r="A147" t="str">
            <v>TC13</v>
          </cell>
          <cell r="O147">
            <v>0</v>
          </cell>
        </row>
        <row r="148">
          <cell r="A148" t="str">
            <v>TC14</v>
          </cell>
          <cell r="O148">
            <v>0</v>
          </cell>
        </row>
        <row r="149">
          <cell r="A149" t="str">
            <v>TC15</v>
          </cell>
          <cell r="O149">
            <v>0</v>
          </cell>
        </row>
        <row r="150">
          <cell r="A150" t="str">
            <v>TC16</v>
          </cell>
          <cell r="O150">
            <v>0</v>
          </cell>
        </row>
        <row r="151">
          <cell r="A151" t="str">
            <v>TC17</v>
          </cell>
          <cell r="O151">
            <v>0</v>
          </cell>
        </row>
        <row r="152">
          <cell r="A152" t="str">
            <v>TC18</v>
          </cell>
          <cell r="O152">
            <v>0</v>
          </cell>
        </row>
        <row r="153">
          <cell r="A153" t="str">
            <v>TC19</v>
          </cell>
          <cell r="O153">
            <v>0</v>
          </cell>
        </row>
        <row r="154">
          <cell r="A154" t="str">
            <v>TC20</v>
          </cell>
          <cell r="O154">
            <v>0</v>
          </cell>
        </row>
        <row r="155">
          <cell r="A155" t="str">
            <v>VM01</v>
          </cell>
          <cell r="O155">
            <v>0</v>
          </cell>
        </row>
        <row r="156">
          <cell r="A156" t="str">
            <v>API02</v>
          </cell>
          <cell r="O156">
            <v>0</v>
          </cell>
        </row>
        <row r="157">
          <cell r="A157" t="str">
            <v>APP01</v>
          </cell>
          <cell r="O157">
            <v>0</v>
          </cell>
        </row>
        <row r="158">
          <cell r="A158" t="str">
            <v>CLP01</v>
          </cell>
          <cell r="O158">
            <v>0</v>
          </cell>
        </row>
        <row r="159">
          <cell r="A159" t="str">
            <v>CLP02</v>
          </cell>
          <cell r="O159">
            <v>0</v>
          </cell>
        </row>
        <row r="160">
          <cell r="A160" t="str">
            <v>CA01</v>
          </cell>
          <cell r="O160">
            <v>0</v>
          </cell>
        </row>
        <row r="161">
          <cell r="A161" t="str">
            <v>SC01</v>
          </cell>
          <cell r="O161">
            <v>0</v>
          </cell>
        </row>
        <row r="162">
          <cell r="A162" t="str">
            <v>FG001</v>
          </cell>
          <cell r="O162">
            <v>0</v>
          </cell>
        </row>
        <row r="163">
          <cell r="A163" t="str">
            <v>FG002</v>
          </cell>
          <cell r="O163">
            <v>0</v>
          </cell>
        </row>
        <row r="164">
          <cell r="A164" t="str">
            <v>FG003</v>
          </cell>
          <cell r="O164">
            <v>0</v>
          </cell>
        </row>
        <row r="165">
          <cell r="A165" t="str">
            <v>FG004</v>
          </cell>
          <cell r="O165">
            <v>0</v>
          </cell>
        </row>
        <row r="166">
          <cell r="A166" t="str">
            <v>FG005</v>
          </cell>
          <cell r="O166">
            <v>2599</v>
          </cell>
        </row>
        <row r="167">
          <cell r="A167" t="str">
            <v>FG006</v>
          </cell>
          <cell r="O167">
            <v>56</v>
          </cell>
        </row>
        <row r="168">
          <cell r="A168" t="str">
            <v>FG007</v>
          </cell>
          <cell r="O168">
            <v>168</v>
          </cell>
        </row>
        <row r="169">
          <cell r="A169" t="str">
            <v>FG008</v>
          </cell>
          <cell r="O169">
            <v>0</v>
          </cell>
        </row>
        <row r="170">
          <cell r="A170" t="str">
            <v>FG009</v>
          </cell>
          <cell r="O170">
            <v>0</v>
          </cell>
        </row>
        <row r="171">
          <cell r="A171" t="str">
            <v>FG010</v>
          </cell>
          <cell r="O171">
            <v>0</v>
          </cell>
        </row>
        <row r="172">
          <cell r="A172" t="str">
            <v>FG011</v>
          </cell>
          <cell r="O172">
            <v>0</v>
          </cell>
        </row>
        <row r="173">
          <cell r="A173" t="str">
            <v>FG012</v>
          </cell>
          <cell r="O173">
            <v>120</v>
          </cell>
        </row>
        <row r="174">
          <cell r="A174" t="str">
            <v>FG013</v>
          </cell>
          <cell r="O174">
            <v>0</v>
          </cell>
        </row>
        <row r="175">
          <cell r="A175" t="str">
            <v>FG014</v>
          </cell>
          <cell r="O175">
            <v>0</v>
          </cell>
        </row>
        <row r="176">
          <cell r="A176" t="str">
            <v>FG015</v>
          </cell>
          <cell r="O176">
            <v>563</v>
          </cell>
        </row>
        <row r="177">
          <cell r="A177" t="str">
            <v>FG017</v>
          </cell>
          <cell r="O177">
            <v>120</v>
          </cell>
        </row>
        <row r="178">
          <cell r="A178" t="str">
            <v>FG018</v>
          </cell>
          <cell r="O178">
            <v>563</v>
          </cell>
        </row>
        <row r="179">
          <cell r="A179" t="str">
            <v>FG019</v>
          </cell>
          <cell r="O179">
            <v>579</v>
          </cell>
        </row>
        <row r="180">
          <cell r="A180" t="str">
            <v>FG020</v>
          </cell>
          <cell r="O180">
            <v>120</v>
          </cell>
        </row>
        <row r="181">
          <cell r="A181" t="str">
            <v>FG021</v>
          </cell>
          <cell r="O181">
            <v>180</v>
          </cell>
        </row>
        <row r="182">
          <cell r="A182" t="str">
            <v>FG022</v>
          </cell>
          <cell r="O182">
            <v>0</v>
          </cell>
        </row>
        <row r="183">
          <cell r="A183" t="str">
            <v>FG023</v>
          </cell>
          <cell r="O183">
            <v>180</v>
          </cell>
        </row>
        <row r="184">
          <cell r="A184" t="str">
            <v>FG024</v>
          </cell>
          <cell r="O184">
            <v>0</v>
          </cell>
        </row>
        <row r="185">
          <cell r="A185" t="str">
            <v>FJ001</v>
          </cell>
          <cell r="O185">
            <v>4520</v>
          </cell>
        </row>
        <row r="186">
          <cell r="A186" t="str">
            <v>FJ002</v>
          </cell>
          <cell r="O186">
            <v>106202</v>
          </cell>
        </row>
        <row r="187">
          <cell r="A187" t="str">
            <v>FJ003</v>
          </cell>
          <cell r="O187">
            <v>110721</v>
          </cell>
        </row>
        <row r="188">
          <cell r="A188" t="str">
            <v>FJ005</v>
          </cell>
          <cell r="O188">
            <v>110721</v>
          </cell>
        </row>
        <row r="189">
          <cell r="A189" t="str">
            <v>FJ006</v>
          </cell>
          <cell r="O189">
            <v>72308</v>
          </cell>
        </row>
        <row r="190">
          <cell r="A190" t="str">
            <v>FG025</v>
          </cell>
          <cell r="O190">
            <v>0</v>
          </cell>
        </row>
        <row r="191">
          <cell r="A191" t="str">
            <v>FG026</v>
          </cell>
          <cell r="O191">
            <v>0</v>
          </cell>
        </row>
        <row r="192">
          <cell r="A192"/>
          <cell r="O192"/>
        </row>
        <row r="193">
          <cell r="A193"/>
          <cell r="O193"/>
        </row>
        <row r="194">
          <cell r="A194"/>
          <cell r="O194"/>
        </row>
        <row r="195">
          <cell r="A195"/>
          <cell r="O195"/>
        </row>
        <row r="196">
          <cell r="A196"/>
          <cell r="O196"/>
        </row>
        <row r="197">
          <cell r="A197"/>
          <cell r="O197"/>
        </row>
        <row r="198">
          <cell r="A198"/>
          <cell r="O198"/>
        </row>
        <row r="199">
          <cell r="A199"/>
          <cell r="O199"/>
        </row>
        <row r="200">
          <cell r="A200"/>
          <cell r="O200"/>
        </row>
        <row r="201">
          <cell r="A201"/>
          <cell r="O201"/>
        </row>
        <row r="202">
          <cell r="A202"/>
          <cell r="O202"/>
        </row>
        <row r="203">
          <cell r="A203"/>
          <cell r="O203"/>
        </row>
        <row r="204">
          <cell r="A204"/>
          <cell r="O204"/>
        </row>
        <row r="205">
          <cell r="A205"/>
          <cell r="O205"/>
        </row>
        <row r="206">
          <cell r="A206"/>
          <cell r="O206"/>
        </row>
        <row r="207">
          <cell r="A207"/>
          <cell r="O207"/>
        </row>
        <row r="208">
          <cell r="A208"/>
          <cell r="O208"/>
        </row>
        <row r="209">
          <cell r="A209"/>
          <cell r="O209"/>
        </row>
        <row r="210">
          <cell r="A210"/>
          <cell r="O210"/>
        </row>
        <row r="211">
          <cell r="A211"/>
          <cell r="O211"/>
        </row>
        <row r="212">
          <cell r="A212"/>
          <cell r="O212"/>
        </row>
        <row r="213">
          <cell r="A213"/>
          <cell r="O213"/>
        </row>
        <row r="214">
          <cell r="A214"/>
          <cell r="O214"/>
        </row>
        <row r="215">
          <cell r="A215"/>
          <cell r="O215"/>
        </row>
        <row r="216">
          <cell r="A216"/>
          <cell r="O216"/>
        </row>
        <row r="217">
          <cell r="A217"/>
          <cell r="O217"/>
        </row>
        <row r="218">
          <cell r="A218"/>
          <cell r="O218"/>
        </row>
        <row r="219">
          <cell r="A219"/>
          <cell r="O219"/>
        </row>
        <row r="220">
          <cell r="A220"/>
          <cell r="O220"/>
        </row>
        <row r="221">
          <cell r="A221"/>
          <cell r="O221"/>
        </row>
        <row r="222">
          <cell r="A222"/>
          <cell r="O222"/>
        </row>
        <row r="223">
          <cell r="A223"/>
          <cell r="O223"/>
        </row>
        <row r="224">
          <cell r="A224"/>
          <cell r="O224"/>
        </row>
        <row r="225">
          <cell r="A225"/>
          <cell r="O225"/>
        </row>
        <row r="226">
          <cell r="A226"/>
          <cell r="O226"/>
        </row>
        <row r="227">
          <cell r="A227"/>
          <cell r="O227"/>
        </row>
        <row r="228">
          <cell r="A228"/>
          <cell r="O228"/>
        </row>
        <row r="229">
          <cell r="A229"/>
          <cell r="O229"/>
        </row>
        <row r="230">
          <cell r="A230"/>
          <cell r="O230"/>
        </row>
        <row r="231">
          <cell r="A231"/>
          <cell r="O231"/>
        </row>
        <row r="232">
          <cell r="A232"/>
          <cell r="O232"/>
        </row>
        <row r="233">
          <cell r="A233"/>
          <cell r="O233"/>
        </row>
        <row r="234">
          <cell r="A234"/>
          <cell r="O234"/>
        </row>
        <row r="235">
          <cell r="A235"/>
          <cell r="O235"/>
        </row>
        <row r="236">
          <cell r="A236"/>
          <cell r="O236"/>
        </row>
        <row r="237">
          <cell r="A237"/>
          <cell r="O237"/>
        </row>
        <row r="238">
          <cell r="A238"/>
          <cell r="O238"/>
        </row>
        <row r="239">
          <cell r="A239"/>
          <cell r="O239"/>
        </row>
        <row r="240">
          <cell r="A240"/>
          <cell r="O240"/>
        </row>
        <row r="241">
          <cell r="A241"/>
          <cell r="O241"/>
        </row>
        <row r="242">
          <cell r="A242"/>
          <cell r="O242"/>
        </row>
        <row r="243">
          <cell r="A243"/>
          <cell r="O243"/>
        </row>
        <row r="244">
          <cell r="A244"/>
          <cell r="O244"/>
        </row>
        <row r="245">
          <cell r="A245"/>
          <cell r="O245"/>
        </row>
        <row r="246">
          <cell r="A246"/>
          <cell r="O246"/>
        </row>
        <row r="247">
          <cell r="A247"/>
          <cell r="O247"/>
        </row>
        <row r="248">
          <cell r="A248"/>
          <cell r="O248"/>
        </row>
        <row r="249">
          <cell r="A249"/>
          <cell r="O249"/>
        </row>
        <row r="250">
          <cell r="A250"/>
          <cell r="O250"/>
        </row>
        <row r="251">
          <cell r="A251"/>
          <cell r="O251"/>
        </row>
        <row r="252">
          <cell r="A252"/>
          <cell r="O252"/>
        </row>
        <row r="253">
          <cell r="A253"/>
          <cell r="O253"/>
        </row>
        <row r="254">
          <cell r="A254"/>
          <cell r="O254"/>
        </row>
        <row r="255">
          <cell r="A255"/>
          <cell r="O255"/>
        </row>
        <row r="256">
          <cell r="A256"/>
          <cell r="O256"/>
        </row>
        <row r="257">
          <cell r="A257"/>
          <cell r="O257"/>
        </row>
        <row r="258">
          <cell r="A258"/>
          <cell r="O258"/>
        </row>
        <row r="259">
          <cell r="A259"/>
          <cell r="O259"/>
        </row>
        <row r="260">
          <cell r="A260"/>
          <cell r="O260"/>
        </row>
        <row r="261">
          <cell r="A261"/>
          <cell r="O261"/>
        </row>
        <row r="262">
          <cell r="A262"/>
          <cell r="O262"/>
        </row>
        <row r="263">
          <cell r="A263"/>
          <cell r="O263"/>
        </row>
        <row r="264">
          <cell r="A264"/>
          <cell r="O264"/>
        </row>
        <row r="265">
          <cell r="A265"/>
          <cell r="O265"/>
        </row>
        <row r="266">
          <cell r="A266"/>
          <cell r="O266"/>
        </row>
        <row r="267">
          <cell r="A267"/>
          <cell r="O267"/>
        </row>
        <row r="268">
          <cell r="A268"/>
          <cell r="O268"/>
        </row>
        <row r="269">
          <cell r="A269"/>
          <cell r="O269"/>
        </row>
        <row r="270">
          <cell r="A270"/>
          <cell r="O270"/>
        </row>
        <row r="271">
          <cell r="A271"/>
          <cell r="O271"/>
        </row>
        <row r="272">
          <cell r="A272"/>
          <cell r="O272"/>
        </row>
        <row r="273">
          <cell r="A273"/>
          <cell r="O273"/>
        </row>
        <row r="274">
          <cell r="A274"/>
          <cell r="O274"/>
        </row>
        <row r="275">
          <cell r="A275"/>
          <cell r="O275"/>
        </row>
        <row r="276">
          <cell r="A276"/>
          <cell r="O276"/>
        </row>
        <row r="277">
          <cell r="A277"/>
          <cell r="O277"/>
        </row>
        <row r="278">
          <cell r="A278"/>
          <cell r="O278"/>
        </row>
        <row r="279">
          <cell r="A279"/>
          <cell r="O279"/>
        </row>
        <row r="280">
          <cell r="A280"/>
          <cell r="O280"/>
        </row>
        <row r="281">
          <cell r="A281"/>
          <cell r="O281"/>
        </row>
        <row r="282">
          <cell r="A282"/>
          <cell r="O282"/>
        </row>
        <row r="283">
          <cell r="A283"/>
          <cell r="O283"/>
        </row>
        <row r="284">
          <cell r="A284"/>
          <cell r="O284"/>
        </row>
        <row r="285">
          <cell r="A285"/>
          <cell r="O285"/>
        </row>
        <row r="286">
          <cell r="A286"/>
          <cell r="O286"/>
        </row>
        <row r="287">
          <cell r="A287"/>
          <cell r="O287"/>
        </row>
        <row r="288">
          <cell r="A288"/>
          <cell r="O288"/>
        </row>
        <row r="289">
          <cell r="A289"/>
          <cell r="O289"/>
        </row>
        <row r="290">
          <cell r="A290"/>
          <cell r="O290"/>
        </row>
        <row r="291">
          <cell r="A291"/>
          <cell r="O291"/>
        </row>
        <row r="292">
          <cell r="A292"/>
          <cell r="O292"/>
        </row>
        <row r="293">
          <cell r="A293"/>
          <cell r="O293"/>
        </row>
        <row r="294">
          <cell r="A294"/>
          <cell r="O294"/>
        </row>
        <row r="295">
          <cell r="A295"/>
          <cell r="O295"/>
        </row>
        <row r="296">
          <cell r="A296"/>
          <cell r="O296"/>
        </row>
        <row r="297">
          <cell r="A297"/>
          <cell r="O297"/>
        </row>
        <row r="298">
          <cell r="A298"/>
          <cell r="O298"/>
        </row>
        <row r="299">
          <cell r="A299"/>
          <cell r="O299"/>
        </row>
        <row r="300">
          <cell r="A300"/>
          <cell r="O300"/>
        </row>
        <row r="301">
          <cell r="A301"/>
          <cell r="O301"/>
        </row>
        <row r="302">
          <cell r="A302"/>
          <cell r="O302"/>
        </row>
        <row r="303">
          <cell r="A303"/>
          <cell r="O303"/>
        </row>
        <row r="304">
          <cell r="A304"/>
          <cell r="O304"/>
        </row>
        <row r="305">
          <cell r="A305"/>
          <cell r="O305"/>
        </row>
        <row r="306">
          <cell r="A306"/>
          <cell r="O306"/>
        </row>
        <row r="307">
          <cell r="A307"/>
          <cell r="O307"/>
        </row>
        <row r="308">
          <cell r="A308"/>
          <cell r="O308"/>
        </row>
        <row r="309">
          <cell r="A309"/>
          <cell r="O309"/>
        </row>
        <row r="310">
          <cell r="A310"/>
          <cell r="O310"/>
        </row>
        <row r="311">
          <cell r="A311"/>
          <cell r="O311"/>
        </row>
        <row r="312">
          <cell r="A312"/>
          <cell r="O312"/>
        </row>
        <row r="313">
          <cell r="A313"/>
          <cell r="O313"/>
        </row>
        <row r="314">
          <cell r="A314"/>
          <cell r="O314"/>
        </row>
        <row r="315">
          <cell r="A315"/>
          <cell r="O315"/>
        </row>
        <row r="316">
          <cell r="A316"/>
          <cell r="O316"/>
        </row>
        <row r="317">
          <cell r="A317"/>
          <cell r="O317"/>
        </row>
        <row r="318">
          <cell r="A318"/>
          <cell r="O318"/>
        </row>
        <row r="319">
          <cell r="A319"/>
          <cell r="O319"/>
        </row>
        <row r="320">
          <cell r="A320"/>
          <cell r="O320"/>
        </row>
        <row r="321">
          <cell r="A321"/>
          <cell r="O321"/>
        </row>
        <row r="322">
          <cell r="A322"/>
          <cell r="O322"/>
        </row>
        <row r="323">
          <cell r="A323"/>
          <cell r="O323"/>
        </row>
        <row r="324">
          <cell r="A324"/>
          <cell r="O324"/>
        </row>
        <row r="325">
          <cell r="A325"/>
          <cell r="O325"/>
        </row>
        <row r="326">
          <cell r="A326"/>
          <cell r="O326"/>
        </row>
        <row r="327">
          <cell r="A327"/>
          <cell r="O327"/>
        </row>
        <row r="328">
          <cell r="A328"/>
          <cell r="O328"/>
        </row>
        <row r="329">
          <cell r="A329"/>
          <cell r="O329"/>
        </row>
        <row r="330">
          <cell r="A330"/>
          <cell r="O330"/>
        </row>
        <row r="331">
          <cell r="A331"/>
          <cell r="O331"/>
        </row>
        <row r="332">
          <cell r="A332"/>
          <cell r="O332"/>
        </row>
        <row r="333">
          <cell r="A333"/>
          <cell r="O333"/>
        </row>
        <row r="334">
          <cell r="A334"/>
          <cell r="O334"/>
        </row>
        <row r="335">
          <cell r="A335"/>
          <cell r="O335"/>
        </row>
        <row r="336">
          <cell r="A336"/>
          <cell r="O336"/>
        </row>
        <row r="337">
          <cell r="A337"/>
          <cell r="O337"/>
        </row>
        <row r="338">
          <cell r="A338"/>
          <cell r="O338"/>
        </row>
        <row r="339">
          <cell r="A339"/>
          <cell r="O339"/>
        </row>
        <row r="340">
          <cell r="A340"/>
          <cell r="O340"/>
        </row>
        <row r="341">
          <cell r="A341"/>
          <cell r="O341"/>
        </row>
        <row r="342">
          <cell r="A342"/>
          <cell r="O342"/>
        </row>
        <row r="343">
          <cell r="A343"/>
          <cell r="O343"/>
        </row>
        <row r="344">
          <cell r="A344"/>
          <cell r="O344"/>
        </row>
        <row r="345">
          <cell r="A345"/>
          <cell r="O345"/>
        </row>
        <row r="346">
          <cell r="A346"/>
          <cell r="O346"/>
        </row>
        <row r="347">
          <cell r="A347"/>
          <cell r="O347"/>
        </row>
        <row r="348">
          <cell r="A348"/>
          <cell r="O348"/>
        </row>
        <row r="349">
          <cell r="A349"/>
          <cell r="O349"/>
        </row>
        <row r="350">
          <cell r="A350"/>
          <cell r="O350"/>
        </row>
        <row r="351">
          <cell r="A351"/>
          <cell r="O351"/>
        </row>
        <row r="352">
          <cell r="A352"/>
          <cell r="O352"/>
        </row>
        <row r="353">
          <cell r="A353"/>
          <cell r="O353"/>
        </row>
        <row r="354">
          <cell r="A354"/>
          <cell r="O354"/>
        </row>
        <row r="355">
          <cell r="A355"/>
          <cell r="O355"/>
        </row>
        <row r="356">
          <cell r="A356"/>
          <cell r="O356"/>
        </row>
        <row r="357">
          <cell r="A357"/>
          <cell r="O357"/>
        </row>
        <row r="358">
          <cell r="A358"/>
          <cell r="O358"/>
        </row>
        <row r="359">
          <cell r="A359"/>
          <cell r="O359"/>
        </row>
        <row r="360">
          <cell r="A360"/>
          <cell r="O360"/>
        </row>
        <row r="361">
          <cell r="A361"/>
          <cell r="O361"/>
        </row>
        <row r="362">
          <cell r="A362"/>
          <cell r="O362"/>
        </row>
        <row r="363">
          <cell r="A363"/>
          <cell r="O363"/>
        </row>
        <row r="364">
          <cell r="A364"/>
          <cell r="O364"/>
        </row>
        <row r="365">
          <cell r="A365"/>
          <cell r="O365"/>
        </row>
        <row r="366">
          <cell r="A366"/>
          <cell r="O366"/>
        </row>
        <row r="367">
          <cell r="A367"/>
          <cell r="O367"/>
        </row>
        <row r="368">
          <cell r="A368"/>
          <cell r="O368"/>
        </row>
        <row r="369">
          <cell r="A369"/>
          <cell r="O369"/>
        </row>
      </sheetData>
      <sheetData sheetId="6">
        <row r="3">
          <cell r="C3"/>
          <cell r="D3"/>
          <cell r="E3"/>
          <cell r="F3"/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</row>
        <row r="4">
          <cell r="C4"/>
          <cell r="D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</row>
        <row r="5">
          <cell r="C5"/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/>
        </row>
        <row r="6"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  <cell r="R6"/>
        </row>
        <row r="7">
          <cell r="C7">
            <v>155</v>
          </cell>
          <cell r="D7"/>
          <cell r="E7">
            <v>90</v>
          </cell>
          <cell r="F7"/>
          <cell r="G7">
            <v>110</v>
          </cell>
          <cell r="H7"/>
          <cell r="I7">
            <v>65</v>
          </cell>
          <cell r="J7"/>
          <cell r="K7"/>
          <cell r="L7"/>
          <cell r="M7">
            <v>20</v>
          </cell>
          <cell r="N7"/>
          <cell r="O7">
            <v>60</v>
          </cell>
          <cell r="P7">
            <v>182</v>
          </cell>
          <cell r="Q7"/>
          <cell r="R7"/>
        </row>
        <row r="8">
          <cell r="C8">
            <v>58</v>
          </cell>
          <cell r="D8"/>
          <cell r="E8"/>
          <cell r="F8"/>
          <cell r="G8">
            <v>65</v>
          </cell>
          <cell r="H8"/>
          <cell r="I8">
            <v>70</v>
          </cell>
          <cell r="J8"/>
          <cell r="K8"/>
          <cell r="L8"/>
          <cell r="M8"/>
          <cell r="N8"/>
          <cell r="O8"/>
          <cell r="P8">
            <v>38</v>
          </cell>
          <cell r="Q8"/>
          <cell r="R8"/>
        </row>
        <row r="9">
          <cell r="C9">
            <v>147</v>
          </cell>
          <cell r="D9"/>
          <cell r="E9">
            <v>25</v>
          </cell>
          <cell r="F9"/>
          <cell r="G9">
            <v>135</v>
          </cell>
          <cell r="H9"/>
          <cell r="I9">
            <v>107</v>
          </cell>
          <cell r="J9"/>
          <cell r="K9"/>
          <cell r="L9">
            <v>20</v>
          </cell>
          <cell r="M9"/>
          <cell r="N9">
            <v>38</v>
          </cell>
          <cell r="O9"/>
          <cell r="P9">
            <v>158</v>
          </cell>
          <cell r="Q9"/>
          <cell r="R9"/>
        </row>
        <row r="10">
          <cell r="C10">
            <v>30</v>
          </cell>
          <cell r="D10"/>
          <cell r="E10">
            <v>130</v>
          </cell>
          <cell r="F10"/>
          <cell r="G10"/>
          <cell r="H10">
            <v>60</v>
          </cell>
          <cell r="I10">
            <v>50</v>
          </cell>
          <cell r="J10"/>
          <cell r="K10">
            <v>50</v>
          </cell>
          <cell r="L10">
            <v>120</v>
          </cell>
          <cell r="M10">
            <v>50</v>
          </cell>
          <cell r="N10"/>
          <cell r="O10">
            <v>50</v>
          </cell>
          <cell r="P10"/>
          <cell r="Q10"/>
          <cell r="R10"/>
        </row>
        <row r="11"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>
            <v>11</v>
          </cell>
          <cell r="O11"/>
          <cell r="P11">
            <v>11</v>
          </cell>
          <cell r="Q11"/>
          <cell r="R11"/>
        </row>
        <row r="12"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  <cell r="R12"/>
        </row>
        <row r="13">
          <cell r="C13"/>
          <cell r="D13"/>
          <cell r="E13">
            <v>100</v>
          </cell>
          <cell r="F13"/>
          <cell r="G13"/>
          <cell r="H13"/>
          <cell r="I13">
            <v>50</v>
          </cell>
          <cell r="J13"/>
          <cell r="K13"/>
          <cell r="L13"/>
          <cell r="M13"/>
          <cell r="N13"/>
          <cell r="O13"/>
          <cell r="P13"/>
          <cell r="Q13"/>
          <cell r="R13"/>
        </row>
        <row r="14">
          <cell r="C14">
            <v>121</v>
          </cell>
          <cell r="D14"/>
          <cell r="E14"/>
          <cell r="F14"/>
          <cell r="G14">
            <v>40</v>
          </cell>
          <cell r="H14">
            <v>69</v>
          </cell>
          <cell r="I14">
            <v>8</v>
          </cell>
          <cell r="J14">
            <v>50</v>
          </cell>
          <cell r="K14">
            <v>30</v>
          </cell>
          <cell r="L14">
            <v>47</v>
          </cell>
          <cell r="M14">
            <v>30</v>
          </cell>
          <cell r="N14"/>
          <cell r="O14"/>
          <cell r="P14"/>
          <cell r="Q14"/>
          <cell r="R14"/>
        </row>
        <row r="15"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>
            <v>32</v>
          </cell>
          <cell r="O15"/>
          <cell r="P15">
            <v>16</v>
          </cell>
          <cell r="Q15"/>
          <cell r="R15"/>
        </row>
        <row r="16"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</row>
        <row r="17">
          <cell r="C17">
            <v>347</v>
          </cell>
          <cell r="E17">
            <v>105</v>
          </cell>
          <cell r="F17"/>
          <cell r="G17">
            <v>328</v>
          </cell>
          <cell r="H17">
            <v>75</v>
          </cell>
          <cell r="I17">
            <v>180</v>
          </cell>
          <cell r="J17">
            <v>202</v>
          </cell>
          <cell r="K17">
            <v>50</v>
          </cell>
          <cell r="L17">
            <v>160</v>
          </cell>
          <cell r="M17">
            <v>20</v>
          </cell>
          <cell r="N17">
            <v>378</v>
          </cell>
          <cell r="O17">
            <v>60</v>
          </cell>
          <cell r="P17">
            <v>378</v>
          </cell>
          <cell r="Q17"/>
          <cell r="R17"/>
        </row>
        <row r="18">
          <cell r="C18">
            <v>121</v>
          </cell>
          <cell r="D18"/>
          <cell r="E18"/>
          <cell r="F18"/>
          <cell r="G18">
            <v>40</v>
          </cell>
          <cell r="H18">
            <v>69</v>
          </cell>
          <cell r="I18">
            <v>8</v>
          </cell>
          <cell r="J18">
            <v>50</v>
          </cell>
          <cell r="K18">
            <v>30</v>
          </cell>
          <cell r="L18">
            <v>47</v>
          </cell>
          <cell r="M18">
            <v>30</v>
          </cell>
          <cell r="N18">
            <v>16</v>
          </cell>
          <cell r="O18">
            <v>30</v>
          </cell>
          <cell r="P18">
            <v>16</v>
          </cell>
          <cell r="Q18"/>
          <cell r="R18"/>
        </row>
        <row r="19">
          <cell r="C19">
            <v>386</v>
          </cell>
          <cell r="D19"/>
          <cell r="E19">
            <v>105</v>
          </cell>
          <cell r="F19">
            <v>80</v>
          </cell>
          <cell r="G19">
            <v>328</v>
          </cell>
          <cell r="H19">
            <v>75</v>
          </cell>
          <cell r="I19">
            <v>220</v>
          </cell>
          <cell r="J19">
            <v>82</v>
          </cell>
          <cell r="K19">
            <v>50</v>
          </cell>
          <cell r="L19">
            <v>460</v>
          </cell>
          <cell r="M19">
            <v>20</v>
          </cell>
          <cell r="N19">
            <v>378</v>
          </cell>
          <cell r="O19">
            <v>60</v>
          </cell>
          <cell r="P19">
            <v>378</v>
          </cell>
          <cell r="Q19"/>
          <cell r="R19"/>
        </row>
        <row r="20">
          <cell r="C20"/>
          <cell r="D20"/>
          <cell r="E20"/>
          <cell r="F20">
            <v>80</v>
          </cell>
          <cell r="G20"/>
          <cell r="H20"/>
          <cell r="J20">
            <v>90</v>
          </cell>
          <cell r="K20"/>
          <cell r="L20">
            <v>120</v>
          </cell>
          <cell r="M20"/>
          <cell r="N20"/>
        </row>
        <row r="21">
          <cell r="C21">
            <v>121</v>
          </cell>
          <cell r="D21"/>
          <cell r="E21"/>
          <cell r="F21"/>
          <cell r="G21">
            <v>40</v>
          </cell>
          <cell r="H21">
            <v>69</v>
          </cell>
          <cell r="I21">
            <v>8</v>
          </cell>
          <cell r="J21"/>
          <cell r="K21">
            <v>30</v>
          </cell>
          <cell r="L21">
            <v>47</v>
          </cell>
          <cell r="M21">
            <v>30</v>
          </cell>
          <cell r="N21">
            <v>32</v>
          </cell>
          <cell r="O21"/>
          <cell r="P21"/>
          <cell r="Q21"/>
          <cell r="R21"/>
        </row>
        <row r="22">
          <cell r="C22">
            <v>86</v>
          </cell>
          <cell r="D22"/>
          <cell r="E22"/>
          <cell r="F22">
            <v>24</v>
          </cell>
          <cell r="G22">
            <v>20</v>
          </cell>
          <cell r="H22">
            <v>24</v>
          </cell>
          <cell r="I22">
            <v>4</v>
          </cell>
          <cell r="J22"/>
          <cell r="K22"/>
          <cell r="L22">
            <v>16</v>
          </cell>
          <cell r="M22"/>
          <cell r="N22">
            <v>8</v>
          </cell>
        </row>
        <row r="23">
          <cell r="C23"/>
          <cell r="D23"/>
          <cell r="E23"/>
          <cell r="F23"/>
          <cell r="G23"/>
          <cell r="H23"/>
          <cell r="I23"/>
          <cell r="J23"/>
          <cell r="K23">
            <v>6</v>
          </cell>
          <cell r="L23">
            <v>8</v>
          </cell>
          <cell r="M23"/>
          <cell r="N23">
            <v>10</v>
          </cell>
          <cell r="O23"/>
          <cell r="P23"/>
          <cell r="Q23"/>
          <cell r="R23"/>
        </row>
        <row r="24">
          <cell r="C24">
            <v>76</v>
          </cell>
          <cell r="D24"/>
          <cell r="E24"/>
          <cell r="F24">
            <v>24</v>
          </cell>
          <cell r="G24">
            <v>20</v>
          </cell>
          <cell r="H24">
            <v>24</v>
          </cell>
          <cell r="I24">
            <v>4</v>
          </cell>
          <cell r="J24"/>
          <cell r="K24"/>
          <cell r="L24">
            <v>16</v>
          </cell>
          <cell r="M24"/>
          <cell r="N24">
            <v>8</v>
          </cell>
          <cell r="O24"/>
          <cell r="P24"/>
          <cell r="Q24"/>
          <cell r="R24"/>
        </row>
        <row r="25">
          <cell r="C25"/>
          <cell r="D25"/>
          <cell r="E25"/>
          <cell r="F25"/>
          <cell r="G25"/>
          <cell r="H25"/>
          <cell r="I25"/>
          <cell r="J25"/>
          <cell r="K25">
            <v>6</v>
          </cell>
          <cell r="L25">
            <v>8</v>
          </cell>
          <cell r="M25"/>
          <cell r="N25">
            <v>32</v>
          </cell>
          <cell r="O25"/>
          <cell r="P25"/>
          <cell r="Q25"/>
          <cell r="R25"/>
        </row>
        <row r="26">
          <cell r="C26">
            <v>416</v>
          </cell>
          <cell r="D26">
            <v>891</v>
          </cell>
          <cell r="E26">
            <v>256</v>
          </cell>
          <cell r="F26">
            <v>376</v>
          </cell>
          <cell r="G26">
            <v>336</v>
          </cell>
          <cell r="H26">
            <v>276</v>
          </cell>
          <cell r="I26">
            <v>368</v>
          </cell>
          <cell r="J26">
            <v>416</v>
          </cell>
          <cell r="K26">
            <v>288</v>
          </cell>
          <cell r="L26">
            <v>320</v>
          </cell>
          <cell r="M26">
            <v>288</v>
          </cell>
          <cell r="N26">
            <v>320</v>
          </cell>
          <cell r="O26"/>
          <cell r="P26"/>
          <cell r="Q26"/>
          <cell r="R26"/>
        </row>
        <row r="27">
          <cell r="C27">
            <v>10265</v>
          </cell>
          <cell r="D27">
            <v>21109</v>
          </cell>
          <cell r="E27">
            <v>6016</v>
          </cell>
          <cell r="F27">
            <v>9032</v>
          </cell>
          <cell r="G27">
            <v>7896</v>
          </cell>
          <cell r="H27">
            <v>6392</v>
          </cell>
          <cell r="I27">
            <v>8648</v>
          </cell>
          <cell r="J27">
            <v>9776</v>
          </cell>
          <cell r="K27">
            <v>6768</v>
          </cell>
          <cell r="L27">
            <v>7520</v>
          </cell>
          <cell r="M27">
            <v>6768</v>
          </cell>
          <cell r="N27">
            <v>7520</v>
          </cell>
          <cell r="O27"/>
          <cell r="P27"/>
          <cell r="Q27"/>
          <cell r="R27"/>
        </row>
        <row r="28">
          <cell r="C28">
            <v>10702</v>
          </cell>
          <cell r="D28">
            <v>21682</v>
          </cell>
          <cell r="E28">
            <v>6272</v>
          </cell>
          <cell r="F28">
            <v>9216</v>
          </cell>
          <cell r="G28">
            <v>8232</v>
          </cell>
          <cell r="H28">
            <v>6664</v>
          </cell>
          <cell r="I28">
            <v>9226</v>
          </cell>
          <cell r="J28">
            <v>10192</v>
          </cell>
          <cell r="K28">
            <v>7056</v>
          </cell>
          <cell r="L28">
            <v>7840</v>
          </cell>
          <cell r="M28">
            <v>7056</v>
          </cell>
          <cell r="N28">
            <v>7581</v>
          </cell>
          <cell r="O28"/>
          <cell r="P28"/>
          <cell r="Q28"/>
          <cell r="R28"/>
        </row>
        <row r="29">
          <cell r="C29">
            <v>10702</v>
          </cell>
          <cell r="D29">
            <v>21962</v>
          </cell>
          <cell r="E29">
            <v>6272</v>
          </cell>
          <cell r="F29">
            <v>9216</v>
          </cell>
          <cell r="G29">
            <v>8232</v>
          </cell>
          <cell r="H29">
            <v>6664</v>
          </cell>
          <cell r="I29">
            <v>9226</v>
          </cell>
          <cell r="J29">
            <v>10192</v>
          </cell>
          <cell r="K29">
            <v>7056</v>
          </cell>
          <cell r="L29">
            <v>7840</v>
          </cell>
          <cell r="M29">
            <v>7056</v>
          </cell>
          <cell r="N29">
            <v>7581</v>
          </cell>
          <cell r="O29"/>
          <cell r="P29"/>
          <cell r="Q29"/>
          <cell r="R29"/>
        </row>
        <row r="30">
          <cell r="C30">
            <v>6989</v>
          </cell>
          <cell r="D30">
            <v>14580</v>
          </cell>
          <cell r="E30">
            <v>4160</v>
          </cell>
          <cell r="F30">
            <v>6760</v>
          </cell>
          <cell r="G30">
            <v>5460</v>
          </cell>
          <cell r="H30">
            <v>4420</v>
          </cell>
          <cell r="I30">
            <v>5980</v>
          </cell>
          <cell r="J30">
            <v>6760</v>
          </cell>
          <cell r="K30">
            <v>5460</v>
          </cell>
          <cell r="L30">
            <v>5200</v>
          </cell>
          <cell r="M30">
            <v>5200</v>
          </cell>
          <cell r="N30">
            <v>5460</v>
          </cell>
          <cell r="O30"/>
          <cell r="P30"/>
          <cell r="Q30"/>
          <cell r="R30"/>
        </row>
      </sheetData>
      <sheetData sheetId="7"/>
      <sheetData sheetId="8"/>
      <sheetData sheetId="9">
        <row r="20">
          <cell r="O20">
            <v>0.05</v>
          </cell>
        </row>
        <row r="21">
          <cell r="O21">
            <v>0.05</v>
          </cell>
        </row>
        <row r="22">
          <cell r="O22">
            <v>0.05</v>
          </cell>
        </row>
        <row r="23">
          <cell r="O23">
            <v>0.05</v>
          </cell>
        </row>
        <row r="24">
          <cell r="O24">
            <v>0.05</v>
          </cell>
        </row>
        <row r="25">
          <cell r="O25">
            <v>0.05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B11" t="str">
            <v>PARABOLT Ø1/2" X 4"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B12" t="str">
            <v>PARAF. AB Ø1/4" X 1/2"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B13" t="str">
            <v>PARAF. AB Ø1/4" X 2"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</row>
        <row r="14">
          <cell r="B14" t="str">
            <v>PARAF. AB Ø1/4" X 3/4"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</row>
        <row r="15">
          <cell r="B15" t="str">
            <v>PARAF. Ø1/2" X 1 3/4"</v>
          </cell>
          <cell r="C15">
            <v>500</v>
          </cell>
          <cell r="D15">
            <v>0.73313782991202348</v>
          </cell>
          <cell r="E15">
            <v>182</v>
          </cell>
          <cell r="F15">
            <v>0.26686217008797652</v>
          </cell>
          <cell r="G15">
            <v>682</v>
          </cell>
        </row>
        <row r="16">
          <cell r="B16" t="str">
            <v>PARAF. Ø1/2" X 2 1/4"</v>
          </cell>
          <cell r="C16">
            <v>193</v>
          </cell>
          <cell r="D16">
            <v>0.83549783549783552</v>
          </cell>
          <cell r="E16">
            <v>38</v>
          </cell>
          <cell r="F16">
            <v>0.16450216450216451</v>
          </cell>
          <cell r="G16">
            <v>231</v>
          </cell>
        </row>
        <row r="17">
          <cell r="B17" t="str">
            <v>PARAF. Ø1/2" X 2"</v>
          </cell>
          <cell r="C17">
            <v>414</v>
          </cell>
          <cell r="D17">
            <v>0.65714285714285714</v>
          </cell>
          <cell r="E17">
            <v>216</v>
          </cell>
          <cell r="F17">
            <v>0.34285714285714286</v>
          </cell>
          <cell r="G17">
            <v>630</v>
          </cell>
        </row>
        <row r="18">
          <cell r="B18" t="str">
            <v>PARAF. Ø3/8" X 1 1/2"</v>
          </cell>
          <cell r="C18">
            <v>360</v>
          </cell>
          <cell r="D18">
            <v>0.66666666666666663</v>
          </cell>
          <cell r="E18">
            <v>180</v>
          </cell>
          <cell r="F18">
            <v>0.33333333333333331</v>
          </cell>
          <cell r="G18">
            <v>540</v>
          </cell>
        </row>
        <row r="19">
          <cell r="B19" t="str">
            <v>PARAF. Ø3/8" X 1 1/4"</v>
          </cell>
          <cell r="C19">
            <v>0</v>
          </cell>
          <cell r="D19">
            <v>0</v>
          </cell>
          <cell r="E19">
            <v>22</v>
          </cell>
          <cell r="F19">
            <v>1</v>
          </cell>
          <cell r="G19">
            <v>22</v>
          </cell>
        </row>
        <row r="20">
          <cell r="B20" t="str">
            <v>PARAF. Ø3/8" X 1 3/4"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</row>
        <row r="21">
          <cell r="B21" t="str">
            <v>PARAF. Ø3/8" X 1"</v>
          </cell>
          <cell r="C21">
            <v>150</v>
          </cell>
          <cell r="D21">
            <v>1</v>
          </cell>
          <cell r="E21">
            <v>0</v>
          </cell>
          <cell r="F21">
            <v>0</v>
          </cell>
          <cell r="G21">
            <v>150</v>
          </cell>
        </row>
        <row r="22">
          <cell r="B22" t="str">
            <v>PARAF. Ø7/8" X 2 1/4"</v>
          </cell>
          <cell r="C22">
            <v>229</v>
          </cell>
          <cell r="D22">
            <v>0.57974683544303796</v>
          </cell>
          <cell r="E22">
            <v>166</v>
          </cell>
          <cell r="F22">
            <v>0.42025316455696204</v>
          </cell>
          <cell r="G22">
            <v>395</v>
          </cell>
        </row>
        <row r="23">
          <cell r="B23" t="str">
            <v>PARAF. Ø7/8" X 2 3/4"</v>
          </cell>
          <cell r="C23">
            <v>0</v>
          </cell>
          <cell r="D23">
            <v>0</v>
          </cell>
          <cell r="E23">
            <v>48</v>
          </cell>
          <cell r="F23">
            <v>1</v>
          </cell>
          <cell r="G23">
            <v>48</v>
          </cell>
        </row>
        <row r="24">
          <cell r="B24" t="str">
            <v>PARAF. Ø7/8" X 2"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</row>
        <row r="25">
          <cell r="B25" t="str">
            <v>PORCA Ø1/2"</v>
          </cell>
          <cell r="C25">
            <v>1090</v>
          </cell>
          <cell r="D25">
            <v>0.4774419623302672</v>
          </cell>
          <cell r="E25">
            <v>1193</v>
          </cell>
          <cell r="F25">
            <v>0.52255803766973286</v>
          </cell>
          <cell r="G25">
            <v>2283</v>
          </cell>
        </row>
        <row r="26">
          <cell r="B26" t="str">
            <v>PORCA Ø7/8"</v>
          </cell>
          <cell r="C26">
            <v>259</v>
          </cell>
          <cell r="D26">
            <v>0.56673960612691465</v>
          </cell>
          <cell r="E26">
            <v>198</v>
          </cell>
          <cell r="F26">
            <v>0.43326039387308535</v>
          </cell>
          <cell r="G26">
            <v>457</v>
          </cell>
        </row>
        <row r="27">
          <cell r="B27" t="str">
            <v>ARRUELA Ø1/2"</v>
          </cell>
          <cell r="C27">
            <v>1169</v>
          </cell>
          <cell r="D27">
            <v>0.44584286803966439</v>
          </cell>
          <cell r="E27">
            <v>1453</v>
          </cell>
          <cell r="F27">
            <v>0.55415713196033567</v>
          </cell>
          <cell r="G27">
            <v>2622</v>
          </cell>
        </row>
        <row r="28">
          <cell r="B28" t="str">
            <v>PARAF. Ø1/2" X 1 1/2"</v>
          </cell>
          <cell r="C28">
            <v>0</v>
          </cell>
          <cell r="D28">
            <v>0</v>
          </cell>
          <cell r="E28">
            <v>290</v>
          </cell>
          <cell r="F28">
            <v>1</v>
          </cell>
          <cell r="G28">
            <v>290</v>
          </cell>
        </row>
        <row r="29">
          <cell r="B29" t="str">
            <v>ARRUELA Ø7/8"</v>
          </cell>
          <cell r="C29">
            <v>229</v>
          </cell>
          <cell r="D29">
            <v>0.60742705570291777</v>
          </cell>
          <cell r="E29">
            <v>148</v>
          </cell>
          <cell r="F29">
            <v>0.39257294429708223</v>
          </cell>
          <cell r="G29">
            <v>377</v>
          </cell>
        </row>
        <row r="30">
          <cell r="B30" t="str">
            <v>PORCA Ø1"</v>
          </cell>
          <cell r="C30">
            <v>110</v>
          </cell>
          <cell r="D30">
            <v>0.60439560439560436</v>
          </cell>
          <cell r="E30">
            <v>72</v>
          </cell>
          <cell r="F30">
            <v>0.39560439560439559</v>
          </cell>
          <cell r="G30">
            <v>182</v>
          </cell>
        </row>
        <row r="31">
          <cell r="B31" t="str">
            <v>PORCA Ø3/4"</v>
          </cell>
          <cell r="C31">
            <v>6</v>
          </cell>
          <cell r="D31">
            <v>0.25</v>
          </cell>
          <cell r="E31">
            <v>18</v>
          </cell>
          <cell r="F31">
            <v>0.75</v>
          </cell>
          <cell r="G31">
            <v>24</v>
          </cell>
        </row>
        <row r="32">
          <cell r="B32" t="str">
            <v>ARRUELA Ø1"</v>
          </cell>
          <cell r="C32">
            <v>100</v>
          </cell>
          <cell r="D32">
            <v>0.58139534883720934</v>
          </cell>
          <cell r="E32">
            <v>72</v>
          </cell>
          <cell r="F32">
            <v>0.41860465116279072</v>
          </cell>
          <cell r="G32">
            <v>172</v>
          </cell>
        </row>
        <row r="33">
          <cell r="B33" t="str">
            <v>ARRUELA Ø3/4"</v>
          </cell>
          <cell r="C33">
            <v>6</v>
          </cell>
          <cell r="D33">
            <v>0.13043478260869565</v>
          </cell>
          <cell r="E33">
            <v>40</v>
          </cell>
          <cell r="F33">
            <v>0.86956521739130432</v>
          </cell>
          <cell r="G33">
            <v>46</v>
          </cell>
        </row>
        <row r="34">
          <cell r="B34" t="str">
            <v>PARAF. Ø3/8" X 1"</v>
          </cell>
          <cell r="C34">
            <v>1952</v>
          </cell>
          <cell r="D34">
            <v>0.42891672159964844</v>
          </cell>
          <cell r="E34">
            <v>2599</v>
          </cell>
          <cell r="F34">
            <v>0.57108327840035156</v>
          </cell>
          <cell r="G34">
            <v>4551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86D5-971F-4C08-9FCA-71A732D2C481}">
  <sheetPr>
    <tabColor rgb="FF667843"/>
  </sheetPr>
  <dimension ref="A1:H36"/>
  <sheetViews>
    <sheetView topLeftCell="A12" workbookViewId="0">
      <selection activeCell="J11" sqref="J11"/>
    </sheetView>
  </sheetViews>
  <sheetFormatPr defaultRowHeight="15" x14ac:dyDescent="0.25"/>
  <cols>
    <col min="1" max="1" width="26.7109375" customWidth="1"/>
    <col min="2" max="2" width="20.7109375" customWidth="1"/>
    <col min="3" max="3" width="34.7109375" customWidth="1"/>
    <col min="4" max="4" width="40.7109375" customWidth="1"/>
    <col min="5" max="6" width="13.7109375" customWidth="1"/>
    <col min="7" max="7" width="15.7109375" customWidth="1"/>
    <col min="8" max="8" width="12.7109375" customWidth="1"/>
  </cols>
  <sheetData>
    <row r="1" spans="1:8" ht="26.1" customHeight="1" x14ac:dyDescent="0.3">
      <c r="A1" s="376" t="s">
        <v>2245</v>
      </c>
      <c r="B1" s="375"/>
      <c r="C1" s="375"/>
      <c r="D1" s="375"/>
      <c r="E1" s="375"/>
      <c r="F1" s="375"/>
      <c r="G1" s="375"/>
      <c r="H1" s="375"/>
    </row>
    <row r="2" spans="1:8" x14ac:dyDescent="0.25">
      <c r="A2" s="377" t="s">
        <v>2246</v>
      </c>
      <c r="B2" s="375"/>
      <c r="C2" s="375"/>
      <c r="D2" s="375"/>
      <c r="E2" s="375"/>
      <c r="F2" s="375"/>
      <c r="G2" s="375"/>
      <c r="H2" s="375"/>
    </row>
    <row r="4" spans="1:8" x14ac:dyDescent="0.25">
      <c r="A4" s="374" t="s">
        <v>2247</v>
      </c>
      <c r="B4" s="375"/>
      <c r="C4" s="375"/>
      <c r="D4" s="375"/>
      <c r="E4" s="375"/>
      <c r="F4" s="375"/>
      <c r="G4" s="375"/>
      <c r="H4" s="375"/>
    </row>
    <row r="5" spans="1:8" x14ac:dyDescent="0.25">
      <c r="A5" s="339" t="s">
        <v>2248</v>
      </c>
      <c r="B5" s="340">
        <f>'[1]PAINEL KPI'!$B$3</f>
        <v>46293</v>
      </c>
      <c r="C5" s="339" t="s">
        <v>2249</v>
      </c>
      <c r="D5" s="341">
        <f>'[1]PAINEL KPI'!$E$3</f>
        <v>26</v>
      </c>
      <c r="E5" s="339" t="s">
        <v>2250</v>
      </c>
      <c r="F5" s="341">
        <f>'[1]PAINEL KPI'!$G$3</f>
        <v>7</v>
      </c>
    </row>
    <row r="6" spans="1:8" x14ac:dyDescent="0.25">
      <c r="A6" s="339" t="s">
        <v>2251</v>
      </c>
      <c r="B6" s="343">
        <f>'[1]PAINEL KPI'!$E$5</f>
        <v>0.26923076923076922</v>
      </c>
      <c r="C6" s="339" t="s">
        <v>2252</v>
      </c>
      <c r="D6" s="344">
        <f>'[1]PAINEL KPI'!$I$3</f>
        <v>-19</v>
      </c>
      <c r="E6" s="339" t="s">
        <v>2253</v>
      </c>
      <c r="F6" s="345">
        <f>'[1]PAINEL KPI'!$G$5</f>
        <v>5</v>
      </c>
    </row>
    <row r="8" spans="1:8" x14ac:dyDescent="0.25">
      <c r="A8" s="374" t="s">
        <v>2254</v>
      </c>
      <c r="B8" s="375"/>
      <c r="C8" s="375"/>
      <c r="D8" s="375"/>
      <c r="E8" s="375"/>
      <c r="F8" s="375"/>
      <c r="G8" s="375"/>
      <c r="H8" s="375"/>
    </row>
    <row r="9" spans="1:8" x14ac:dyDescent="0.25">
      <c r="A9" s="346" t="s">
        <v>2123</v>
      </c>
      <c r="B9" s="346" t="s">
        <v>2255</v>
      </c>
      <c r="C9" s="346" t="s">
        <v>2256</v>
      </c>
      <c r="D9" s="346" t="s">
        <v>2257</v>
      </c>
      <c r="E9" s="346" t="s">
        <v>2258</v>
      </c>
      <c r="F9" s="346" t="s">
        <v>2259</v>
      </c>
      <c r="G9" s="346" t="s">
        <v>2260</v>
      </c>
      <c r="H9" s="346" t="s">
        <v>2261</v>
      </c>
    </row>
    <row r="10" spans="1:8" x14ac:dyDescent="0.25">
      <c r="A10" s="347" t="s">
        <v>437</v>
      </c>
      <c r="B10" s="347" t="s">
        <v>529</v>
      </c>
      <c r="C10" s="344">
        <v>1311</v>
      </c>
      <c r="D10" s="341">
        <f>'[1]CONTROLE PRODUÇÃO POR EMPRESAS'!$L$3</f>
        <v>128</v>
      </c>
      <c r="E10" s="343">
        <f t="shared" ref="E10:E16" si="0">IF(C10&gt;0,D10/C10,0)</f>
        <v>9.7635392829900844E-2</v>
      </c>
      <c r="F10" s="344">
        <f t="shared" ref="F10:F16" si="1">D10-C10</f>
        <v>-1183</v>
      </c>
      <c r="G10" s="348">
        <f>'[1]CONTROLE PRODUÇÃO POR EMPRESAS'!$L$4</f>
        <v>3.3684210526315788</v>
      </c>
      <c r="H10" s="342" t="str">
        <f t="shared" ref="H10:H16" si="2">IF(E10&gt;=0.9,"VERDE",IF(E10&gt;=0.7,"AMARELO","VERMELHO"))</f>
        <v>VERMELHO</v>
      </c>
    </row>
    <row r="11" spans="1:8" x14ac:dyDescent="0.25">
      <c r="A11" s="349" t="s">
        <v>437</v>
      </c>
      <c r="B11" s="349" t="s">
        <v>2262</v>
      </c>
      <c r="C11" s="350">
        <v>1115</v>
      </c>
      <c r="D11" s="351">
        <f>'[1]CONTROLE PRODUÇÃO POR EMPRESAS'!$M$3</f>
        <v>161</v>
      </c>
      <c r="E11" s="353">
        <f t="shared" si="0"/>
        <v>0.14439461883408072</v>
      </c>
      <c r="F11" s="350">
        <f t="shared" si="1"/>
        <v>-954</v>
      </c>
      <c r="G11" s="354">
        <f>'[1]CONTROLE PRODUÇÃO POR EMPRESAS'!$M$4</f>
        <v>7.0434782608695654</v>
      </c>
      <c r="H11" s="352" t="str">
        <f t="shared" si="2"/>
        <v>VERMELHO</v>
      </c>
    </row>
    <row r="12" spans="1:8" x14ac:dyDescent="0.25">
      <c r="A12" s="347" t="s">
        <v>437</v>
      </c>
      <c r="B12" s="347" t="s">
        <v>2263</v>
      </c>
      <c r="C12" s="344">
        <v>430</v>
      </c>
      <c r="D12" s="341">
        <f>'[1]CONTROLE PRODUÇÃO POR EMPRESAS'!$N$3</f>
        <v>63</v>
      </c>
      <c r="E12" s="343">
        <f t="shared" si="0"/>
        <v>0.14651162790697675</v>
      </c>
      <c r="F12" s="344">
        <f t="shared" si="1"/>
        <v>-367</v>
      </c>
      <c r="G12" s="348">
        <f>'[1]CONTROLE PRODUÇÃO POR EMPRESAS'!$N$4</f>
        <v>4.4666666666666668</v>
      </c>
      <c r="H12" s="342" t="str">
        <f t="shared" si="2"/>
        <v>VERMELHO</v>
      </c>
    </row>
    <row r="13" spans="1:8" x14ac:dyDescent="0.25">
      <c r="A13" s="349" t="s">
        <v>438</v>
      </c>
      <c r="B13" s="349" t="s">
        <v>529</v>
      </c>
      <c r="C13" s="350">
        <v>1311</v>
      </c>
      <c r="D13" s="351">
        <f>'[1]CONTROLE PRODUÇÃO POR EMPRESAS'!$P$3</f>
        <v>171</v>
      </c>
      <c r="E13" s="353">
        <f t="shared" si="0"/>
        <v>0.13043478260869565</v>
      </c>
      <c r="F13" s="350">
        <f t="shared" si="1"/>
        <v>-1140</v>
      </c>
      <c r="G13" s="354">
        <f>'[1]CONTROLE PRODUÇÃO POR EMPRESAS'!$P$4</f>
        <v>4.384615384615385</v>
      </c>
      <c r="H13" s="352" t="str">
        <f t="shared" si="2"/>
        <v>VERMELHO</v>
      </c>
    </row>
    <row r="14" spans="1:8" x14ac:dyDescent="0.25">
      <c r="A14" s="347" t="s">
        <v>438</v>
      </c>
      <c r="B14" s="347" t="s">
        <v>2262</v>
      </c>
      <c r="C14" s="344">
        <v>1095</v>
      </c>
      <c r="D14" s="341">
        <f>'[1]CONTROLE PRODUÇÃO POR EMPRESAS'!$Q$3</f>
        <v>107</v>
      </c>
      <c r="E14" s="343">
        <f t="shared" si="0"/>
        <v>9.7716894977168955E-2</v>
      </c>
      <c r="F14" s="344">
        <f t="shared" si="1"/>
        <v>-988</v>
      </c>
      <c r="G14" s="348">
        <f>'[1]CONTROLE PRODUÇÃO POR EMPRESAS'!$Q$4</f>
        <v>6.6875</v>
      </c>
      <c r="H14" s="342" t="str">
        <f t="shared" si="2"/>
        <v>VERMELHO</v>
      </c>
    </row>
    <row r="15" spans="1:8" x14ac:dyDescent="0.25">
      <c r="A15" s="349" t="s">
        <v>438</v>
      </c>
      <c r="B15" s="349" t="s">
        <v>2263</v>
      </c>
      <c r="C15" s="350">
        <v>438</v>
      </c>
      <c r="D15" s="351">
        <f>'[1]CONTROLE PRODUÇÃO POR EMPRESAS'!$R$3</f>
        <v>39</v>
      </c>
      <c r="E15" s="353">
        <f t="shared" si="0"/>
        <v>8.9041095890410954E-2</v>
      </c>
      <c r="F15" s="350">
        <f t="shared" si="1"/>
        <v>-399</v>
      </c>
      <c r="G15" s="354">
        <f>'[1]CONTROLE PRODUÇÃO POR EMPRESAS'!$R$4</f>
        <v>3.5454545454545454</v>
      </c>
      <c r="H15" s="352" t="str">
        <f t="shared" si="2"/>
        <v>VERMELHO</v>
      </c>
    </row>
    <row r="16" spans="1:8" x14ac:dyDescent="0.25">
      <c r="A16" s="346" t="s">
        <v>436</v>
      </c>
      <c r="B16" s="355"/>
      <c r="C16" s="356">
        <f>SUM(C10:C15)</f>
        <v>5700</v>
      </c>
      <c r="D16" s="356">
        <f>SUM(D10:D15)</f>
        <v>669</v>
      </c>
      <c r="E16" s="357">
        <f t="shared" si="0"/>
        <v>0.11736842105263158</v>
      </c>
      <c r="F16" s="356">
        <f t="shared" si="1"/>
        <v>-5031</v>
      </c>
      <c r="H16" s="346" t="str">
        <f t="shared" si="2"/>
        <v>VERMELHO</v>
      </c>
    </row>
    <row r="18" spans="1:8" x14ac:dyDescent="0.25">
      <c r="A18" s="374" t="s">
        <v>2264</v>
      </c>
      <c r="B18" s="375"/>
      <c r="C18" s="375"/>
      <c r="D18" s="375"/>
      <c r="E18" s="375"/>
      <c r="F18" s="375"/>
      <c r="G18" s="375"/>
      <c r="H18" s="375"/>
    </row>
    <row r="19" spans="1:8" x14ac:dyDescent="0.25">
      <c r="A19" s="339" t="s">
        <v>2265</v>
      </c>
      <c r="B19" s="358">
        <f>Dashboard_Final!$A$5</f>
        <v>817</v>
      </c>
      <c r="C19" s="339" t="s">
        <v>2266</v>
      </c>
      <c r="D19" s="359">
        <f>Dashboard_Final!$D$5</f>
        <v>299</v>
      </c>
      <c r="E19" s="339" t="s">
        <v>48</v>
      </c>
      <c r="F19" s="360">
        <f>B19-D19</f>
        <v>518</v>
      </c>
      <c r="G19" s="339" t="s">
        <v>2267</v>
      </c>
      <c r="H19" s="362">
        <f>IF(B19&gt;0,D19/B19,0)</f>
        <v>0.3659730722154223</v>
      </c>
    </row>
    <row r="20" spans="1:8" x14ac:dyDescent="0.25">
      <c r="A20" s="339" t="s">
        <v>2268</v>
      </c>
      <c r="B20" s="363">
        <f>'[1]CONTROLE PRODUÇÃO POR EMPRESAS'!$M$4+'[1]CONTROLE PRODUÇÃO POR EMPRESAS'!$Q$4</f>
        <v>13.730978260869566</v>
      </c>
      <c r="C20" s="339" t="s">
        <v>2269</v>
      </c>
      <c r="D20" s="342">
        <f>IF(B20&gt;0,CEILING(F19/B20,1),999)</f>
        <v>38</v>
      </c>
      <c r="E20" s="339" t="s">
        <v>2270</v>
      </c>
      <c r="F20" s="364">
        <f ca="1">TODAY()+D20*1.4</f>
        <v>46347.199999999997</v>
      </c>
    </row>
    <row r="22" spans="1:8" x14ac:dyDescent="0.25">
      <c r="A22" s="374" t="s">
        <v>2271</v>
      </c>
      <c r="B22" s="375"/>
      <c r="C22" s="375"/>
      <c r="D22" s="375"/>
      <c r="E22" s="375"/>
      <c r="F22" s="375"/>
      <c r="G22" s="375"/>
      <c r="H22" s="375"/>
    </row>
    <row r="23" spans="1:8" x14ac:dyDescent="0.25">
      <c r="A23" s="346" t="s">
        <v>102</v>
      </c>
      <c r="B23" s="346" t="s">
        <v>101</v>
      </c>
      <c r="C23" s="346" t="s">
        <v>2272</v>
      </c>
      <c r="D23" s="346" t="s">
        <v>2273</v>
      </c>
      <c r="E23" s="346" t="s">
        <v>2274</v>
      </c>
      <c r="F23" s="346" t="s">
        <v>2275</v>
      </c>
      <c r="G23" s="346" t="s">
        <v>2276</v>
      </c>
      <c r="H23" s="346" t="s">
        <v>2277</v>
      </c>
    </row>
    <row r="24" spans="1:8" x14ac:dyDescent="0.25">
      <c r="A24" s="342" t="s">
        <v>412</v>
      </c>
      <c r="B24" s="347" t="str">
        <f>IFERROR(INDEX(INVENTARIO!$B:$B,MATCH("FJ001",INVENTARIO!$C:$C,0)),0)</f>
        <v>PARAF. Ø3/8" X 1"</v>
      </c>
      <c r="C24" s="344">
        <v>16</v>
      </c>
      <c r="D24" s="344">
        <f>D19*C24</f>
        <v>4784</v>
      </c>
      <c r="E24" s="344">
        <f>IFERROR(INDEX(INVENTARIO!$F:$F,MATCH("FJ001",INVENTARIO!$C:$C,0)),0)</f>
        <v>7401</v>
      </c>
      <c r="F24" s="344">
        <f>IFERROR(INDEX(INVENTARIO!$I:$I,MATCH("FJ001",INVENTARIO!$C:$C,0)),0)</f>
        <v>7376</v>
      </c>
      <c r="G24" s="341">
        <f>IF(C24&gt;0,FLOOR(F24/C24,1),0)</f>
        <v>461</v>
      </c>
      <c r="H24" s="342" t="str">
        <f>IF(G24&gt;=F19,"OK",IF(G24&gt;=F19*0.5,"ATENCAO","CRITICO"))</f>
        <v>ATENCAO</v>
      </c>
    </row>
    <row r="25" spans="1:8" x14ac:dyDescent="0.25">
      <c r="A25" s="342" t="s">
        <v>415</v>
      </c>
      <c r="B25" s="347" t="str">
        <f>IFERROR(INDEX(INVENTARIO!$B:$B,MATCH("FJ002",INVENTARIO!$C:$C,0)),0)</f>
        <v>PARAF. Ø3/8" X 3/4"</v>
      </c>
      <c r="C25" s="344">
        <v>376</v>
      </c>
      <c r="D25" s="344">
        <f>D19*C25</f>
        <v>112424</v>
      </c>
      <c r="E25" s="344">
        <f>IFERROR(INDEX(INVENTARIO!$F:$F,MATCH("FJ002",INVENTARIO!$C:$C,0)),0)</f>
        <v>38162</v>
      </c>
      <c r="F25" s="344">
        <f>IFERROR(INDEX(INVENTARIO!$I:$I,MATCH("FJ002",INVENTARIO!$C:$C,0)),0)</f>
        <v>38354</v>
      </c>
      <c r="G25" s="341">
        <f>IF(C25&gt;0,FLOOR(F25/C25,1),0)</f>
        <v>102</v>
      </c>
      <c r="H25" s="342" t="str">
        <f>IF(G25&gt;=F19,"OK",IF(G25&gt;=F19*0.5,"ATENCAO","CRITICO"))</f>
        <v>CRITICO</v>
      </c>
    </row>
    <row r="26" spans="1:8" x14ac:dyDescent="0.25">
      <c r="A26" s="342" t="s">
        <v>431</v>
      </c>
      <c r="B26" s="347" t="str">
        <f>IFERROR(INDEX(INVENTARIO!$B:$B,MATCH("FJ003",INVENTARIO!$C:$C,0)),0)</f>
        <v>PORCA Ø3/8"</v>
      </c>
      <c r="C26" s="344">
        <v>376</v>
      </c>
      <c r="D26" s="344">
        <f>D19*C26</f>
        <v>112424</v>
      </c>
      <c r="E26" s="344">
        <f>IFERROR(INDEX(INVENTARIO!$F:$F,MATCH("FJ003",INVENTARIO!$C:$C,0)),0)</f>
        <v>35773</v>
      </c>
      <c r="F26" s="344">
        <f>IFERROR(INDEX(INVENTARIO!$I:$I,MATCH("FJ003",INVENTARIO!$C:$C,0)),0)</f>
        <v>35831</v>
      </c>
      <c r="G26" s="341">
        <f>IF(C26&gt;0,FLOOR(F26/C26,1),0)</f>
        <v>95</v>
      </c>
      <c r="H26" s="342" t="str">
        <f>IF(G26&gt;=F19,"OK",IF(G26&gt;=F19*0.5,"ATENCAO","CRITICO"))</f>
        <v>CRITICO</v>
      </c>
    </row>
    <row r="27" spans="1:8" x14ac:dyDescent="0.25">
      <c r="A27" s="342" t="s">
        <v>377</v>
      </c>
      <c r="B27" s="347" t="str">
        <f>IFERROR(INDEX(INVENTARIO!$B:$B,MATCH("FJ005",INVENTARIO!$C:$C,0)),0)</f>
        <v>ARRUELA Ø3/8"</v>
      </c>
      <c r="C27" s="344">
        <v>392</v>
      </c>
      <c r="D27" s="344">
        <f>D19*C27</f>
        <v>117208</v>
      </c>
      <c r="E27" s="344">
        <f>IFERROR(INDEX(INVENTARIO!$F:$F,MATCH("FJ005",INVENTARIO!$C:$C,0)),0)</f>
        <v>35493</v>
      </c>
      <c r="F27" s="344">
        <f>IFERROR(INDEX(INVENTARIO!$I:$I,MATCH("FJ005",INVENTARIO!$C:$C,0)),0)</f>
        <v>35831</v>
      </c>
      <c r="G27" s="341">
        <f>IF(C27&gt;0,FLOOR(F27/C27,1),0)</f>
        <v>91</v>
      </c>
      <c r="H27" s="342" t="str">
        <f>IF(G27&gt;=F19,"OK",IF(G27&gt;=F19*0.5,"ATENCAO","CRITICO"))</f>
        <v>CRITICO</v>
      </c>
    </row>
    <row r="28" spans="1:8" x14ac:dyDescent="0.25">
      <c r="A28" s="342" t="s">
        <v>382</v>
      </c>
      <c r="B28" s="347" t="str">
        <f>IFERROR(INDEX(INVENTARIO!$B:$B,MATCH("FJ006",INVENTARIO!$C:$C,0)),0)</f>
        <v>AUTOBROCANTE</v>
      </c>
      <c r="C28" s="344">
        <v>256</v>
      </c>
      <c r="D28" s="344">
        <f>D19*C28</f>
        <v>76544</v>
      </c>
      <c r="E28" s="344">
        <f>IFERROR(INDEX(INVENTARIO!$F:$F,MATCH("FJ006",INVENTARIO!$C:$C,0)),0)</f>
        <v>54431</v>
      </c>
      <c r="F28" s="344">
        <f>IFERROR(INDEX(INVENTARIO!$I:$I,MATCH("FJ006",INVENTARIO!$C:$C,0)),0)</f>
        <v>57928</v>
      </c>
      <c r="G28" s="341">
        <f>IF(C28&gt;0,FLOOR(F28/C28,1),0)</f>
        <v>226</v>
      </c>
      <c r="H28" s="342" t="str">
        <f>IF(G28&gt;=F19,"OK",IF(G28&gt;=F19*0.5,"ATENCAO","CRITICO"))</f>
        <v>CRITICO</v>
      </c>
    </row>
    <row r="30" spans="1:8" x14ac:dyDescent="0.25">
      <c r="A30" s="374" t="s">
        <v>2278</v>
      </c>
      <c r="B30" s="375"/>
      <c r="C30" s="375"/>
      <c r="D30" s="375"/>
      <c r="E30" s="375"/>
      <c r="F30" s="375"/>
      <c r="G30" s="375"/>
      <c r="H30" s="375"/>
    </row>
    <row r="31" spans="1:8" x14ac:dyDescent="0.25">
      <c r="A31" s="346" t="s">
        <v>2279</v>
      </c>
      <c r="B31" s="346" t="s">
        <v>67</v>
      </c>
      <c r="C31" s="346" t="s">
        <v>2280</v>
      </c>
      <c r="D31" s="346" t="s">
        <v>2281</v>
      </c>
      <c r="E31" s="346" t="s">
        <v>2282</v>
      </c>
    </row>
    <row r="32" spans="1:8" x14ac:dyDescent="0.25">
      <c r="A32" s="347">
        <v>1</v>
      </c>
      <c r="B32" s="345" t="s">
        <v>2283</v>
      </c>
      <c r="C32" s="347" t="s">
        <v>2284</v>
      </c>
      <c r="D32" s="347" t="s">
        <v>2285</v>
      </c>
      <c r="E32" s="339" t="s">
        <v>2286</v>
      </c>
    </row>
    <row r="33" spans="1:5" x14ac:dyDescent="0.25">
      <c r="A33" s="347">
        <v>2</v>
      </c>
      <c r="B33" s="345" t="s">
        <v>2283</v>
      </c>
      <c r="C33" s="347" t="s">
        <v>2287</v>
      </c>
      <c r="D33" s="347" t="s">
        <v>2288</v>
      </c>
      <c r="E33" s="339" t="s">
        <v>2289</v>
      </c>
    </row>
    <row r="34" spans="1:5" x14ac:dyDescent="0.25">
      <c r="A34" s="347">
        <v>3</v>
      </c>
      <c r="B34" s="365" t="s">
        <v>2290</v>
      </c>
      <c r="C34" s="347" t="s">
        <v>2291</v>
      </c>
      <c r="D34" s="347" t="s">
        <v>2292</v>
      </c>
      <c r="E34" s="339" t="s">
        <v>2293</v>
      </c>
    </row>
    <row r="35" spans="1:5" x14ac:dyDescent="0.25">
      <c r="A35" s="347">
        <v>4</v>
      </c>
      <c r="B35" s="365" t="s">
        <v>2290</v>
      </c>
      <c r="C35" s="347" t="s">
        <v>2294</v>
      </c>
      <c r="D35" s="347" t="s">
        <v>2295</v>
      </c>
      <c r="E35" s="339" t="s">
        <v>2293</v>
      </c>
    </row>
    <row r="36" spans="1:5" x14ac:dyDescent="0.25">
      <c r="A36" s="347">
        <v>5</v>
      </c>
      <c r="B36" s="361" t="s">
        <v>21</v>
      </c>
      <c r="C36" s="347" t="s">
        <v>2296</v>
      </c>
      <c r="D36" s="347" t="s">
        <v>2297</v>
      </c>
      <c r="E36" s="339" t="s">
        <v>2298</v>
      </c>
    </row>
  </sheetData>
  <mergeCells count="7">
    <mergeCell ref="A30:H30"/>
    <mergeCell ref="A1:H1"/>
    <mergeCell ref="A2:H2"/>
    <mergeCell ref="A4:H4"/>
    <mergeCell ref="A8:H8"/>
    <mergeCell ref="A18:H18"/>
    <mergeCell ref="A22:H22"/>
  </mergeCells>
  <conditionalFormatting sqref="H10">
    <cfRule type="cellIs" dxfId="176" priority="7" stopIfTrue="1" operator="equal">
      <formula>"""VERDE"""</formula>
    </cfRule>
    <cfRule type="cellIs" dxfId="175" priority="8" stopIfTrue="1" operator="equal">
      <formula>"""AMARELO"""</formula>
    </cfRule>
    <cfRule type="cellIs" dxfId="174" priority="9" stopIfTrue="1" operator="equal">
      <formula>"""VERMELHO"""</formula>
    </cfRule>
  </conditionalFormatting>
  <conditionalFormatting sqref="H11">
    <cfRule type="cellIs" dxfId="173" priority="10" stopIfTrue="1" operator="equal">
      <formula>"""VERDE"""</formula>
    </cfRule>
    <cfRule type="cellIs" dxfId="172" priority="11" stopIfTrue="1" operator="equal">
      <formula>"""AMARELO"""</formula>
    </cfRule>
    <cfRule type="cellIs" dxfId="171" priority="12" stopIfTrue="1" operator="equal">
      <formula>"""VERMELHO"""</formula>
    </cfRule>
  </conditionalFormatting>
  <conditionalFormatting sqref="H12">
    <cfRule type="cellIs" dxfId="170" priority="13" stopIfTrue="1" operator="equal">
      <formula>"""VERDE"""</formula>
    </cfRule>
    <cfRule type="cellIs" dxfId="169" priority="14" stopIfTrue="1" operator="equal">
      <formula>"""AMARELO"""</formula>
    </cfRule>
    <cfRule type="cellIs" dxfId="168" priority="15" stopIfTrue="1" operator="equal">
      <formula>"""VERMELHO"""</formula>
    </cfRule>
  </conditionalFormatting>
  <conditionalFormatting sqref="H13">
    <cfRule type="cellIs" dxfId="167" priority="16" stopIfTrue="1" operator="equal">
      <formula>"""VERDE"""</formula>
    </cfRule>
    <cfRule type="cellIs" dxfId="166" priority="17" stopIfTrue="1" operator="equal">
      <formula>"""AMARELO"""</formula>
    </cfRule>
    <cfRule type="cellIs" dxfId="165" priority="18" stopIfTrue="1" operator="equal">
      <formula>"""VERMELHO"""</formula>
    </cfRule>
  </conditionalFormatting>
  <conditionalFormatting sqref="H14">
    <cfRule type="cellIs" dxfId="164" priority="19" stopIfTrue="1" operator="equal">
      <formula>"""VERDE"""</formula>
    </cfRule>
    <cfRule type="cellIs" dxfId="163" priority="20" stopIfTrue="1" operator="equal">
      <formula>"""AMARELO"""</formula>
    </cfRule>
    <cfRule type="cellIs" dxfId="162" priority="21" stopIfTrue="1" operator="equal">
      <formula>"""VERMELHO"""</formula>
    </cfRule>
  </conditionalFormatting>
  <conditionalFormatting sqref="H15">
    <cfRule type="cellIs" dxfId="161" priority="22" stopIfTrue="1" operator="equal">
      <formula>"""VERDE"""</formula>
    </cfRule>
    <cfRule type="cellIs" dxfId="160" priority="23" stopIfTrue="1" operator="equal">
      <formula>"""AMARELO"""</formula>
    </cfRule>
    <cfRule type="cellIs" dxfId="159" priority="24" stopIfTrue="1" operator="equal">
      <formula>"""VERMELHO"""</formula>
    </cfRule>
  </conditionalFormatting>
  <conditionalFormatting sqref="H16">
    <cfRule type="cellIs" dxfId="158" priority="25" stopIfTrue="1" operator="equal">
      <formula>"""VERDE"""</formula>
    </cfRule>
    <cfRule type="cellIs" dxfId="157" priority="26" stopIfTrue="1" operator="equal">
      <formula>"""AMARELO"""</formula>
    </cfRule>
    <cfRule type="cellIs" dxfId="156" priority="27" stopIfTrue="1" operator="equal">
      <formula>"""VERMELHO"""</formula>
    </cfRule>
  </conditionalFormatting>
  <conditionalFormatting sqref="H24">
    <cfRule type="cellIs" dxfId="155" priority="28" stopIfTrue="1" operator="equal">
      <formula>"""OK"""</formula>
    </cfRule>
    <cfRule type="cellIs" dxfId="154" priority="29" stopIfTrue="1" operator="equal">
      <formula>"""ATENCAO"""</formula>
    </cfRule>
    <cfRule type="cellIs" dxfId="153" priority="30" stopIfTrue="1" operator="equal">
      <formula>"""CRITICO"""</formula>
    </cfRule>
  </conditionalFormatting>
  <conditionalFormatting sqref="H25">
    <cfRule type="cellIs" dxfId="152" priority="31" stopIfTrue="1" operator="equal">
      <formula>"""OK"""</formula>
    </cfRule>
    <cfRule type="cellIs" dxfId="151" priority="32" stopIfTrue="1" operator="equal">
      <formula>"""ATENCAO"""</formula>
    </cfRule>
    <cfRule type="cellIs" dxfId="150" priority="33" stopIfTrue="1" operator="equal">
      <formula>"""CRITICO"""</formula>
    </cfRule>
  </conditionalFormatting>
  <conditionalFormatting sqref="H26">
    <cfRule type="cellIs" dxfId="149" priority="34" stopIfTrue="1" operator="equal">
      <formula>"""OK"""</formula>
    </cfRule>
    <cfRule type="cellIs" dxfId="148" priority="35" stopIfTrue="1" operator="equal">
      <formula>"""ATENCAO"""</formula>
    </cfRule>
    <cfRule type="cellIs" dxfId="147" priority="36" stopIfTrue="1" operator="equal">
      <formula>"""CRITICO"""</formula>
    </cfRule>
  </conditionalFormatting>
  <conditionalFormatting sqref="H27">
    <cfRule type="cellIs" dxfId="146" priority="37" stopIfTrue="1" operator="equal">
      <formula>"""OK"""</formula>
    </cfRule>
    <cfRule type="cellIs" dxfId="145" priority="38" stopIfTrue="1" operator="equal">
      <formula>"""ATENCAO"""</formula>
    </cfRule>
    <cfRule type="cellIs" dxfId="144" priority="39" stopIfTrue="1" operator="equal">
      <formula>"""CRITICO"""</formula>
    </cfRule>
  </conditionalFormatting>
  <conditionalFormatting sqref="H28">
    <cfRule type="cellIs" dxfId="143" priority="40" stopIfTrue="1" operator="equal">
      <formula>"""OK"""</formula>
    </cfRule>
    <cfRule type="cellIs" dxfId="142" priority="41" stopIfTrue="1" operator="equal">
      <formula>"""ATENCAO"""</formula>
    </cfRule>
    <cfRule type="cellIs" dxfId="141" priority="42" stopIfTrue="1" operator="equal">
      <formula>"""CRITICO"""</formula>
    </cfRule>
  </conditionalFormatting>
  <conditionalFormatting sqref="B34">
    <cfRule type="cellIs" dxfId="140" priority="43" stopIfTrue="1" operator="equal">
      <formula>"""ATENCAO"""</formula>
    </cfRule>
  </conditionalFormatting>
  <conditionalFormatting sqref="B33">
    <cfRule type="cellIs" dxfId="139" priority="44" stopIfTrue="1" operator="equal">
      <formula>"""CRITICO"""</formula>
    </cfRule>
  </conditionalFormatting>
  <conditionalFormatting sqref="B32">
    <cfRule type="cellIs" dxfId="138" priority="45" stopIfTrue="1" operator="equal">
      <formula>"""CRITICO"""</formula>
    </cfRule>
  </conditionalFormatting>
  <conditionalFormatting sqref="B36">
    <cfRule type="cellIs" dxfId="137" priority="46" stopIfTrue="1" operator="equal">
      <formula>"""OK"""</formula>
    </cfRule>
  </conditionalFormatting>
  <conditionalFormatting sqref="B35">
    <cfRule type="cellIs" dxfId="136" priority="47" stopIfTrue="1" operator="equal">
      <formula>"""ATENCAO"""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6"/>
  <dimension ref="A1:P59"/>
  <sheetViews>
    <sheetView showGridLines="0" workbookViewId="0">
      <selection activeCell="A2" sqref="A2:P2"/>
    </sheetView>
  </sheetViews>
  <sheetFormatPr defaultRowHeight="15" x14ac:dyDescent="0.25"/>
  <cols>
    <col min="1" max="8" width="24" customWidth="1"/>
    <col min="9" max="9" width="10" customWidth="1"/>
    <col min="10" max="13" width="24" customWidth="1"/>
    <col min="14" max="14" width="11" customWidth="1"/>
    <col min="15" max="15" width="24" customWidth="1"/>
    <col min="16" max="16" width="10" customWidth="1"/>
  </cols>
  <sheetData>
    <row r="1" spans="1:16" ht="27.95" customHeight="1" x14ac:dyDescent="0.25">
      <c r="A1" s="384" t="s">
        <v>2086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</row>
    <row r="2" spans="1:16" x14ac:dyDescent="0.25">
      <c r="A2" s="380" t="s">
        <v>0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</row>
    <row r="3" spans="1:16" x14ac:dyDescent="0.25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x14ac:dyDescent="0.25">
      <c r="A4" s="379" t="s">
        <v>1</v>
      </c>
      <c r="B4" s="378"/>
      <c r="C4" s="143"/>
      <c r="D4" s="379" t="s">
        <v>2</v>
      </c>
      <c r="E4" s="378"/>
      <c r="F4" s="143"/>
      <c r="G4" s="379" t="s">
        <v>3</v>
      </c>
      <c r="H4" s="378"/>
      <c r="I4" s="143"/>
      <c r="J4" s="379" t="s">
        <v>4</v>
      </c>
      <c r="K4" s="378"/>
      <c r="L4" s="143"/>
      <c r="M4" s="379" t="s">
        <v>5</v>
      </c>
      <c r="N4" s="378"/>
      <c r="O4" s="144" t="s">
        <v>6</v>
      </c>
      <c r="P4" s="143"/>
    </row>
    <row r="5" spans="1:16" ht="21" x14ac:dyDescent="0.25">
      <c r="A5" s="383">
        <f>Apontamento_Montagem!$C$15</f>
        <v>817</v>
      </c>
      <c r="B5" s="378"/>
      <c r="C5" s="143"/>
      <c r="D5" s="383">
        <f>Apontamento_Montagem!$D$15</f>
        <v>299</v>
      </c>
      <c r="E5" s="378"/>
      <c r="F5" s="143"/>
      <c r="G5" s="385">
        <f>IFERROR(Apontamento_Montagem!$D$15/Apontamento_Montagem!$C$15,0)</f>
        <v>0.3659730722154223</v>
      </c>
      <c r="H5" s="378"/>
      <c r="I5" s="143"/>
      <c r="J5" s="383" t="e">
        <f>COUNTIF(Controle_Materiais!$AT:$AT,"CRÍTICO")+COUNTIF(Fixadores!#REF!,"CRÍTICO")</f>
        <v>#REF!</v>
      </c>
      <c r="K5" s="378"/>
      <c r="L5" s="143"/>
      <c r="M5" s="383" t="e">
        <f>COUNTIF(Controle_Materiais!$AT:$AT,"ATENÇÃO")+COUNTIF(Fixadores!#REF!,"ATENÇÃO")</f>
        <v>#REF!</v>
      </c>
      <c r="N5" s="378"/>
      <c r="O5" s="145">
        <f>COUNTIF(Mapa_Ruas_Estrutural!$J:$J,"*COMUM*")</f>
        <v>0</v>
      </c>
      <c r="P5" s="143"/>
    </row>
    <row r="6" spans="1:16" x14ac:dyDescent="0.25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</row>
    <row r="7" spans="1:16" x14ac:dyDescent="0.25">
      <c r="A7" s="143"/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</row>
    <row r="8" spans="1:16" x14ac:dyDescent="0.25">
      <c r="A8" s="379" t="s">
        <v>7</v>
      </c>
      <c r="B8" s="378"/>
      <c r="C8" s="378"/>
      <c r="D8" s="378"/>
      <c r="E8" s="378"/>
      <c r="F8" s="378"/>
      <c r="G8" s="378"/>
      <c r="H8" s="378"/>
      <c r="I8" s="143"/>
      <c r="J8" s="379" t="s">
        <v>8</v>
      </c>
      <c r="K8" s="378"/>
      <c r="L8" s="378"/>
      <c r="M8" s="378"/>
      <c r="N8" s="378"/>
      <c r="O8" s="143"/>
      <c r="P8" s="143"/>
    </row>
    <row r="9" spans="1:16" ht="32.1" customHeight="1" x14ac:dyDescent="0.25">
      <c r="A9" s="106" t="s">
        <v>9</v>
      </c>
      <c r="B9" s="106" t="s">
        <v>10</v>
      </c>
      <c r="C9" s="106" t="s">
        <v>11</v>
      </c>
      <c r="D9" s="106" t="s">
        <v>12</v>
      </c>
      <c r="E9" s="106" t="s">
        <v>13</v>
      </c>
      <c r="F9" s="106" t="s">
        <v>14</v>
      </c>
      <c r="G9" s="106" t="s">
        <v>15</v>
      </c>
      <c r="H9" s="106" t="s">
        <v>16</v>
      </c>
      <c r="I9" s="143"/>
      <c r="J9" s="106" t="s">
        <v>16</v>
      </c>
      <c r="K9" s="106" t="s">
        <v>17</v>
      </c>
      <c r="L9" s="106" t="s">
        <v>18</v>
      </c>
      <c r="M9" s="106" t="s">
        <v>19</v>
      </c>
      <c r="N9" s="106" t="s">
        <v>20</v>
      </c>
      <c r="O9" s="143"/>
      <c r="P9" s="143"/>
    </row>
    <row r="10" spans="1:16" x14ac:dyDescent="0.25">
      <c r="A10" s="143" t="str">
        <f>Apontamento_Montagem!A19</f>
        <v>SETOR 01</v>
      </c>
      <c r="B10" s="143">
        <f>Apontamento_Montagem!B19</f>
        <v>0</v>
      </c>
      <c r="C10" s="143" t="str">
        <f>Apontamento_Montagem!C19</f>
        <v>P1</v>
      </c>
      <c r="D10" s="143" t="str">
        <f>Apontamento_Montagem!D19</f>
        <v>NÃO</v>
      </c>
      <c r="E10" s="143">
        <f>Apontamento_Montagem!G19</f>
        <v>0</v>
      </c>
      <c r="F10" s="143">
        <f>Apontamento_Montagem!K19</f>
        <v>0</v>
      </c>
      <c r="G10" s="5">
        <f>Apontamento_Montagem!F19</f>
        <v>0</v>
      </c>
      <c r="H10" s="143" t="str">
        <f>Apontamento_Montagem!L19</f>
        <v>PENDENTE</v>
      </c>
      <c r="I10" s="143"/>
      <c r="J10" s="143" t="s">
        <v>21</v>
      </c>
      <c r="K10" s="143">
        <f>COUNTIF(Controle_Materiais!$AT:$AT,"OK")</f>
        <v>178</v>
      </c>
      <c r="L10" s="143" t="e">
        <f>COUNTIF(Fixadores!#REF!,"OK")</f>
        <v>#REF!</v>
      </c>
      <c r="M10" s="143" t="s">
        <v>22</v>
      </c>
      <c r="N10" s="143" t="s">
        <v>23</v>
      </c>
      <c r="O10" s="143"/>
      <c r="P10" s="143"/>
    </row>
    <row r="11" spans="1:16" x14ac:dyDescent="0.25">
      <c r="A11" s="143" t="str">
        <f>Apontamento_Montagem!A20</f>
        <v>SETOR 02</v>
      </c>
      <c r="B11" s="143">
        <f>Apontamento_Montagem!B20</f>
        <v>0</v>
      </c>
      <c r="C11" s="143" t="str">
        <f>Apontamento_Montagem!C20</f>
        <v>P2</v>
      </c>
      <c r="D11" s="143" t="str">
        <f>Apontamento_Montagem!D20</f>
        <v>NÃO</v>
      </c>
      <c r="E11" s="143">
        <f>Apontamento_Montagem!G20</f>
        <v>0</v>
      </c>
      <c r="F11" s="143">
        <f>Apontamento_Montagem!K20</f>
        <v>0</v>
      </c>
      <c r="G11" s="5">
        <f>Apontamento_Montagem!F20</f>
        <v>0</v>
      </c>
      <c r="H11" s="143" t="str">
        <f>Apontamento_Montagem!L20</f>
        <v>PENDENTE</v>
      </c>
      <c r="I11" s="143"/>
      <c r="J11" s="143" t="s">
        <v>24</v>
      </c>
      <c r="K11" s="143">
        <f>COUNTIF(Controle_Materiais!$AT:$AT,"ATENÇÃO")</f>
        <v>5</v>
      </c>
      <c r="L11" s="143" t="e">
        <f>COUNTIF(Fixadores!#REF!,"ATENÇÃO")</f>
        <v>#REF!</v>
      </c>
      <c r="M11" s="143" t="s">
        <v>25</v>
      </c>
      <c r="N11" s="143" t="s">
        <v>26</v>
      </c>
      <c r="O11" s="143"/>
      <c r="P11" s="143"/>
    </row>
    <row r="12" spans="1:16" x14ac:dyDescent="0.25">
      <c r="A12" s="143" t="str">
        <f>Apontamento_Montagem!A21</f>
        <v>SETOR 03</v>
      </c>
      <c r="B12" s="143">
        <f>Apontamento_Montagem!B21</f>
        <v>0</v>
      </c>
      <c r="C12" s="143" t="str">
        <f>Apontamento_Montagem!C21</f>
        <v>P3</v>
      </c>
      <c r="D12" s="143" t="str">
        <f>Apontamento_Montagem!D21</f>
        <v>NÃO</v>
      </c>
      <c r="E12" s="143">
        <f>Apontamento_Montagem!G21</f>
        <v>0</v>
      </c>
      <c r="F12" s="143">
        <f>Apontamento_Montagem!K21</f>
        <v>0</v>
      </c>
      <c r="G12" s="5">
        <f>Apontamento_Montagem!F21</f>
        <v>0</v>
      </c>
      <c r="H12" s="143" t="str">
        <f>Apontamento_Montagem!L21</f>
        <v>PENDENTE</v>
      </c>
      <c r="I12" s="143"/>
      <c r="J12" s="143" t="s">
        <v>27</v>
      </c>
      <c r="K12" s="143">
        <f>COUNTIF(Controle_Materiais!$AT:$AT,"CRÍTICO")</f>
        <v>3</v>
      </c>
      <c r="L12" s="143" t="e">
        <f>COUNTIF(Fixadores!#REF!,"CRÍTICO")</f>
        <v>#REF!</v>
      </c>
      <c r="M12" s="143" t="s">
        <v>28</v>
      </c>
      <c r="N12" s="143" t="s">
        <v>29</v>
      </c>
      <c r="O12" s="143"/>
      <c r="P12" s="143"/>
    </row>
    <row r="13" spans="1:16" x14ac:dyDescent="0.25">
      <c r="A13" s="143" t="str">
        <f>Apontamento_Montagem!A22</f>
        <v>SETOR 04</v>
      </c>
      <c r="B13" s="143">
        <f>Apontamento_Montagem!B22</f>
        <v>0</v>
      </c>
      <c r="C13" s="143" t="str">
        <f>Apontamento_Montagem!C22</f>
        <v>P4</v>
      </c>
      <c r="D13" s="143" t="str">
        <f>Apontamento_Montagem!D22</f>
        <v>NÃO</v>
      </c>
      <c r="E13" s="143">
        <f>Apontamento_Montagem!G22</f>
        <v>0</v>
      </c>
      <c r="F13" s="143">
        <f>Apontamento_Montagem!K22</f>
        <v>0</v>
      </c>
      <c r="G13" s="5">
        <f>Apontamento_Montagem!F22</f>
        <v>0</v>
      </c>
      <c r="H13" s="143" t="str">
        <f>Apontamento_Montagem!L22</f>
        <v>PENDENTE</v>
      </c>
      <c r="I13" s="143"/>
      <c r="J13" s="143"/>
      <c r="K13" s="143"/>
      <c r="L13" s="143"/>
      <c r="M13" s="143"/>
      <c r="N13" s="143"/>
      <c r="O13" s="143"/>
      <c r="P13" s="143"/>
    </row>
    <row r="14" spans="1:16" x14ac:dyDescent="0.25">
      <c r="A14" s="143" t="str">
        <f>Apontamento_Montagem!A23</f>
        <v>SETOR 05</v>
      </c>
      <c r="B14" s="143">
        <f>Apontamento_Montagem!B23</f>
        <v>0</v>
      </c>
      <c r="C14" s="143" t="str">
        <f>Apontamento_Montagem!C23</f>
        <v>P5</v>
      </c>
      <c r="D14" s="143" t="str">
        <f>Apontamento_Montagem!D23</f>
        <v>NÃO</v>
      </c>
      <c r="E14" s="143">
        <f>Apontamento_Montagem!G23</f>
        <v>0</v>
      </c>
      <c r="F14" s="143">
        <f>Apontamento_Montagem!K23</f>
        <v>0</v>
      </c>
      <c r="G14" s="5">
        <f>Apontamento_Montagem!F23</f>
        <v>0</v>
      </c>
      <c r="H14" s="143" t="str">
        <f>Apontamento_Montagem!L23</f>
        <v>PENDENTE</v>
      </c>
      <c r="I14" s="143"/>
      <c r="J14" s="143"/>
      <c r="K14" s="143"/>
      <c r="L14" s="143"/>
      <c r="M14" s="143"/>
      <c r="N14" s="143"/>
      <c r="O14" s="143"/>
      <c r="P14" s="143"/>
    </row>
    <row r="15" spans="1:16" x14ac:dyDescent="0.25">
      <c r="A15" s="143"/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</row>
    <row r="16" spans="1:16" x14ac:dyDescent="0.25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</row>
    <row r="17" spans="1:16" x14ac:dyDescent="0.25">
      <c r="A17" s="379" t="s">
        <v>30</v>
      </c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8"/>
      <c r="N17" s="378"/>
      <c r="O17" s="143"/>
      <c r="P17" s="143"/>
    </row>
    <row r="18" spans="1:16" x14ac:dyDescent="0.25">
      <c r="A18" s="143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</row>
    <row r="19" spans="1:16" x14ac:dyDescent="0.25">
      <c r="A19" s="382" t="s">
        <v>31</v>
      </c>
      <c r="B19" s="378"/>
      <c r="C19" s="143"/>
      <c r="D19" s="382" t="s">
        <v>32</v>
      </c>
      <c r="E19" s="378"/>
      <c r="F19" s="143"/>
      <c r="G19" s="382" t="s">
        <v>33</v>
      </c>
      <c r="H19" s="378"/>
      <c r="I19" s="143"/>
      <c r="J19" s="382" t="s">
        <v>34</v>
      </c>
      <c r="K19" s="378"/>
      <c r="L19" s="143"/>
      <c r="M19" s="382" t="s">
        <v>35</v>
      </c>
      <c r="N19" s="378"/>
      <c r="O19" s="143"/>
      <c r="P19" s="143"/>
    </row>
    <row r="20" spans="1:16" x14ac:dyDescent="0.25">
      <c r="A20" s="381">
        <f>COUNTIF(Controle_Materiais!$AX:$AX,"&gt;0")</f>
        <v>0</v>
      </c>
      <c r="B20" s="378"/>
      <c r="C20" s="143"/>
      <c r="D20" s="381">
        <f>COUNTIF(Controle_Materiais!$AX:$AX,0)</f>
        <v>187</v>
      </c>
      <c r="E20" s="378"/>
      <c r="F20" s="143"/>
      <c r="G20" s="381">
        <f>COUNTIF(Controle_Materiais!$AI:$AI,"&gt;0")</f>
        <v>18</v>
      </c>
      <c r="H20" s="378"/>
      <c r="I20" s="143"/>
      <c r="J20" s="381">
        <f>COUNTIF(Controle_Materiais!$AR:$AR,"&gt;0")</f>
        <v>0</v>
      </c>
      <c r="K20" s="378"/>
      <c r="L20" s="143"/>
      <c r="M20" s="381">
        <f>COUNTIF(Mapa_Ruas_Estrutural!$E:$E,"*TERÇA*")</f>
        <v>0</v>
      </c>
      <c r="N20" s="378"/>
      <c r="O20" s="143"/>
      <c r="P20" s="143"/>
    </row>
    <row r="21" spans="1:16" x14ac:dyDescent="0.25">
      <c r="A21" s="143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</row>
    <row r="22" spans="1:16" x14ac:dyDescent="0.25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</row>
    <row r="23" spans="1:16" x14ac:dyDescent="0.25">
      <c r="A23" s="379" t="s">
        <v>36</v>
      </c>
      <c r="B23" s="378"/>
      <c r="C23" s="378"/>
      <c r="D23" s="378"/>
      <c r="E23" s="378"/>
      <c r="F23" s="378"/>
      <c r="G23" s="378"/>
      <c r="H23" s="378"/>
      <c r="I23" s="378"/>
      <c r="J23" s="378"/>
      <c r="K23" s="378"/>
      <c r="L23" s="378"/>
      <c r="M23" s="378"/>
      <c r="N23" s="378"/>
      <c r="O23" s="143"/>
      <c r="P23" s="143"/>
    </row>
    <row r="24" spans="1:16" x14ac:dyDescent="0.25">
      <c r="A24" s="378" t="s">
        <v>37</v>
      </c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143"/>
      <c r="P24" s="143"/>
    </row>
    <row r="25" spans="1:16" x14ac:dyDescent="0.25">
      <c r="A25" s="378" t="s">
        <v>38</v>
      </c>
      <c r="B25" s="378"/>
      <c r="C25" s="378"/>
      <c r="D25" s="378"/>
      <c r="E25" s="378"/>
      <c r="F25" s="378"/>
      <c r="G25" s="378"/>
      <c r="H25" s="378"/>
      <c r="I25" s="378"/>
      <c r="J25" s="378"/>
      <c r="K25" s="378"/>
      <c r="L25" s="378"/>
      <c r="M25" s="378"/>
      <c r="N25" s="378"/>
      <c r="O25" s="143"/>
      <c r="P25" s="143"/>
    </row>
    <row r="26" spans="1:16" x14ac:dyDescent="0.25">
      <c r="A26" s="378" t="s">
        <v>39</v>
      </c>
      <c r="B26" s="378"/>
      <c r="C26" s="378"/>
      <c r="D26" s="378"/>
      <c r="E26" s="378"/>
      <c r="F26" s="378"/>
      <c r="G26" s="378"/>
      <c r="H26" s="378"/>
      <c r="I26" s="378"/>
      <c r="J26" s="378"/>
      <c r="K26" s="378"/>
      <c r="L26" s="378"/>
      <c r="M26" s="378"/>
      <c r="N26" s="378"/>
      <c r="O26" s="143"/>
      <c r="P26" s="143"/>
    </row>
    <row r="27" spans="1:16" x14ac:dyDescent="0.25">
      <c r="A27" s="378" t="s">
        <v>40</v>
      </c>
      <c r="B27" s="378"/>
      <c r="C27" s="378"/>
      <c r="D27" s="378"/>
      <c r="E27" s="378"/>
      <c r="F27" s="378"/>
      <c r="G27" s="378"/>
      <c r="H27" s="378"/>
      <c r="I27" s="378"/>
      <c r="J27" s="378"/>
      <c r="K27" s="378"/>
      <c r="L27" s="378"/>
      <c r="M27" s="378"/>
      <c r="N27" s="378"/>
      <c r="O27" s="143"/>
      <c r="P27" s="143"/>
    </row>
    <row r="28" spans="1:16" x14ac:dyDescent="0.25">
      <c r="A28" s="378" t="s">
        <v>41</v>
      </c>
      <c r="B28" s="378"/>
      <c r="C28" s="378"/>
      <c r="D28" s="378"/>
      <c r="E28" s="378"/>
      <c r="F28" s="378"/>
      <c r="G28" s="378"/>
      <c r="H28" s="378"/>
      <c r="I28" s="378"/>
      <c r="J28" s="378"/>
      <c r="K28" s="378"/>
      <c r="L28" s="378"/>
      <c r="M28" s="378"/>
      <c r="N28" s="378"/>
      <c r="O28" s="143"/>
      <c r="P28" s="143"/>
    </row>
    <row r="29" spans="1:16" x14ac:dyDescent="0.25">
      <c r="A29" s="143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</row>
    <row r="30" spans="1:16" x14ac:dyDescent="0.25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6" x14ac:dyDescent="0.25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</row>
    <row r="32" spans="1:16" x14ac:dyDescent="0.25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</row>
    <row r="33" spans="1:16" x14ac:dyDescent="0.25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</row>
    <row r="34" spans="1:16" x14ac:dyDescent="0.25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</row>
    <row r="35" spans="1:16" x14ac:dyDescent="0.25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</row>
    <row r="36" spans="1:16" x14ac:dyDescent="0.25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</row>
    <row r="37" spans="1:16" x14ac:dyDescent="0.25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</row>
    <row r="38" spans="1:16" x14ac:dyDescent="0.25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</row>
    <row r="39" spans="1:16" x14ac:dyDescent="0.25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</row>
    <row r="40" spans="1:16" x14ac:dyDescent="0.25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</row>
    <row r="41" spans="1:16" x14ac:dyDescent="0.25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</row>
    <row r="42" spans="1:16" x14ac:dyDescent="0.25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</row>
    <row r="43" spans="1:16" x14ac:dyDescent="0.25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</row>
    <row r="44" spans="1:16" x14ac:dyDescent="0.25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</row>
    <row r="45" spans="1:16" x14ac:dyDescent="0.25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</row>
    <row r="46" spans="1:16" x14ac:dyDescent="0.25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</row>
    <row r="47" spans="1:16" x14ac:dyDescent="0.25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</row>
    <row r="48" spans="1:16" x14ac:dyDescent="0.25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</row>
    <row r="49" spans="1:16" x14ac:dyDescent="0.25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</row>
    <row r="50" spans="1:16" x14ac:dyDescent="0.25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</row>
    <row r="51" spans="1:16" x14ac:dyDescent="0.25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</row>
    <row r="52" spans="1:16" x14ac:dyDescent="0.25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</row>
    <row r="53" spans="1:16" x14ac:dyDescent="0.25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</row>
    <row r="54" spans="1:16" x14ac:dyDescent="0.25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</row>
    <row r="55" spans="1:16" x14ac:dyDescent="0.25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</row>
    <row r="56" spans="1:16" x14ac:dyDescent="0.25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</row>
    <row r="57" spans="1:16" x14ac:dyDescent="0.25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</row>
    <row r="58" spans="1:16" x14ac:dyDescent="0.25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</row>
    <row r="59" spans="1:16" x14ac:dyDescent="0.25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</row>
  </sheetData>
  <mergeCells count="31">
    <mergeCell ref="A1:P1"/>
    <mergeCell ref="A26:N26"/>
    <mergeCell ref="A5:B5"/>
    <mergeCell ref="G5:H5"/>
    <mergeCell ref="D4:E4"/>
    <mergeCell ref="A23:N23"/>
    <mergeCell ref="A8:H8"/>
    <mergeCell ref="A4:B4"/>
    <mergeCell ref="G4:H4"/>
    <mergeCell ref="A17:N17"/>
    <mergeCell ref="A20:B20"/>
    <mergeCell ref="G20:H20"/>
    <mergeCell ref="D20:E20"/>
    <mergeCell ref="J5:K5"/>
    <mergeCell ref="D19:E19"/>
    <mergeCell ref="A24:N24"/>
    <mergeCell ref="A28:N28"/>
    <mergeCell ref="M4:N4"/>
    <mergeCell ref="J8:N8"/>
    <mergeCell ref="A2:P2"/>
    <mergeCell ref="A25:N25"/>
    <mergeCell ref="A27:N27"/>
    <mergeCell ref="J4:K4"/>
    <mergeCell ref="J20:K20"/>
    <mergeCell ref="J19:K19"/>
    <mergeCell ref="M5:N5"/>
    <mergeCell ref="M20:N20"/>
    <mergeCell ref="G19:H19"/>
    <mergeCell ref="A19:B19"/>
    <mergeCell ref="D5:E5"/>
    <mergeCell ref="M19:N1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7"/>
  <dimension ref="A1:G10"/>
  <sheetViews>
    <sheetView showGridLines="0" workbookViewId="0">
      <selection sqref="A1:F1"/>
    </sheetView>
  </sheetViews>
  <sheetFormatPr defaultRowHeight="15" x14ac:dyDescent="0.25"/>
  <cols>
    <col min="1" max="1" width="8" customWidth="1"/>
    <col min="2" max="2" width="25" customWidth="1"/>
    <col min="3" max="3" width="41" customWidth="1"/>
    <col min="4" max="4" width="39" customWidth="1"/>
    <col min="5" max="5" width="48" customWidth="1"/>
    <col min="6" max="7" width="28" customWidth="1"/>
  </cols>
  <sheetData>
    <row r="1" spans="1:7" ht="18.75" x14ac:dyDescent="0.25">
      <c r="A1" s="386" t="s">
        <v>1651</v>
      </c>
      <c r="B1" s="386"/>
      <c r="C1" s="386"/>
      <c r="D1" s="386"/>
      <c r="E1" s="386"/>
      <c r="F1" s="386"/>
      <c r="G1" s="269"/>
    </row>
    <row r="3" spans="1:7" x14ac:dyDescent="0.25">
      <c r="A3" s="279" t="s">
        <v>103</v>
      </c>
      <c r="B3" s="279" t="s">
        <v>1652</v>
      </c>
      <c r="C3" s="279" t="s">
        <v>19</v>
      </c>
      <c r="D3" s="279" t="s">
        <v>1653</v>
      </c>
      <c r="E3" s="279" t="s">
        <v>1654</v>
      </c>
      <c r="F3" s="279" t="s">
        <v>1655</v>
      </c>
      <c r="G3" s="272" t="s">
        <v>1655</v>
      </c>
    </row>
    <row r="4" spans="1:7" ht="30" x14ac:dyDescent="0.25">
      <c r="A4" s="68" t="s">
        <v>1656</v>
      </c>
      <c r="B4" s="68" t="s">
        <v>1657</v>
      </c>
      <c r="C4" s="68" t="s">
        <v>1658</v>
      </c>
      <c r="D4" s="68" t="s">
        <v>1659</v>
      </c>
      <c r="E4" s="68" t="s">
        <v>1660</v>
      </c>
      <c r="F4" s="68" t="s">
        <v>1661</v>
      </c>
      <c r="G4" t="s">
        <v>1662</v>
      </c>
    </row>
    <row r="5" spans="1:7" x14ac:dyDescent="0.25">
      <c r="A5" s="68" t="s">
        <v>1663</v>
      </c>
      <c r="B5" s="68" t="s">
        <v>1664</v>
      </c>
      <c r="C5" s="68" t="s">
        <v>1665</v>
      </c>
      <c r="D5" s="68" t="s">
        <v>1666</v>
      </c>
      <c r="E5" s="68" t="s">
        <v>1667</v>
      </c>
      <c r="F5" s="68" t="s">
        <v>1668</v>
      </c>
      <c r="G5" t="s">
        <v>1669</v>
      </c>
    </row>
    <row r="6" spans="1:7" ht="30" x14ac:dyDescent="0.25">
      <c r="A6" s="68" t="s">
        <v>1670</v>
      </c>
      <c r="B6" s="68" t="s">
        <v>1664</v>
      </c>
      <c r="C6" s="68" t="s">
        <v>1671</v>
      </c>
      <c r="D6" s="68" t="s">
        <v>1672</v>
      </c>
      <c r="E6" s="68" t="s">
        <v>1673</v>
      </c>
      <c r="F6" s="68" t="s">
        <v>1674</v>
      </c>
      <c r="G6" t="s">
        <v>1675</v>
      </c>
    </row>
    <row r="7" spans="1:7" x14ac:dyDescent="0.25">
      <c r="A7" s="94" t="s">
        <v>1676</v>
      </c>
      <c r="B7" s="94" t="s">
        <v>1677</v>
      </c>
      <c r="C7" s="94" t="s">
        <v>1678</v>
      </c>
      <c r="D7" s="94" t="s">
        <v>1679</v>
      </c>
      <c r="E7" s="94" t="s">
        <v>1680</v>
      </c>
      <c r="F7" s="94" t="s">
        <v>1681</v>
      </c>
      <c r="G7" t="s">
        <v>1682</v>
      </c>
    </row>
    <row r="8" spans="1:7" x14ac:dyDescent="0.25">
      <c r="A8" s="240" t="s">
        <v>1683</v>
      </c>
      <c r="B8" s="240" t="s">
        <v>1684</v>
      </c>
      <c r="C8" s="240" t="s">
        <v>1685</v>
      </c>
      <c r="D8" s="240" t="s">
        <v>1686</v>
      </c>
      <c r="E8" s="240" t="s">
        <v>1687</v>
      </c>
      <c r="F8" s="240" t="s">
        <v>1688</v>
      </c>
      <c r="G8" s="240" t="s">
        <v>1689</v>
      </c>
    </row>
    <row r="9" spans="1:7" x14ac:dyDescent="0.25">
      <c r="A9" s="148"/>
      <c r="B9" s="73"/>
      <c r="C9" s="73"/>
      <c r="D9" s="73"/>
      <c r="E9" s="73"/>
      <c r="F9" s="73"/>
    </row>
    <row r="10" spans="1:7" x14ac:dyDescent="0.25">
      <c r="A10" s="73"/>
      <c r="B10" s="73"/>
      <c r="C10" s="73"/>
      <c r="D10" s="73"/>
      <c r="E10" s="73"/>
      <c r="F10" s="73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7" filterMode="1"/>
  <dimension ref="A1:AF67"/>
  <sheetViews>
    <sheetView tabSelected="1" topLeftCell="F3" workbookViewId="0">
      <selection activeCell="K75" sqref="K75"/>
    </sheetView>
  </sheetViews>
  <sheetFormatPr defaultRowHeight="15" x14ac:dyDescent="0.25"/>
  <cols>
    <col min="1" max="1" width="14" customWidth="1"/>
    <col min="2" max="3" width="9" customWidth="1"/>
    <col min="4" max="4" width="8" customWidth="1"/>
    <col min="5" max="10" width="20" customWidth="1"/>
    <col min="11" max="12" width="14" customWidth="1"/>
    <col min="13" max="14" width="12" customWidth="1"/>
    <col min="15" max="15" width="18" customWidth="1"/>
    <col min="16" max="16" width="15" customWidth="1"/>
    <col min="17" max="18" width="20" customWidth="1"/>
    <col min="19" max="19" width="23" customWidth="1"/>
    <col min="20" max="20" width="14" customWidth="1"/>
    <col min="21" max="21" width="12" customWidth="1"/>
    <col min="22" max="22" width="12.28515625" customWidth="1"/>
    <col min="23" max="23" width="12" customWidth="1"/>
    <col min="24" max="26" width="20" customWidth="1"/>
    <col min="27" max="29" width="12" customWidth="1"/>
    <col min="30" max="31" width="18" customWidth="1"/>
    <col min="32" max="32" width="20" customWidth="1"/>
  </cols>
  <sheetData>
    <row r="1" spans="1:32" ht="18.75" x14ac:dyDescent="0.25">
      <c r="A1" s="387" t="s">
        <v>1904</v>
      </c>
      <c r="B1" s="387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269"/>
    </row>
    <row r="2" spans="1:32" x14ac:dyDescent="0.25">
      <c r="A2" s="388" t="s">
        <v>1905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270"/>
    </row>
    <row r="4" spans="1:32" ht="27" x14ac:dyDescent="0.25">
      <c r="A4" s="283" t="s">
        <v>1906</v>
      </c>
      <c r="B4" s="283" t="s">
        <v>1907</v>
      </c>
      <c r="C4" s="283" t="s">
        <v>1908</v>
      </c>
      <c r="D4" s="283" t="s">
        <v>10</v>
      </c>
      <c r="E4" s="283" t="s">
        <v>1909</v>
      </c>
      <c r="F4" s="283" t="s">
        <v>1910</v>
      </c>
      <c r="G4" s="283" t="s">
        <v>1911</v>
      </c>
      <c r="H4" s="283" t="s">
        <v>1912</v>
      </c>
      <c r="I4" s="283" t="s">
        <v>1913</v>
      </c>
      <c r="J4" s="283" t="s">
        <v>1914</v>
      </c>
      <c r="K4" s="283" t="s">
        <v>1915</v>
      </c>
      <c r="L4" s="283" t="s">
        <v>1916</v>
      </c>
      <c r="M4" s="283" t="s">
        <v>1917</v>
      </c>
      <c r="N4" s="283" t="s">
        <v>1918</v>
      </c>
      <c r="O4" s="283" t="s">
        <v>1919</v>
      </c>
      <c r="P4" s="283" t="s">
        <v>1920</v>
      </c>
      <c r="Q4" s="283" t="s">
        <v>1921</v>
      </c>
      <c r="R4" s="283" t="s">
        <v>1922</v>
      </c>
      <c r="S4" s="283" t="s">
        <v>1923</v>
      </c>
      <c r="T4" s="283" t="s">
        <v>1924</v>
      </c>
      <c r="U4" s="283" t="s">
        <v>1925</v>
      </c>
      <c r="V4" s="283" t="s">
        <v>53</v>
      </c>
      <c r="W4" s="283" t="s">
        <v>1926</v>
      </c>
      <c r="X4" s="283" t="s">
        <v>2048</v>
      </c>
      <c r="Y4" s="283" t="s">
        <v>2049</v>
      </c>
      <c r="Z4" s="283" t="s">
        <v>2048</v>
      </c>
      <c r="AA4" s="283" t="s">
        <v>397</v>
      </c>
      <c r="AB4" s="283" t="s">
        <v>399</v>
      </c>
      <c r="AC4" s="283" t="s">
        <v>401</v>
      </c>
      <c r="AD4" s="283" t="s">
        <v>1927</v>
      </c>
      <c r="AE4" s="283" t="s">
        <v>1928</v>
      </c>
      <c r="AF4" s="283" t="s">
        <v>1653</v>
      </c>
    </row>
    <row r="5" spans="1:32" hidden="1" x14ac:dyDescent="0.25">
      <c r="A5" t="s">
        <v>1929</v>
      </c>
      <c r="B5">
        <v>10</v>
      </c>
      <c r="C5">
        <v>11</v>
      </c>
      <c r="D5" t="s">
        <v>1930</v>
      </c>
      <c r="E5" t="s">
        <v>1773</v>
      </c>
      <c r="F5" t="s">
        <v>1775</v>
      </c>
      <c r="H5" t="s">
        <v>1787</v>
      </c>
      <c r="I5" t="s">
        <v>1788</v>
      </c>
      <c r="K5">
        <v>2</v>
      </c>
      <c r="L5">
        <v>2</v>
      </c>
      <c r="M5" t="str">
        <f>IF((IF(E5="",0,COUNTIFS(Montagem_Vigas!$E:$E,E5,Montagem_Vigas!$F:$F,"SIM"))+IF(F5="",0,COUNTIFS(Montagem_Vigas!$E:$E,F5,Montagem_Vigas!$F:$F,"SIM"))+IF(G5="",0,COUNTIFS(Montagem_Vigas!$E:$E,G5,Montagem_Vigas!$F:$F,"SIM")))=K5,"OK","PENDENTE")</f>
        <v>PENDENTE</v>
      </c>
      <c r="N5" s="264" t="str">
        <f>IF((IF(H5="",0,COUNTIFS(Montagem_Vigas!$E:$E,H5,Montagem_Vigas!$F:$F,"SIM"))+IF(I5="",0,COUNTIFS(Montagem_Vigas!$E:$E,I5,Montagem_Vigas!$F:$F,"SIM"))+IF(J5="",0,COUNTIFS(Montagem_Vigas!$E:$E,J5,Montagem_Vigas!$F:$F,"SIM")))=L5,"OK","PENDENTE")</f>
        <v>OK</v>
      </c>
      <c r="O5" s="264" t="str">
        <f t="shared" ref="O5:O36" si="0">IF(AND(M5="OK",N5="OK"),"LIBERADO","BLOQUEADO")</f>
        <v>BLOQUEADO</v>
      </c>
      <c r="P5" s="264">
        <f>SUM(IF(E5="",0,COUNTIFS(Montagem_Vigas!$E:$E,E5,Montagem_Vigas!$F:$F,"SIM")),IF(F5="",0,COUNTIFS(Montagem_Vigas!$E:$E,F5,Montagem_Vigas!$F:$F,"SIM")),IF(G5="",0,COUNTIFS(Montagem_Vigas!$E:$E,G5,Montagem_Vigas!$F:$F,"SIM")),IF(H5="",0,COUNTIFS(Montagem_Vigas!$E:$E,H5,Montagem_Vigas!$F:$F,"SIM")),IF(I5="",0,COUNTIFS(Montagem_Vigas!$E:$E,I5,Montagem_Vigas!$F:$F,"SIM")),IF(J5="",0,COUNTIFS(Montagem_Vigas!$E:$E,J5,Montagem_Vigas!$F:$F,"SIM")))</f>
        <v>2</v>
      </c>
      <c r="Q5">
        <f t="shared" ref="Q5:Q36" si="1">IF(O5="LIBERADO",SUM(X5:Z5),0)</f>
        <v>0</v>
      </c>
      <c r="R5">
        <f t="shared" ref="R5:R36" si="2">Q5*8</f>
        <v>0</v>
      </c>
      <c r="S5" t="str">
        <f t="shared" ref="S5:S36" si="3">IF(O5&lt;&gt;"LIBERADO",IF(SUM(X5:Z5)&gt;0,"BLOQUEADO - ESTRUTURA","AGUARDANDO ESTRUTURA"),IF(SUM(X5:Z5)=0,"LIBERADO P/ JOIST","JOISTS APONTADAS"))</f>
        <v>AGUARDANDO ESTRUTURA</v>
      </c>
      <c r="T5" t="str">
        <f t="shared" ref="T5:T36" si="4">IF(O5="LIBERADO","OK","PENDENTE")</f>
        <v>PENDENTE</v>
      </c>
      <c r="U5" t="s">
        <v>1931</v>
      </c>
      <c r="W5" t="s">
        <v>1932</v>
      </c>
      <c r="X5" s="284">
        <v>0</v>
      </c>
      <c r="Y5" s="284">
        <v>0</v>
      </c>
      <c r="Z5" s="284">
        <v>0</v>
      </c>
      <c r="AA5">
        <f t="shared" ref="AA5:AA36" si="5">IF(O5&lt;&gt;"LIBERADO",0,IF(D5="BC",Y5*8,IF(D5="CD",Y5*8,IF(D5="DE",Y5*8,IF(D5="EF",Y5*8,IF(D5="FG",Y5*8,0))))))</f>
        <v>0</v>
      </c>
      <c r="AB5">
        <f t="shared" ref="AB5:AB36" si="6">IF(O5&lt;&gt;"LIBERADO",0,IF(D5="AB",Y5*8,IF(D5="BC",X5*8,IF(D5="FG",Z5*8,IF(D5="GH",X5*8,0)))))</f>
        <v>0</v>
      </c>
      <c r="AC5">
        <f t="shared" ref="AC5:AC36" si="7">IF(O5&lt;&gt;"LIBERADO",0,IF(D5="AB",X5*8,IF(D5="BC",Z5*8,IF(D5="CD",(X5+Z5)*8,IF(D5="DE",(X5+Z5)*8,IF(D5="EF",(X5+Z5)*8,IF(D5="FG",X5*8,IF(D5="GH",Y5*8,0))))))))</f>
        <v>0</v>
      </c>
      <c r="AD5">
        <f t="shared" ref="AD5:AD36" si="8">AA5+AB5+AC5</f>
        <v>0</v>
      </c>
      <c r="AE5">
        <f t="shared" ref="AE5:AE36" si="9">AD5</f>
        <v>0</v>
      </c>
      <c r="AF5" t="str">
        <f t="shared" ref="AF5:AF36" si="10">IF(O5&lt;&gt;"LIBERADO",IF(SUM(X5:Z5)=0,"OK","BLOQUEADO"),IF(OR(X5&gt;3,Y5&gt;3,Z5&gt;3),"ACIMA CAPACIDADE",IF((AA5+AB5+AC5)=R5,"OK","REVISAR MAPEAMENTO")))</f>
        <v>OK</v>
      </c>
    </row>
    <row r="6" spans="1:32" hidden="1" x14ac:dyDescent="0.25">
      <c r="A6" t="s">
        <v>1933</v>
      </c>
      <c r="B6">
        <v>10</v>
      </c>
      <c r="C6">
        <v>11</v>
      </c>
      <c r="D6" t="s">
        <v>1725</v>
      </c>
      <c r="E6" t="s">
        <v>1775</v>
      </c>
      <c r="F6" t="s">
        <v>1776</v>
      </c>
      <c r="G6" t="s">
        <v>1777</v>
      </c>
      <c r="H6" t="s">
        <v>1788</v>
      </c>
      <c r="I6" t="s">
        <v>1789</v>
      </c>
      <c r="J6" t="s">
        <v>1790</v>
      </c>
      <c r="K6">
        <v>3</v>
      </c>
      <c r="L6">
        <v>3</v>
      </c>
      <c r="M6" t="str">
        <f>IF((IF(E6="",0,COUNTIFS(Montagem_Vigas!$E:$E,E6,Montagem_Vigas!$F:$F,"SIM"))+IF(F6="",0,COUNTIFS(Montagem_Vigas!$E:$E,F6,Montagem_Vigas!$F:$F,"SIM"))+IF(G6="",0,COUNTIFS(Montagem_Vigas!$E:$E,G6,Montagem_Vigas!$F:$F,"SIM")))=K6,"OK","PENDENTE")</f>
        <v>PENDENTE</v>
      </c>
      <c r="N6" s="264" t="str">
        <f>IF((IF(H6="",0,COUNTIFS(Montagem_Vigas!$E:$E,H6,Montagem_Vigas!$F:$F,"SIM"))+IF(I6="",0,COUNTIFS(Montagem_Vigas!$E:$E,I6,Montagem_Vigas!$F:$F,"SIM"))+IF(J6="",0,COUNTIFS(Montagem_Vigas!$E:$E,J6,Montagem_Vigas!$F:$F,"SIM")))=L6,"OK","PENDENTE")</f>
        <v>OK</v>
      </c>
      <c r="O6" s="264" t="str">
        <f t="shared" si="0"/>
        <v>BLOQUEADO</v>
      </c>
      <c r="P6" s="264">
        <f>SUM(IF(E6="",0,COUNTIFS(Montagem_Vigas!$E:$E,E6,Montagem_Vigas!$F:$F,"SIM")),IF(F6="",0,COUNTIFS(Montagem_Vigas!$E:$E,F6,Montagem_Vigas!$F:$F,"SIM")),IF(G6="",0,COUNTIFS(Montagem_Vigas!$E:$E,G6,Montagem_Vigas!$F:$F,"SIM")),IF(H6="",0,COUNTIFS(Montagem_Vigas!$E:$E,H6,Montagem_Vigas!$F:$F,"SIM")),IF(I6="",0,COUNTIFS(Montagem_Vigas!$E:$E,I6,Montagem_Vigas!$F:$F,"SIM")),IF(J6="",0,COUNTIFS(Montagem_Vigas!$E:$E,J6,Montagem_Vigas!$F:$F,"SIM")))</f>
        <v>3</v>
      </c>
      <c r="Q6">
        <f t="shared" si="1"/>
        <v>0</v>
      </c>
      <c r="R6">
        <f t="shared" si="2"/>
        <v>0</v>
      </c>
      <c r="S6" t="str">
        <f t="shared" si="3"/>
        <v>AGUARDANDO ESTRUTURA</v>
      </c>
      <c r="T6" t="str">
        <f t="shared" si="4"/>
        <v>PENDENTE</v>
      </c>
      <c r="U6" t="s">
        <v>1931</v>
      </c>
      <c r="W6" t="s">
        <v>1932</v>
      </c>
      <c r="X6" s="284">
        <v>0</v>
      </c>
      <c r="Y6" s="284">
        <v>0</v>
      </c>
      <c r="Z6" s="284">
        <v>0</v>
      </c>
      <c r="AA6">
        <f t="shared" si="5"/>
        <v>0</v>
      </c>
      <c r="AB6">
        <f t="shared" si="6"/>
        <v>0</v>
      </c>
      <c r="AC6">
        <f t="shared" si="7"/>
        <v>0</v>
      </c>
      <c r="AD6">
        <f t="shared" si="8"/>
        <v>0</v>
      </c>
      <c r="AE6">
        <f t="shared" si="9"/>
        <v>0</v>
      </c>
      <c r="AF6" t="str">
        <f t="shared" si="10"/>
        <v>OK</v>
      </c>
    </row>
    <row r="7" spans="1:32" hidden="1" x14ac:dyDescent="0.25">
      <c r="A7" t="s">
        <v>1934</v>
      </c>
      <c r="B7">
        <v>10</v>
      </c>
      <c r="C7">
        <v>11</v>
      </c>
      <c r="D7" t="s">
        <v>1730</v>
      </c>
      <c r="E7" t="s">
        <v>1777</v>
      </c>
      <c r="F7" t="s">
        <v>1778</v>
      </c>
      <c r="G7" t="s">
        <v>1779</v>
      </c>
      <c r="H7" t="s">
        <v>1790</v>
      </c>
      <c r="I7" t="s">
        <v>1791</v>
      </c>
      <c r="J7" t="s">
        <v>1792</v>
      </c>
      <c r="K7">
        <v>3</v>
      </c>
      <c r="L7">
        <v>3</v>
      </c>
      <c r="M7" t="str">
        <f>IF((IF(E7="",0,COUNTIFS(Montagem_Vigas!$E:$E,E7,Montagem_Vigas!$F:$F,"SIM"))+IF(F7="",0,COUNTIFS(Montagem_Vigas!$E:$E,F7,Montagem_Vigas!$F:$F,"SIM"))+IF(G7="",0,COUNTIFS(Montagem_Vigas!$E:$E,G7,Montagem_Vigas!$F:$F,"SIM")))=K7,"OK","PENDENTE")</f>
        <v>PENDENTE</v>
      </c>
      <c r="N7" s="264" t="str">
        <f>IF((IF(H7="",0,COUNTIFS(Montagem_Vigas!$E:$E,H7,Montagem_Vigas!$F:$F,"SIM"))+IF(I7="",0,COUNTIFS(Montagem_Vigas!$E:$E,I7,Montagem_Vigas!$F:$F,"SIM"))+IF(J7="",0,COUNTIFS(Montagem_Vigas!$E:$E,J7,Montagem_Vigas!$F:$F,"SIM")))=L7,"OK","PENDENTE")</f>
        <v>OK</v>
      </c>
      <c r="O7" s="264" t="str">
        <f t="shared" si="0"/>
        <v>BLOQUEADO</v>
      </c>
      <c r="P7" s="264">
        <f>SUM(IF(E7="",0,COUNTIFS(Montagem_Vigas!$E:$E,E7,Montagem_Vigas!$F:$F,"SIM")),IF(F7="",0,COUNTIFS(Montagem_Vigas!$E:$E,F7,Montagem_Vigas!$F:$F,"SIM")),IF(G7="",0,COUNTIFS(Montagem_Vigas!$E:$E,G7,Montagem_Vigas!$F:$F,"SIM")),IF(H7="",0,COUNTIFS(Montagem_Vigas!$E:$E,H7,Montagem_Vigas!$F:$F,"SIM")),IF(I7="",0,COUNTIFS(Montagem_Vigas!$E:$E,I7,Montagem_Vigas!$F:$F,"SIM")),IF(J7="",0,COUNTIFS(Montagem_Vigas!$E:$E,J7,Montagem_Vigas!$F:$F,"SIM")))</f>
        <v>3</v>
      </c>
      <c r="Q7">
        <f t="shared" si="1"/>
        <v>0</v>
      </c>
      <c r="R7">
        <f t="shared" si="2"/>
        <v>0</v>
      </c>
      <c r="S7" t="str">
        <f t="shared" si="3"/>
        <v>AGUARDANDO ESTRUTURA</v>
      </c>
      <c r="T7" t="str">
        <f t="shared" si="4"/>
        <v>PENDENTE</v>
      </c>
      <c r="U7" t="s">
        <v>1931</v>
      </c>
      <c r="W7" t="s">
        <v>1932</v>
      </c>
      <c r="X7" s="284">
        <v>0</v>
      </c>
      <c r="Y7" s="284">
        <v>0</v>
      </c>
      <c r="Z7" s="284">
        <v>0</v>
      </c>
      <c r="AA7">
        <f t="shared" si="5"/>
        <v>0</v>
      </c>
      <c r="AB7">
        <f t="shared" si="6"/>
        <v>0</v>
      </c>
      <c r="AC7">
        <f t="shared" si="7"/>
        <v>0</v>
      </c>
      <c r="AD7">
        <f t="shared" si="8"/>
        <v>0</v>
      </c>
      <c r="AE7">
        <f t="shared" si="9"/>
        <v>0</v>
      </c>
      <c r="AF7" t="str">
        <f t="shared" si="10"/>
        <v>OK</v>
      </c>
    </row>
    <row r="8" spans="1:32" hidden="1" x14ac:dyDescent="0.25">
      <c r="A8" t="s">
        <v>1935</v>
      </c>
      <c r="B8">
        <v>10</v>
      </c>
      <c r="C8">
        <v>11</v>
      </c>
      <c r="D8" t="s">
        <v>1732</v>
      </c>
      <c r="E8" t="s">
        <v>1779</v>
      </c>
      <c r="F8" t="s">
        <v>1780</v>
      </c>
      <c r="G8" t="s">
        <v>1781</v>
      </c>
      <c r="H8" t="s">
        <v>1792</v>
      </c>
      <c r="I8" t="s">
        <v>1793</v>
      </c>
      <c r="J8" t="s">
        <v>1794</v>
      </c>
      <c r="K8">
        <v>3</v>
      </c>
      <c r="L8">
        <v>3</v>
      </c>
      <c r="M8" t="str">
        <f>IF((IF(E8="",0,COUNTIFS(Montagem_Vigas!$E:$E,E8,Montagem_Vigas!$F:$F,"SIM"))+IF(F8="",0,COUNTIFS(Montagem_Vigas!$E:$E,F8,Montagem_Vigas!$F:$F,"SIM"))+IF(G8="",0,COUNTIFS(Montagem_Vigas!$E:$E,G8,Montagem_Vigas!$F:$F,"SIM")))=K8,"OK","PENDENTE")</f>
        <v>PENDENTE</v>
      </c>
      <c r="N8" s="264" t="str">
        <f>IF((IF(H8="",0,COUNTIFS(Montagem_Vigas!$E:$E,H8,Montagem_Vigas!$F:$F,"SIM"))+IF(I8="",0,COUNTIFS(Montagem_Vigas!$E:$E,I8,Montagem_Vigas!$F:$F,"SIM"))+IF(J8="",0,COUNTIFS(Montagem_Vigas!$E:$E,J8,Montagem_Vigas!$F:$F,"SIM")))=L8,"OK","PENDENTE")</f>
        <v>OK</v>
      </c>
      <c r="O8" s="264" t="str">
        <f t="shared" si="0"/>
        <v>BLOQUEADO</v>
      </c>
      <c r="P8" s="264">
        <f>SUM(IF(E8="",0,COUNTIFS(Montagem_Vigas!$E:$E,E8,Montagem_Vigas!$F:$F,"SIM")),IF(F8="",0,COUNTIFS(Montagem_Vigas!$E:$E,F8,Montagem_Vigas!$F:$F,"SIM")),IF(G8="",0,COUNTIFS(Montagem_Vigas!$E:$E,G8,Montagem_Vigas!$F:$F,"SIM")),IF(H8="",0,COUNTIFS(Montagem_Vigas!$E:$E,H8,Montagem_Vigas!$F:$F,"SIM")),IF(I8="",0,COUNTIFS(Montagem_Vigas!$E:$E,I8,Montagem_Vigas!$F:$F,"SIM")),IF(J8="",0,COUNTIFS(Montagem_Vigas!$E:$E,J8,Montagem_Vigas!$F:$F,"SIM")))</f>
        <v>3</v>
      </c>
      <c r="Q8">
        <f t="shared" si="1"/>
        <v>0</v>
      </c>
      <c r="R8">
        <f t="shared" si="2"/>
        <v>0</v>
      </c>
      <c r="S8" t="str">
        <f t="shared" si="3"/>
        <v>AGUARDANDO ESTRUTURA</v>
      </c>
      <c r="T8" t="str">
        <f t="shared" si="4"/>
        <v>PENDENTE</v>
      </c>
      <c r="U8" t="s">
        <v>1931</v>
      </c>
      <c r="W8" t="s">
        <v>1932</v>
      </c>
      <c r="X8" s="284">
        <v>0</v>
      </c>
      <c r="Y8" s="284">
        <v>0</v>
      </c>
      <c r="Z8" s="284">
        <v>0</v>
      </c>
      <c r="AA8">
        <f t="shared" si="5"/>
        <v>0</v>
      </c>
      <c r="AB8">
        <f t="shared" si="6"/>
        <v>0</v>
      </c>
      <c r="AC8">
        <f t="shared" si="7"/>
        <v>0</v>
      </c>
      <c r="AD8">
        <f t="shared" si="8"/>
        <v>0</v>
      </c>
      <c r="AE8">
        <f t="shared" si="9"/>
        <v>0</v>
      </c>
      <c r="AF8" t="str">
        <f t="shared" si="10"/>
        <v>OK</v>
      </c>
    </row>
    <row r="9" spans="1:32" hidden="1" x14ac:dyDescent="0.25">
      <c r="A9" t="s">
        <v>1936</v>
      </c>
      <c r="B9">
        <v>10</v>
      </c>
      <c r="C9">
        <v>11</v>
      </c>
      <c r="D9" t="s">
        <v>1734</v>
      </c>
      <c r="E9" t="s">
        <v>1781</v>
      </c>
      <c r="F9" t="s">
        <v>1782</v>
      </c>
      <c r="G9" t="s">
        <v>1783</v>
      </c>
      <c r="H9" t="s">
        <v>1794</v>
      </c>
      <c r="I9" t="s">
        <v>1795</v>
      </c>
      <c r="J9" t="s">
        <v>1796</v>
      </c>
      <c r="K9">
        <v>3</v>
      </c>
      <c r="L9">
        <v>3</v>
      </c>
      <c r="M9" t="str">
        <f>IF((IF(E9="",0,COUNTIFS(Montagem_Vigas!$E:$E,E9,Montagem_Vigas!$F:$F,"SIM"))+IF(F9="",0,COUNTIFS(Montagem_Vigas!$E:$E,F9,Montagem_Vigas!$F:$F,"SIM"))+IF(G9="",0,COUNTIFS(Montagem_Vigas!$E:$E,G9,Montagem_Vigas!$F:$F,"SIM")))=K9,"OK","PENDENTE")</f>
        <v>PENDENTE</v>
      </c>
      <c r="N9" s="264" t="str">
        <f>IF((IF(H9="",0,COUNTIFS(Montagem_Vigas!$E:$E,H9,Montagem_Vigas!$F:$F,"SIM"))+IF(I9="",0,COUNTIFS(Montagem_Vigas!$E:$E,I9,Montagem_Vigas!$F:$F,"SIM"))+IF(J9="",0,COUNTIFS(Montagem_Vigas!$E:$E,J9,Montagem_Vigas!$F:$F,"SIM")))=L9,"OK","PENDENTE")</f>
        <v>OK</v>
      </c>
      <c r="O9" s="264" t="str">
        <f t="shared" si="0"/>
        <v>BLOQUEADO</v>
      </c>
      <c r="P9" s="264">
        <f>SUM(IF(E9="",0,COUNTIFS(Montagem_Vigas!$E:$E,E9,Montagem_Vigas!$F:$F,"SIM")),IF(F9="",0,COUNTIFS(Montagem_Vigas!$E:$E,F9,Montagem_Vigas!$F:$F,"SIM")),IF(G9="",0,COUNTIFS(Montagem_Vigas!$E:$E,G9,Montagem_Vigas!$F:$F,"SIM")),IF(H9="",0,COUNTIFS(Montagem_Vigas!$E:$E,H9,Montagem_Vigas!$F:$F,"SIM")),IF(I9="",0,COUNTIFS(Montagem_Vigas!$E:$E,I9,Montagem_Vigas!$F:$F,"SIM")),IF(J9="",0,COUNTIFS(Montagem_Vigas!$E:$E,J9,Montagem_Vigas!$F:$F,"SIM")))</f>
        <v>3</v>
      </c>
      <c r="Q9">
        <f t="shared" si="1"/>
        <v>0</v>
      </c>
      <c r="R9">
        <f t="shared" si="2"/>
        <v>0</v>
      </c>
      <c r="S9" t="str">
        <f t="shared" si="3"/>
        <v>AGUARDANDO ESTRUTURA</v>
      </c>
      <c r="T9" t="str">
        <f t="shared" si="4"/>
        <v>PENDENTE</v>
      </c>
      <c r="U9" t="s">
        <v>1931</v>
      </c>
      <c r="W9" t="s">
        <v>1932</v>
      </c>
      <c r="X9" s="284">
        <v>0</v>
      </c>
      <c r="Y9" s="284">
        <v>0</v>
      </c>
      <c r="Z9" s="284">
        <v>0</v>
      </c>
      <c r="AA9">
        <f t="shared" si="5"/>
        <v>0</v>
      </c>
      <c r="AB9">
        <f t="shared" si="6"/>
        <v>0</v>
      </c>
      <c r="AC9">
        <f t="shared" si="7"/>
        <v>0</v>
      </c>
      <c r="AD9">
        <f t="shared" si="8"/>
        <v>0</v>
      </c>
      <c r="AE9">
        <f t="shared" si="9"/>
        <v>0</v>
      </c>
      <c r="AF9" t="str">
        <f t="shared" si="10"/>
        <v>OK</v>
      </c>
    </row>
    <row r="10" spans="1:32" hidden="1" x14ac:dyDescent="0.25">
      <c r="A10" t="s">
        <v>1937</v>
      </c>
      <c r="B10">
        <v>10</v>
      </c>
      <c r="C10">
        <v>11</v>
      </c>
      <c r="D10" t="s">
        <v>1736</v>
      </c>
      <c r="E10" t="s">
        <v>1783</v>
      </c>
      <c r="F10" t="s">
        <v>1784</v>
      </c>
      <c r="G10" t="s">
        <v>1785</v>
      </c>
      <c r="H10" t="s">
        <v>1796</v>
      </c>
      <c r="I10" t="s">
        <v>1797</v>
      </c>
      <c r="J10" t="s">
        <v>1798</v>
      </c>
      <c r="K10">
        <v>3</v>
      </c>
      <c r="L10">
        <v>3</v>
      </c>
      <c r="M10" t="str">
        <f>IF((IF(E10="",0,COUNTIFS(Montagem_Vigas!$E:$E,E10,Montagem_Vigas!$F:$F,"SIM"))+IF(F10="",0,COUNTIFS(Montagem_Vigas!$E:$E,F10,Montagem_Vigas!$F:$F,"SIM"))+IF(G10="",0,COUNTIFS(Montagem_Vigas!$E:$E,G10,Montagem_Vigas!$F:$F,"SIM")))=K10,"OK","PENDENTE")</f>
        <v>PENDENTE</v>
      </c>
      <c r="N10" s="264" t="str">
        <f>IF((IF(H10="",0,COUNTIFS(Montagem_Vigas!$E:$E,H10,Montagem_Vigas!$F:$F,"SIM"))+IF(I10="",0,COUNTIFS(Montagem_Vigas!$E:$E,I10,Montagem_Vigas!$F:$F,"SIM"))+IF(J10="",0,COUNTIFS(Montagem_Vigas!$E:$E,J10,Montagem_Vigas!$F:$F,"SIM")))=L10,"OK","PENDENTE")</f>
        <v>OK</v>
      </c>
      <c r="O10" s="264" t="str">
        <f t="shared" si="0"/>
        <v>BLOQUEADO</v>
      </c>
      <c r="P10" s="264">
        <f>SUM(IF(E10="",0,COUNTIFS(Montagem_Vigas!$E:$E,E10,Montagem_Vigas!$F:$F,"SIM")),IF(F10="",0,COUNTIFS(Montagem_Vigas!$E:$E,F10,Montagem_Vigas!$F:$F,"SIM")),IF(G10="",0,COUNTIFS(Montagem_Vigas!$E:$E,G10,Montagem_Vigas!$F:$F,"SIM")),IF(H10="",0,COUNTIFS(Montagem_Vigas!$E:$E,H10,Montagem_Vigas!$F:$F,"SIM")),IF(I10="",0,COUNTIFS(Montagem_Vigas!$E:$E,I10,Montagem_Vigas!$F:$F,"SIM")),IF(J10="",0,COUNTIFS(Montagem_Vigas!$E:$E,J10,Montagem_Vigas!$F:$F,"SIM")))</f>
        <v>3</v>
      </c>
      <c r="Q10">
        <f t="shared" si="1"/>
        <v>0</v>
      </c>
      <c r="R10">
        <f t="shared" si="2"/>
        <v>0</v>
      </c>
      <c r="S10" t="str">
        <f t="shared" si="3"/>
        <v>AGUARDANDO ESTRUTURA</v>
      </c>
      <c r="T10" t="str">
        <f t="shared" si="4"/>
        <v>PENDENTE</v>
      </c>
      <c r="U10" t="s">
        <v>1931</v>
      </c>
      <c r="W10" t="s">
        <v>1932</v>
      </c>
      <c r="X10" s="284">
        <v>0</v>
      </c>
      <c r="Y10" s="284">
        <v>0</v>
      </c>
      <c r="Z10" s="284">
        <v>0</v>
      </c>
      <c r="AA10">
        <f t="shared" si="5"/>
        <v>0</v>
      </c>
      <c r="AB10">
        <f t="shared" si="6"/>
        <v>0</v>
      </c>
      <c r="AC10">
        <f t="shared" si="7"/>
        <v>0</v>
      </c>
      <c r="AD10">
        <f t="shared" si="8"/>
        <v>0</v>
      </c>
      <c r="AE10">
        <f t="shared" si="9"/>
        <v>0</v>
      </c>
      <c r="AF10" t="str">
        <f t="shared" si="10"/>
        <v>OK</v>
      </c>
    </row>
    <row r="11" spans="1:32" hidden="1" x14ac:dyDescent="0.25">
      <c r="A11" t="s">
        <v>1938</v>
      </c>
      <c r="B11">
        <v>10</v>
      </c>
      <c r="C11">
        <v>11</v>
      </c>
      <c r="D11" t="s">
        <v>1939</v>
      </c>
      <c r="E11" t="s">
        <v>1785</v>
      </c>
      <c r="F11" t="s">
        <v>1786</v>
      </c>
      <c r="H11" t="s">
        <v>1798</v>
      </c>
      <c r="I11" t="s">
        <v>1799</v>
      </c>
      <c r="K11">
        <v>2</v>
      </c>
      <c r="L11">
        <v>2</v>
      </c>
      <c r="M11" t="str">
        <f>IF((IF(E11="",0,COUNTIFS(Montagem_Vigas!$E:$E,E11,Montagem_Vigas!$F:$F,"SIM"))+IF(F11="",0,COUNTIFS(Montagem_Vigas!$E:$E,F11,Montagem_Vigas!$F:$F,"SIM"))+IF(G11="",0,COUNTIFS(Montagem_Vigas!$E:$E,G11,Montagem_Vigas!$F:$F,"SIM")))=K11,"OK","PENDENTE")</f>
        <v>PENDENTE</v>
      </c>
      <c r="N11" s="264" t="str">
        <f>IF((IF(H11="",0,COUNTIFS(Montagem_Vigas!$E:$E,H11,Montagem_Vigas!$F:$F,"SIM"))+IF(I11="",0,COUNTIFS(Montagem_Vigas!$E:$E,I11,Montagem_Vigas!$F:$F,"SIM"))+IF(J11="",0,COUNTIFS(Montagem_Vigas!$E:$E,J11,Montagem_Vigas!$F:$F,"SIM")))=L11,"OK","PENDENTE")</f>
        <v>PENDENTE</v>
      </c>
      <c r="O11" s="264" t="str">
        <f t="shared" si="0"/>
        <v>BLOQUEADO</v>
      </c>
      <c r="P11" s="264">
        <f>SUM(IF(E11="",0,COUNTIFS(Montagem_Vigas!$E:$E,E11,Montagem_Vigas!$F:$F,"SIM")),IF(F11="",0,COUNTIFS(Montagem_Vigas!$E:$E,F11,Montagem_Vigas!$F:$F,"SIM")),IF(G11="",0,COUNTIFS(Montagem_Vigas!$E:$E,G11,Montagem_Vigas!$F:$F,"SIM")),IF(H11="",0,COUNTIFS(Montagem_Vigas!$E:$E,H11,Montagem_Vigas!$F:$F,"SIM")),IF(I11="",0,COUNTIFS(Montagem_Vigas!$E:$E,I11,Montagem_Vigas!$F:$F,"SIM")),IF(J11="",0,COUNTIFS(Montagem_Vigas!$E:$E,J11,Montagem_Vigas!$F:$F,"SIM")))</f>
        <v>1</v>
      </c>
      <c r="Q11">
        <f t="shared" si="1"/>
        <v>0</v>
      </c>
      <c r="R11">
        <f t="shared" si="2"/>
        <v>0</v>
      </c>
      <c r="S11" t="str">
        <f t="shared" si="3"/>
        <v>AGUARDANDO ESTRUTURA</v>
      </c>
      <c r="T11" t="str">
        <f t="shared" si="4"/>
        <v>PENDENTE</v>
      </c>
      <c r="U11" t="s">
        <v>1931</v>
      </c>
      <c r="W11" t="s">
        <v>1932</v>
      </c>
      <c r="X11" s="284">
        <v>0</v>
      </c>
      <c r="Y11" s="284">
        <v>0</v>
      </c>
      <c r="Z11" s="284">
        <v>0</v>
      </c>
      <c r="AA11">
        <f t="shared" si="5"/>
        <v>0</v>
      </c>
      <c r="AB11">
        <f t="shared" si="6"/>
        <v>0</v>
      </c>
      <c r="AC11">
        <f t="shared" si="7"/>
        <v>0</v>
      </c>
      <c r="AD11">
        <f t="shared" si="8"/>
        <v>0</v>
      </c>
      <c r="AE11">
        <f t="shared" si="9"/>
        <v>0</v>
      </c>
      <c r="AF11" t="str">
        <f t="shared" si="10"/>
        <v>OK</v>
      </c>
    </row>
    <row r="12" spans="1:32" hidden="1" x14ac:dyDescent="0.25">
      <c r="A12" t="s">
        <v>1940</v>
      </c>
      <c r="B12">
        <v>11</v>
      </c>
      <c r="C12">
        <v>12</v>
      </c>
      <c r="D12" t="s">
        <v>1930</v>
      </c>
      <c r="E12" t="s">
        <v>1787</v>
      </c>
      <c r="F12" t="s">
        <v>1788</v>
      </c>
      <c r="H12" t="s">
        <v>1800</v>
      </c>
      <c r="I12" t="s">
        <v>1801</v>
      </c>
      <c r="K12">
        <v>2</v>
      </c>
      <c r="L12">
        <v>2</v>
      </c>
      <c r="M12" t="str">
        <f>IF((IF(E12="",0,COUNTIFS(Montagem_Vigas!$E:$E,E12,Montagem_Vigas!$F:$F,"SIM"))+IF(F12="",0,COUNTIFS(Montagem_Vigas!$E:$E,F12,Montagem_Vigas!$F:$F,"SIM"))+IF(G12="",0,COUNTIFS(Montagem_Vigas!$E:$E,G12,Montagem_Vigas!$F:$F,"SIM")))=K12,"OK","PENDENTE")</f>
        <v>OK</v>
      </c>
      <c r="N12" s="264" t="str">
        <f>IF((IF(H12="",0,COUNTIFS(Montagem_Vigas!$E:$E,H12,Montagem_Vigas!$F:$F,"SIM"))+IF(I12="",0,COUNTIFS(Montagem_Vigas!$E:$E,I12,Montagem_Vigas!$F:$F,"SIM"))+IF(J12="",0,COUNTIFS(Montagem_Vigas!$E:$E,J12,Montagem_Vigas!$F:$F,"SIM")))=L12,"OK","PENDENTE")</f>
        <v>OK</v>
      </c>
      <c r="O12" s="264" t="str">
        <f t="shared" si="0"/>
        <v>LIBERADO</v>
      </c>
      <c r="P12" s="264">
        <f>SUM(IF(E12="",0,COUNTIFS(Montagem_Vigas!$E:$E,E12,Montagem_Vigas!$F:$F,"SIM")),IF(F12="",0,COUNTIFS(Montagem_Vigas!$E:$E,F12,Montagem_Vigas!$F:$F,"SIM")),IF(G12="",0,COUNTIFS(Montagem_Vigas!$E:$E,G12,Montagem_Vigas!$F:$F,"SIM")),IF(H12="",0,COUNTIFS(Montagem_Vigas!$E:$E,H12,Montagem_Vigas!$F:$F,"SIM")),IF(I12="",0,COUNTIFS(Montagem_Vigas!$E:$E,I12,Montagem_Vigas!$F:$F,"SIM")),IF(J12="",0,COUNTIFS(Montagem_Vigas!$E:$E,J12,Montagem_Vigas!$F:$F,"SIM")))</f>
        <v>4</v>
      </c>
      <c r="Q12">
        <f t="shared" si="1"/>
        <v>0</v>
      </c>
      <c r="R12">
        <f t="shared" si="2"/>
        <v>0</v>
      </c>
      <c r="S12" t="str">
        <f t="shared" si="3"/>
        <v>LIBERADO P/ JOIST</v>
      </c>
      <c r="T12" t="str">
        <f t="shared" si="4"/>
        <v>OK</v>
      </c>
      <c r="U12" t="s">
        <v>1941</v>
      </c>
      <c r="W12" t="s">
        <v>1942</v>
      </c>
      <c r="X12" s="284">
        <v>0</v>
      </c>
      <c r="Y12" s="284">
        <v>0</v>
      </c>
      <c r="Z12" s="284">
        <v>0</v>
      </c>
      <c r="AA12">
        <f t="shared" si="5"/>
        <v>0</v>
      </c>
      <c r="AB12">
        <f t="shared" si="6"/>
        <v>0</v>
      </c>
      <c r="AC12">
        <f t="shared" si="7"/>
        <v>0</v>
      </c>
      <c r="AD12">
        <f t="shared" si="8"/>
        <v>0</v>
      </c>
      <c r="AE12">
        <f t="shared" si="9"/>
        <v>0</v>
      </c>
      <c r="AF12" t="str">
        <f t="shared" si="10"/>
        <v>OK</v>
      </c>
    </row>
    <row r="13" spans="1:32" hidden="1" x14ac:dyDescent="0.25">
      <c r="A13" t="s">
        <v>1943</v>
      </c>
      <c r="B13">
        <v>11</v>
      </c>
      <c r="C13">
        <v>12</v>
      </c>
      <c r="D13" t="s">
        <v>1725</v>
      </c>
      <c r="E13" t="s">
        <v>1788</v>
      </c>
      <c r="F13" t="s">
        <v>1789</v>
      </c>
      <c r="G13" t="s">
        <v>1790</v>
      </c>
      <c r="H13" t="s">
        <v>1801</v>
      </c>
      <c r="I13" t="s">
        <v>1802</v>
      </c>
      <c r="J13" t="s">
        <v>1803</v>
      </c>
      <c r="K13">
        <v>3</v>
      </c>
      <c r="L13">
        <v>3</v>
      </c>
      <c r="M13" t="str">
        <f>IF((IF(E13="",0,COUNTIFS(Montagem_Vigas!$E:$E,E13,Montagem_Vigas!$F:$F,"SIM"))+IF(F13="",0,COUNTIFS(Montagem_Vigas!$E:$E,F13,Montagem_Vigas!$F:$F,"SIM"))+IF(G13="",0,COUNTIFS(Montagem_Vigas!$E:$E,G13,Montagem_Vigas!$F:$F,"SIM")))=K13,"OK","PENDENTE")</f>
        <v>OK</v>
      </c>
      <c r="N13" s="264" t="str">
        <f>IF((IF(H13="",0,COUNTIFS(Montagem_Vigas!$E:$E,H13,Montagem_Vigas!$F:$F,"SIM"))+IF(I13="",0,COUNTIFS(Montagem_Vigas!$E:$E,I13,Montagem_Vigas!$F:$F,"SIM"))+IF(J13="",0,COUNTIFS(Montagem_Vigas!$E:$E,J13,Montagem_Vigas!$F:$F,"SIM")))=L13,"OK","PENDENTE")</f>
        <v>OK</v>
      </c>
      <c r="O13" s="264" t="str">
        <f t="shared" si="0"/>
        <v>LIBERADO</v>
      </c>
      <c r="P13" s="264">
        <f>SUM(IF(E13="",0,COUNTIFS(Montagem_Vigas!$E:$E,E13,Montagem_Vigas!$F:$F,"SIM")),IF(F13="",0,COUNTIFS(Montagem_Vigas!$E:$E,F13,Montagem_Vigas!$F:$F,"SIM")),IF(G13="",0,COUNTIFS(Montagem_Vigas!$E:$E,G13,Montagem_Vigas!$F:$F,"SIM")),IF(H13="",0,COUNTIFS(Montagem_Vigas!$E:$E,H13,Montagem_Vigas!$F:$F,"SIM")),IF(I13="",0,COUNTIFS(Montagem_Vigas!$E:$E,I13,Montagem_Vigas!$F:$F,"SIM")),IF(J13="",0,COUNTIFS(Montagem_Vigas!$E:$E,J13,Montagem_Vigas!$F:$F,"SIM")))</f>
        <v>6</v>
      </c>
      <c r="Q13">
        <f t="shared" si="1"/>
        <v>6</v>
      </c>
      <c r="R13">
        <f t="shared" si="2"/>
        <v>48</v>
      </c>
      <c r="S13" t="str">
        <f t="shared" si="3"/>
        <v>JOISTS APONTADAS</v>
      </c>
      <c r="T13" t="str">
        <f t="shared" si="4"/>
        <v>OK</v>
      </c>
      <c r="U13" t="s">
        <v>1941</v>
      </c>
      <c r="W13" t="s">
        <v>1942</v>
      </c>
      <c r="X13" s="284">
        <v>1</v>
      </c>
      <c r="Y13" s="284">
        <v>3</v>
      </c>
      <c r="Z13" s="284">
        <v>2</v>
      </c>
      <c r="AA13">
        <f>IF(O13&lt;&gt;"LIBERADO",0,IF(D13="BC",Y13*8,IF(D13="CD",Y13*8,IF(D13="DE",Y13*8,IF(D13="EF",Y13*8,IF(D13="FG",Y13*8,0))))))</f>
        <v>24</v>
      </c>
      <c r="AB13">
        <f t="shared" si="6"/>
        <v>8</v>
      </c>
      <c r="AC13">
        <f>IF(O13&lt;&gt;"LIBERADO",0,IF(D13="AB",Z13*8,IF(D13="BC",Z13*8,IF(D13="CD",(Z13+Z13)*8,IF(D13="DE",(Z13+Z13)*8,IF(D13="EF",(Z13+Z13)*8,IF(D13="FG",Z13*8,IF(D13="GH",Z13*8,0))))))))</f>
        <v>16</v>
      </c>
      <c r="AD13">
        <f t="shared" si="8"/>
        <v>48</v>
      </c>
      <c r="AE13">
        <f t="shared" si="9"/>
        <v>48</v>
      </c>
      <c r="AF13" t="str">
        <f>IF(O13&lt;&gt;"LIBERADO",IF(SUM(X13:Z13)=0,"OK","BLOQUEADO"),IF(OR(X13&gt;3,Y13&gt;3,Z13&gt;3),"ACIMA CAPACIDADE",IF((AA13+AB13+AC13)=R13,"OK","REVISAR MAPEAMENTO")))</f>
        <v>OK</v>
      </c>
    </row>
    <row r="14" spans="1:32" hidden="1" x14ac:dyDescent="0.25">
      <c r="A14" t="s">
        <v>1944</v>
      </c>
      <c r="B14">
        <v>11</v>
      </c>
      <c r="C14">
        <v>12</v>
      </c>
      <c r="D14" t="s">
        <v>1730</v>
      </c>
      <c r="E14" t="s">
        <v>1790</v>
      </c>
      <c r="F14" t="s">
        <v>1791</v>
      </c>
      <c r="G14" t="s">
        <v>1792</v>
      </c>
      <c r="H14" t="s">
        <v>1803</v>
      </c>
      <c r="I14" t="s">
        <v>1804</v>
      </c>
      <c r="J14" t="s">
        <v>1805</v>
      </c>
      <c r="K14">
        <v>3</v>
      </c>
      <c r="L14">
        <v>3</v>
      </c>
      <c r="M14" t="str">
        <f>IF((IF(E14="",0,COUNTIFS(Montagem_Vigas!$E:$E,E14,Montagem_Vigas!$F:$F,"SIM"))+IF(F14="",0,COUNTIFS(Montagem_Vigas!$E:$E,F14,Montagem_Vigas!$F:$F,"SIM"))+IF(G14="",0,COUNTIFS(Montagem_Vigas!$E:$E,G14,Montagem_Vigas!$F:$F,"SIM")))=K14,"OK","PENDENTE")</f>
        <v>OK</v>
      </c>
      <c r="N14" s="264" t="str">
        <f>IF((IF(H14="",0,COUNTIFS(Montagem_Vigas!$E:$E,H14,Montagem_Vigas!$F:$F,"SIM"))+IF(I14="",0,COUNTIFS(Montagem_Vigas!$E:$E,I14,Montagem_Vigas!$F:$F,"SIM"))+IF(J14="",0,COUNTIFS(Montagem_Vigas!$E:$E,J14,Montagem_Vigas!$F:$F,"SIM")))=L14,"OK","PENDENTE")</f>
        <v>OK</v>
      </c>
      <c r="O14" s="264" t="str">
        <f t="shared" si="0"/>
        <v>LIBERADO</v>
      </c>
      <c r="P14" s="264">
        <f>SUM(IF(E14="",0,COUNTIFS(Montagem_Vigas!$E:$E,E14,Montagem_Vigas!$F:$F,"SIM")),IF(F14="",0,COUNTIFS(Montagem_Vigas!$E:$E,F14,Montagem_Vigas!$F:$F,"SIM")),IF(G14="",0,COUNTIFS(Montagem_Vigas!$E:$E,G14,Montagem_Vigas!$F:$F,"SIM")),IF(H14="",0,COUNTIFS(Montagem_Vigas!$E:$E,H14,Montagem_Vigas!$F:$F,"SIM")),IF(I14="",0,COUNTIFS(Montagem_Vigas!$E:$E,I14,Montagem_Vigas!$F:$F,"SIM")),IF(J14="",0,COUNTIFS(Montagem_Vigas!$E:$E,J14,Montagem_Vigas!$F:$F,"SIM")))</f>
        <v>6</v>
      </c>
      <c r="Q14">
        <f t="shared" si="1"/>
        <v>7</v>
      </c>
      <c r="R14">
        <f t="shared" si="2"/>
        <v>56</v>
      </c>
      <c r="S14" t="str">
        <f t="shared" si="3"/>
        <v>JOISTS APONTADAS</v>
      </c>
      <c r="T14" t="str">
        <f t="shared" si="4"/>
        <v>OK</v>
      </c>
      <c r="U14" t="s">
        <v>1941</v>
      </c>
      <c r="W14" t="s">
        <v>1942</v>
      </c>
      <c r="X14" s="284">
        <v>1</v>
      </c>
      <c r="Y14" s="284">
        <v>3</v>
      </c>
      <c r="Z14" s="284">
        <v>3</v>
      </c>
      <c r="AA14">
        <v>3</v>
      </c>
      <c r="AB14">
        <f t="shared" si="6"/>
        <v>0</v>
      </c>
      <c r="AC14">
        <f>IF(O13&lt;&gt;"LIBERADO",0,IF(D13="BC",X14*8,IF(D13="CD",X14*8,IF(D13="DE",X14*8,IF(D13="EF",X14*8,IF(D13="FG",X14*8,0))))))</f>
        <v>8</v>
      </c>
      <c r="AD14">
        <f t="shared" si="8"/>
        <v>11</v>
      </c>
      <c r="AE14">
        <f t="shared" si="9"/>
        <v>11</v>
      </c>
      <c r="AF14" t="str">
        <f>IF(O14&lt;&gt;"LIBERADO",IF(SUM(X14:Z14)=0,"OK","BLOQUEADO"),IF(OR(X14&gt;3,Y14&gt;3,Z14&gt;3),"ACIMA CAPACIDADE",IF((AA14+AB14+AC14)=R14,"OK","REVISAR MAPEAMENTO")))</f>
        <v>REVISAR MAPEAMENTO</v>
      </c>
    </row>
    <row r="15" spans="1:32" hidden="1" x14ac:dyDescent="0.25">
      <c r="A15" t="s">
        <v>1945</v>
      </c>
      <c r="B15">
        <v>11</v>
      </c>
      <c r="C15">
        <v>12</v>
      </c>
      <c r="D15" t="s">
        <v>1732</v>
      </c>
      <c r="E15" t="s">
        <v>1792</v>
      </c>
      <c r="F15" t="s">
        <v>1793</v>
      </c>
      <c r="G15" t="s">
        <v>1794</v>
      </c>
      <c r="H15" t="s">
        <v>1805</v>
      </c>
      <c r="I15" t="s">
        <v>1806</v>
      </c>
      <c r="J15" t="s">
        <v>1807</v>
      </c>
      <c r="K15">
        <v>3</v>
      </c>
      <c r="L15">
        <v>3</v>
      </c>
      <c r="M15" t="str">
        <f>IF((IF(E15="",0,COUNTIFS(Montagem_Vigas!$E:$E,E15,Montagem_Vigas!$F:$F,"SIM"))+IF(F15="",0,COUNTIFS(Montagem_Vigas!$E:$E,F15,Montagem_Vigas!$F:$F,"SIM"))+IF(G15="",0,COUNTIFS(Montagem_Vigas!$E:$E,G15,Montagem_Vigas!$F:$F,"SIM")))=K15,"OK","PENDENTE")</f>
        <v>OK</v>
      </c>
      <c r="N15" s="264" t="str">
        <f>IF((IF(H15="",0,COUNTIFS(Montagem_Vigas!$E:$E,H15,Montagem_Vigas!$F:$F,"SIM"))+IF(I15="",0,COUNTIFS(Montagem_Vigas!$E:$E,I15,Montagem_Vigas!$F:$F,"SIM"))+IF(J15="",0,COUNTIFS(Montagem_Vigas!$E:$E,J15,Montagem_Vigas!$F:$F,"SIM")))=L15,"OK","PENDENTE")</f>
        <v>OK</v>
      </c>
      <c r="O15" s="264" t="str">
        <f t="shared" si="0"/>
        <v>LIBERADO</v>
      </c>
      <c r="P15" s="264">
        <f>SUM(IF(E15="",0,COUNTIFS(Montagem_Vigas!$E:$E,E15,Montagem_Vigas!$F:$F,"SIM")),IF(F15="",0,COUNTIFS(Montagem_Vigas!$E:$E,F15,Montagem_Vigas!$F:$F,"SIM")),IF(G15="",0,COUNTIFS(Montagem_Vigas!$E:$E,G15,Montagem_Vigas!$F:$F,"SIM")),IF(H15="",0,COUNTIFS(Montagem_Vigas!$E:$E,H15,Montagem_Vigas!$F:$F,"SIM")),IF(I15="",0,COUNTIFS(Montagem_Vigas!$E:$E,I15,Montagem_Vigas!$F:$F,"SIM")),IF(J15="",0,COUNTIFS(Montagem_Vigas!$E:$E,J15,Montagem_Vigas!$F:$F,"SIM")))</f>
        <v>6</v>
      </c>
      <c r="Q15">
        <f t="shared" si="1"/>
        <v>7</v>
      </c>
      <c r="R15">
        <f t="shared" si="2"/>
        <v>56</v>
      </c>
      <c r="S15" t="str">
        <f t="shared" si="3"/>
        <v>JOISTS APONTADAS</v>
      </c>
      <c r="T15" t="str">
        <f t="shared" si="4"/>
        <v>OK</v>
      </c>
      <c r="U15" t="s">
        <v>1941</v>
      </c>
      <c r="W15" t="s">
        <v>1942</v>
      </c>
      <c r="X15" s="284">
        <v>1</v>
      </c>
      <c r="Y15" s="284">
        <v>3</v>
      </c>
      <c r="Z15" s="284">
        <v>3</v>
      </c>
      <c r="AA15">
        <f t="shared" si="5"/>
        <v>24</v>
      </c>
      <c r="AB15">
        <f t="shared" si="6"/>
        <v>0</v>
      </c>
      <c r="AC15">
        <f>IF(O14&lt;&gt;"LIBERADO",0,IF(D14="BC",X15*8,IF(D14="CD",X15*8,IF(D14="DE",X15*8,IF(D14="EF",X15*8,IF(D14="FG",X15*8,0))))))</f>
        <v>8</v>
      </c>
      <c r="AD15">
        <f t="shared" si="8"/>
        <v>32</v>
      </c>
      <c r="AE15">
        <f t="shared" si="9"/>
        <v>32</v>
      </c>
      <c r="AF15" t="str">
        <f t="shared" si="10"/>
        <v>REVISAR MAPEAMENTO</v>
      </c>
    </row>
    <row r="16" spans="1:32" hidden="1" x14ac:dyDescent="0.25">
      <c r="A16" t="s">
        <v>1946</v>
      </c>
      <c r="B16">
        <v>11</v>
      </c>
      <c r="C16">
        <v>12</v>
      </c>
      <c r="D16" t="s">
        <v>1734</v>
      </c>
      <c r="E16" t="s">
        <v>1794</v>
      </c>
      <c r="F16" t="s">
        <v>1795</v>
      </c>
      <c r="G16" t="s">
        <v>1796</v>
      </c>
      <c r="H16" t="s">
        <v>1807</v>
      </c>
      <c r="I16" t="s">
        <v>1808</v>
      </c>
      <c r="J16" t="s">
        <v>1809</v>
      </c>
      <c r="K16">
        <v>3</v>
      </c>
      <c r="L16">
        <v>3</v>
      </c>
      <c r="M16" t="str">
        <f>IF((IF(E16="",0,COUNTIFS(Montagem_Vigas!$E:$E,E16,Montagem_Vigas!$F:$F,"SIM"))+IF(F16="",0,COUNTIFS(Montagem_Vigas!$E:$E,F16,Montagem_Vigas!$F:$F,"SIM"))+IF(G16="",0,COUNTIFS(Montagem_Vigas!$E:$E,G16,Montagem_Vigas!$F:$F,"SIM")))=K16,"OK","PENDENTE")</f>
        <v>OK</v>
      </c>
      <c r="N16" s="264" t="str">
        <f>IF((IF(H16="",0,COUNTIFS(Montagem_Vigas!$E:$E,H16,Montagem_Vigas!$F:$F,"SIM"))+IF(I16="",0,COUNTIFS(Montagem_Vigas!$E:$E,I16,Montagem_Vigas!$F:$F,"SIM"))+IF(J16="",0,COUNTIFS(Montagem_Vigas!$E:$E,J16,Montagem_Vigas!$F:$F,"SIM")))=L16,"OK","PENDENTE")</f>
        <v>OK</v>
      </c>
      <c r="O16" s="264" t="str">
        <f t="shared" si="0"/>
        <v>LIBERADO</v>
      </c>
      <c r="P16" s="264">
        <f>SUM(IF(E16="",0,COUNTIFS(Montagem_Vigas!$E:$E,E16,Montagem_Vigas!$F:$F,"SIM")),IF(F16="",0,COUNTIFS(Montagem_Vigas!$E:$E,F16,Montagem_Vigas!$F:$F,"SIM")),IF(G16="",0,COUNTIFS(Montagem_Vigas!$E:$E,G16,Montagem_Vigas!$F:$F,"SIM")),IF(H16="",0,COUNTIFS(Montagem_Vigas!$E:$E,H16,Montagem_Vigas!$F:$F,"SIM")),IF(I16="",0,COUNTIFS(Montagem_Vigas!$E:$E,I16,Montagem_Vigas!$F:$F,"SIM")),IF(J16="",0,COUNTIFS(Montagem_Vigas!$E:$E,J16,Montagem_Vigas!$F:$F,"SIM")))</f>
        <v>6</v>
      </c>
      <c r="Q16">
        <f t="shared" si="1"/>
        <v>6</v>
      </c>
      <c r="R16">
        <f t="shared" si="2"/>
        <v>48</v>
      </c>
      <c r="S16" t="str">
        <f t="shared" si="3"/>
        <v>JOISTS APONTADAS</v>
      </c>
      <c r="T16" t="str">
        <f t="shared" si="4"/>
        <v>OK</v>
      </c>
      <c r="U16" t="s">
        <v>1941</v>
      </c>
      <c r="W16" t="s">
        <v>1942</v>
      </c>
      <c r="X16" s="284">
        <v>1</v>
      </c>
      <c r="Y16" s="284">
        <v>3</v>
      </c>
      <c r="Z16" s="284">
        <v>2</v>
      </c>
      <c r="AA16">
        <f t="shared" si="5"/>
        <v>24</v>
      </c>
      <c r="AB16">
        <f t="shared" si="6"/>
        <v>0</v>
      </c>
      <c r="AC16">
        <f t="shared" si="7"/>
        <v>24</v>
      </c>
      <c r="AD16">
        <f t="shared" si="8"/>
        <v>48</v>
      </c>
      <c r="AE16">
        <f t="shared" si="9"/>
        <v>48</v>
      </c>
      <c r="AF16" t="str">
        <f t="shared" si="10"/>
        <v>OK</v>
      </c>
    </row>
    <row r="17" spans="1:32" hidden="1" x14ac:dyDescent="0.25">
      <c r="A17" t="s">
        <v>1947</v>
      </c>
      <c r="B17">
        <v>11</v>
      </c>
      <c r="C17">
        <v>12</v>
      </c>
      <c r="D17" t="s">
        <v>1736</v>
      </c>
      <c r="E17" t="s">
        <v>1796</v>
      </c>
      <c r="F17" t="s">
        <v>1797</v>
      </c>
      <c r="G17" t="s">
        <v>1798</v>
      </c>
      <c r="H17" t="s">
        <v>1809</v>
      </c>
      <c r="I17" t="s">
        <v>1810</v>
      </c>
      <c r="J17" t="s">
        <v>1811</v>
      </c>
      <c r="K17">
        <v>3</v>
      </c>
      <c r="L17">
        <v>3</v>
      </c>
      <c r="M17" t="str">
        <f>IF((IF(E17="",0,COUNTIFS(Montagem_Vigas!$E:$E,E17,Montagem_Vigas!$F:$F,"SIM"))+IF(F17="",0,COUNTIFS(Montagem_Vigas!$E:$E,F17,Montagem_Vigas!$F:$F,"SIM"))+IF(G17="",0,COUNTIFS(Montagem_Vigas!$E:$E,G17,Montagem_Vigas!$F:$F,"SIM")))=K17,"OK","PENDENTE")</f>
        <v>OK</v>
      </c>
      <c r="N17" s="264" t="str">
        <f>IF((IF(H17="",0,COUNTIFS(Montagem_Vigas!$E:$E,H17,Montagem_Vigas!$F:$F,"SIM"))+IF(I17="",0,COUNTIFS(Montagem_Vigas!$E:$E,I17,Montagem_Vigas!$F:$F,"SIM"))+IF(J17="",0,COUNTIFS(Montagem_Vigas!$E:$E,J17,Montagem_Vigas!$F:$F,"SIM")))=L17,"OK","PENDENTE")</f>
        <v>OK</v>
      </c>
      <c r="O17" s="264" t="str">
        <f t="shared" si="0"/>
        <v>LIBERADO</v>
      </c>
      <c r="P17" s="264">
        <f>SUM(IF(E17="",0,COUNTIFS(Montagem_Vigas!$E:$E,E17,Montagem_Vigas!$F:$F,"SIM")),IF(F17="",0,COUNTIFS(Montagem_Vigas!$E:$E,F17,Montagem_Vigas!$F:$F,"SIM")),IF(G17="",0,COUNTIFS(Montagem_Vigas!$E:$E,G17,Montagem_Vigas!$F:$F,"SIM")),IF(H17="",0,COUNTIFS(Montagem_Vigas!$E:$E,H17,Montagem_Vigas!$F:$F,"SIM")),IF(I17="",0,COUNTIFS(Montagem_Vigas!$E:$E,I17,Montagem_Vigas!$F:$F,"SIM")),IF(J17="",0,COUNTIFS(Montagem_Vigas!$E:$E,J17,Montagem_Vigas!$F:$F,"SIM")))</f>
        <v>6</v>
      </c>
      <c r="Q17">
        <f t="shared" si="1"/>
        <v>6</v>
      </c>
      <c r="R17">
        <f t="shared" si="2"/>
        <v>48</v>
      </c>
      <c r="S17" t="str">
        <f t="shared" si="3"/>
        <v>JOISTS APONTADAS</v>
      </c>
      <c r="T17" t="str">
        <f t="shared" si="4"/>
        <v>OK</v>
      </c>
      <c r="U17" t="s">
        <v>1941</v>
      </c>
      <c r="W17" t="s">
        <v>1942</v>
      </c>
      <c r="X17" s="284">
        <v>1</v>
      </c>
      <c r="Y17" s="284">
        <v>3</v>
      </c>
      <c r="Z17" s="284">
        <v>2</v>
      </c>
      <c r="AA17">
        <f t="shared" si="5"/>
        <v>24</v>
      </c>
      <c r="AB17">
        <f t="shared" si="6"/>
        <v>16</v>
      </c>
      <c r="AC17">
        <f t="shared" si="7"/>
        <v>8</v>
      </c>
      <c r="AD17">
        <f t="shared" si="8"/>
        <v>48</v>
      </c>
      <c r="AE17">
        <f t="shared" si="9"/>
        <v>48</v>
      </c>
      <c r="AF17" t="str">
        <f t="shared" si="10"/>
        <v>OK</v>
      </c>
    </row>
    <row r="18" spans="1:32" hidden="1" x14ac:dyDescent="0.25">
      <c r="A18" t="s">
        <v>1948</v>
      </c>
      <c r="B18">
        <v>11</v>
      </c>
      <c r="C18">
        <v>12</v>
      </c>
      <c r="D18" t="s">
        <v>1939</v>
      </c>
      <c r="E18" t="s">
        <v>1798</v>
      </c>
      <c r="F18" t="s">
        <v>1799</v>
      </c>
      <c r="H18" t="s">
        <v>1811</v>
      </c>
      <c r="I18" t="s">
        <v>1812</v>
      </c>
      <c r="K18">
        <v>2</v>
      </c>
      <c r="L18">
        <v>2</v>
      </c>
      <c r="M18" t="str">
        <f>IF((IF(E18="",0,COUNTIFS(Montagem_Vigas!$E:$E,E18,Montagem_Vigas!$F:$F,"SIM"))+IF(F18="",0,COUNTIFS(Montagem_Vigas!$E:$E,F18,Montagem_Vigas!$F:$F,"SIM"))+IF(G18="",0,COUNTIFS(Montagem_Vigas!$E:$E,G18,Montagem_Vigas!$F:$F,"SIM")))=K18,"OK","PENDENTE")</f>
        <v>PENDENTE</v>
      </c>
      <c r="N18" s="264" t="str">
        <f>IF((IF(H18="",0,COUNTIFS(Montagem_Vigas!$E:$E,H18,Montagem_Vigas!$F:$F,"SIM"))+IF(I18="",0,COUNTIFS(Montagem_Vigas!$E:$E,I18,Montagem_Vigas!$F:$F,"SIM"))+IF(J18="",0,COUNTIFS(Montagem_Vigas!$E:$E,J18,Montagem_Vigas!$F:$F,"SIM")))=L18,"OK","PENDENTE")</f>
        <v>PENDENTE</v>
      </c>
      <c r="O18" s="264" t="str">
        <f t="shared" si="0"/>
        <v>BLOQUEADO</v>
      </c>
      <c r="P18" s="264">
        <f>SUM(IF(E18="",0,COUNTIFS(Montagem_Vigas!$E:$E,E18,Montagem_Vigas!$F:$F,"SIM")),IF(F18="",0,COUNTIFS(Montagem_Vigas!$E:$E,F18,Montagem_Vigas!$F:$F,"SIM")),IF(G18="",0,COUNTIFS(Montagem_Vigas!$E:$E,G18,Montagem_Vigas!$F:$F,"SIM")),IF(H18="",0,COUNTIFS(Montagem_Vigas!$E:$E,H18,Montagem_Vigas!$F:$F,"SIM")),IF(I18="",0,COUNTIFS(Montagem_Vigas!$E:$E,I18,Montagem_Vigas!$F:$F,"SIM")),IF(J18="",0,COUNTIFS(Montagem_Vigas!$E:$E,J18,Montagem_Vigas!$F:$F,"SIM")))</f>
        <v>2</v>
      </c>
      <c r="Q18">
        <f t="shared" si="1"/>
        <v>0</v>
      </c>
      <c r="R18">
        <f t="shared" si="2"/>
        <v>0</v>
      </c>
      <c r="S18" t="str">
        <f t="shared" si="3"/>
        <v>AGUARDANDO ESTRUTURA</v>
      </c>
      <c r="T18" t="str">
        <f t="shared" si="4"/>
        <v>PENDENTE</v>
      </c>
      <c r="U18" t="s">
        <v>1941</v>
      </c>
      <c r="W18" t="s">
        <v>1942</v>
      </c>
      <c r="X18" s="284">
        <v>0</v>
      </c>
      <c r="Y18" s="284">
        <v>0</v>
      </c>
      <c r="Z18" s="284">
        <v>0</v>
      </c>
      <c r="AA18">
        <f t="shared" si="5"/>
        <v>0</v>
      </c>
      <c r="AB18">
        <f t="shared" si="6"/>
        <v>0</v>
      </c>
      <c r="AC18">
        <f t="shared" si="7"/>
        <v>0</v>
      </c>
      <c r="AD18">
        <f t="shared" si="8"/>
        <v>0</v>
      </c>
      <c r="AE18">
        <f t="shared" si="9"/>
        <v>0</v>
      </c>
      <c r="AF18" t="str">
        <f t="shared" si="10"/>
        <v>OK</v>
      </c>
    </row>
    <row r="19" spans="1:32" hidden="1" x14ac:dyDescent="0.25">
      <c r="A19" t="s">
        <v>1949</v>
      </c>
      <c r="B19">
        <v>12</v>
      </c>
      <c r="C19">
        <v>13</v>
      </c>
      <c r="D19" t="s">
        <v>1930</v>
      </c>
      <c r="E19" t="s">
        <v>1800</v>
      </c>
      <c r="F19" t="s">
        <v>1801</v>
      </c>
      <c r="H19" t="s">
        <v>1813</v>
      </c>
      <c r="I19" t="s">
        <v>1814</v>
      </c>
      <c r="K19">
        <v>2</v>
      </c>
      <c r="L19">
        <v>2</v>
      </c>
      <c r="M19" t="str">
        <f>IF((IF(E19="",0,COUNTIFS(Montagem_Vigas!$E:$E,E19,Montagem_Vigas!$F:$F,"SIM"))+IF(F19="",0,COUNTIFS(Montagem_Vigas!$E:$E,F19,Montagem_Vigas!$F:$F,"SIM"))+IF(G19="",0,COUNTIFS(Montagem_Vigas!$E:$E,G19,Montagem_Vigas!$F:$F,"SIM")))=K19,"OK","PENDENTE")</f>
        <v>OK</v>
      </c>
      <c r="N19" s="264" t="str">
        <f>IF((IF(H19="",0,COUNTIFS(Montagem_Vigas!$E:$E,H19,Montagem_Vigas!$F:$F,"SIM"))+IF(I19="",0,COUNTIFS(Montagem_Vigas!$E:$E,I19,Montagem_Vigas!$F:$F,"SIM"))+IF(J19="",0,COUNTIFS(Montagem_Vigas!$E:$E,J19,Montagem_Vigas!$F:$F,"SIM")))=L19,"OK","PENDENTE")</f>
        <v>OK</v>
      </c>
      <c r="O19" s="264" t="str">
        <f t="shared" si="0"/>
        <v>LIBERADO</v>
      </c>
      <c r="P19" s="264">
        <f>SUM(IF(E19="",0,COUNTIFS(Montagem_Vigas!$E:$E,E19,Montagem_Vigas!$F:$F,"SIM")),IF(F19="",0,COUNTIFS(Montagem_Vigas!$E:$E,F19,Montagem_Vigas!$F:$F,"SIM")),IF(G19="",0,COUNTIFS(Montagem_Vigas!$E:$E,G19,Montagem_Vigas!$F:$F,"SIM")),IF(H19="",0,COUNTIFS(Montagem_Vigas!$E:$E,H19,Montagem_Vigas!$F:$F,"SIM")),IF(I19="",0,COUNTIFS(Montagem_Vigas!$E:$E,I19,Montagem_Vigas!$F:$F,"SIM")),IF(J19="",0,COUNTIFS(Montagem_Vigas!$E:$E,J19,Montagem_Vigas!$F:$F,"SIM")))</f>
        <v>4</v>
      </c>
      <c r="Q19">
        <f t="shared" si="1"/>
        <v>0</v>
      </c>
      <c r="R19">
        <f t="shared" si="2"/>
        <v>0</v>
      </c>
      <c r="S19" t="str">
        <f t="shared" si="3"/>
        <v>LIBERADO P/ JOIST</v>
      </c>
      <c r="T19" t="str">
        <f t="shared" si="4"/>
        <v>OK</v>
      </c>
      <c r="U19" t="s">
        <v>1950</v>
      </c>
      <c r="W19" t="s">
        <v>1942</v>
      </c>
      <c r="X19" s="284">
        <v>0</v>
      </c>
      <c r="Y19" s="284">
        <v>0</v>
      </c>
      <c r="Z19" s="284">
        <v>0</v>
      </c>
      <c r="AA19">
        <f t="shared" si="5"/>
        <v>0</v>
      </c>
      <c r="AB19">
        <f t="shared" si="6"/>
        <v>0</v>
      </c>
      <c r="AC19">
        <f t="shared" si="7"/>
        <v>0</v>
      </c>
      <c r="AD19">
        <f t="shared" si="8"/>
        <v>0</v>
      </c>
      <c r="AE19">
        <f t="shared" si="9"/>
        <v>0</v>
      </c>
      <c r="AF19" t="str">
        <f t="shared" si="10"/>
        <v>OK</v>
      </c>
    </row>
    <row r="20" spans="1:32" hidden="1" x14ac:dyDescent="0.25">
      <c r="A20" t="s">
        <v>1951</v>
      </c>
      <c r="B20">
        <v>12</v>
      </c>
      <c r="C20">
        <v>13</v>
      </c>
      <c r="D20" t="s">
        <v>1725</v>
      </c>
      <c r="E20" t="s">
        <v>1801</v>
      </c>
      <c r="F20" t="s">
        <v>1802</v>
      </c>
      <c r="G20" t="s">
        <v>1803</v>
      </c>
      <c r="H20" t="s">
        <v>1814</v>
      </c>
      <c r="I20" t="s">
        <v>1815</v>
      </c>
      <c r="J20" t="s">
        <v>1816</v>
      </c>
      <c r="K20">
        <v>3</v>
      </c>
      <c r="L20">
        <v>3</v>
      </c>
      <c r="M20" t="str">
        <f>IF((IF(E20="",0,COUNTIFS(Montagem_Vigas!$E:$E,E20,Montagem_Vigas!$F:$F,"SIM"))+IF(F20="",0,COUNTIFS(Montagem_Vigas!$E:$E,F20,Montagem_Vigas!$F:$F,"SIM"))+IF(G20="",0,COUNTIFS(Montagem_Vigas!$E:$E,G20,Montagem_Vigas!$F:$F,"SIM")))=K20,"OK","PENDENTE")</f>
        <v>OK</v>
      </c>
      <c r="N20" s="264" t="str">
        <f>IF((IF(H20="",0,COUNTIFS(Montagem_Vigas!$E:$E,H20,Montagem_Vigas!$F:$F,"SIM"))+IF(I20="",0,COUNTIFS(Montagem_Vigas!$E:$E,I20,Montagem_Vigas!$F:$F,"SIM"))+IF(J20="",0,COUNTIFS(Montagem_Vigas!$E:$E,J20,Montagem_Vigas!$F:$F,"SIM")))=L20,"OK","PENDENTE")</f>
        <v>OK</v>
      </c>
      <c r="O20" s="264" t="str">
        <f t="shared" si="0"/>
        <v>LIBERADO</v>
      </c>
      <c r="P20" s="264">
        <f>SUM(IF(E20="",0,COUNTIFS(Montagem_Vigas!$E:$E,E20,Montagem_Vigas!$F:$F,"SIM")),IF(F20="",0,COUNTIFS(Montagem_Vigas!$E:$E,F20,Montagem_Vigas!$F:$F,"SIM")),IF(G20="",0,COUNTIFS(Montagem_Vigas!$E:$E,G20,Montagem_Vigas!$F:$F,"SIM")),IF(H20="",0,COUNTIFS(Montagem_Vigas!$E:$E,H20,Montagem_Vigas!$F:$F,"SIM")),IF(I20="",0,COUNTIFS(Montagem_Vigas!$E:$E,I20,Montagem_Vigas!$F:$F,"SIM")),IF(J20="",0,COUNTIFS(Montagem_Vigas!$E:$E,J20,Montagem_Vigas!$F:$F,"SIM")))</f>
        <v>6</v>
      </c>
      <c r="Q20">
        <f t="shared" si="1"/>
        <v>6</v>
      </c>
      <c r="R20">
        <f t="shared" si="2"/>
        <v>48</v>
      </c>
      <c r="S20" t="str">
        <f t="shared" si="3"/>
        <v>JOISTS APONTADAS</v>
      </c>
      <c r="T20" t="str">
        <f t="shared" si="4"/>
        <v>OK</v>
      </c>
      <c r="U20" t="s">
        <v>1950</v>
      </c>
      <c r="W20" t="s">
        <v>1942</v>
      </c>
      <c r="X20" s="284">
        <v>1</v>
      </c>
      <c r="Y20" s="284">
        <v>3</v>
      </c>
      <c r="Z20" s="284">
        <v>2</v>
      </c>
      <c r="AA20">
        <f t="shared" si="5"/>
        <v>24</v>
      </c>
      <c r="AB20">
        <f t="shared" si="6"/>
        <v>8</v>
      </c>
      <c r="AC20">
        <f>IF(O19&lt;&gt;"LIBERADO",0,IF(D19="BC",X20*8,IF(D19="CD",X20*8,IF(D19="DE",X20*8,IF(D19="EF",X20*8,IF(D19="FG",X20*8,0))))))</f>
        <v>0</v>
      </c>
      <c r="AD20">
        <f t="shared" si="8"/>
        <v>32</v>
      </c>
      <c r="AE20">
        <f t="shared" si="9"/>
        <v>32</v>
      </c>
      <c r="AF20" t="str">
        <f t="shared" si="10"/>
        <v>REVISAR MAPEAMENTO</v>
      </c>
    </row>
    <row r="21" spans="1:32" hidden="1" x14ac:dyDescent="0.25">
      <c r="A21" t="s">
        <v>1952</v>
      </c>
      <c r="B21">
        <v>12</v>
      </c>
      <c r="C21">
        <v>13</v>
      </c>
      <c r="D21" t="s">
        <v>1730</v>
      </c>
      <c r="E21" t="s">
        <v>1803</v>
      </c>
      <c r="F21" t="s">
        <v>1804</v>
      </c>
      <c r="G21" t="s">
        <v>1805</v>
      </c>
      <c r="H21" t="s">
        <v>1816</v>
      </c>
      <c r="I21" t="s">
        <v>1817</v>
      </c>
      <c r="J21" t="s">
        <v>1818</v>
      </c>
      <c r="K21">
        <v>3</v>
      </c>
      <c r="L21">
        <v>3</v>
      </c>
      <c r="M21" t="str">
        <f>IF((IF(E21="",0,COUNTIFS(Montagem_Vigas!$E:$E,E21,Montagem_Vigas!$F:$F,"SIM"))+IF(F21="",0,COUNTIFS(Montagem_Vigas!$E:$E,F21,Montagem_Vigas!$F:$F,"SIM"))+IF(G21="",0,COUNTIFS(Montagem_Vigas!$E:$E,G21,Montagem_Vigas!$F:$F,"SIM")))=K21,"OK","PENDENTE")</f>
        <v>OK</v>
      </c>
      <c r="N21" s="264" t="str">
        <f>IF((IF(H21="",0,COUNTIFS(Montagem_Vigas!$E:$E,H21,Montagem_Vigas!$F:$F,"SIM"))+IF(I21="",0,COUNTIFS(Montagem_Vigas!$E:$E,I21,Montagem_Vigas!$F:$F,"SIM"))+IF(J21="",0,COUNTIFS(Montagem_Vigas!$E:$E,J21,Montagem_Vigas!$F:$F,"SIM")))=L21,"OK","PENDENTE")</f>
        <v>OK</v>
      </c>
      <c r="O21" s="264" t="str">
        <f t="shared" si="0"/>
        <v>LIBERADO</v>
      </c>
      <c r="P21" s="264">
        <f>SUM(IF(E21="",0,COUNTIFS(Montagem_Vigas!$E:$E,E21,Montagem_Vigas!$F:$F,"SIM")),IF(F21="",0,COUNTIFS(Montagem_Vigas!$E:$E,F21,Montagem_Vigas!$F:$F,"SIM")),IF(G21="",0,COUNTIFS(Montagem_Vigas!$E:$E,G21,Montagem_Vigas!$F:$F,"SIM")),IF(H21="",0,COUNTIFS(Montagem_Vigas!$E:$E,H21,Montagem_Vigas!$F:$F,"SIM")),IF(I21="",0,COUNTIFS(Montagem_Vigas!$E:$E,I21,Montagem_Vigas!$F:$F,"SIM")),IF(J21="",0,COUNTIFS(Montagem_Vigas!$E:$E,J21,Montagem_Vigas!$F:$F,"SIM")))</f>
        <v>6</v>
      </c>
      <c r="Q21">
        <f t="shared" si="1"/>
        <v>6</v>
      </c>
      <c r="R21">
        <f t="shared" si="2"/>
        <v>48</v>
      </c>
      <c r="S21" t="str">
        <f t="shared" si="3"/>
        <v>JOISTS APONTADAS</v>
      </c>
      <c r="T21" t="str">
        <f t="shared" si="4"/>
        <v>OK</v>
      </c>
      <c r="U21" t="s">
        <v>1950</v>
      </c>
      <c r="W21" t="s">
        <v>1942</v>
      </c>
      <c r="X21" s="284">
        <v>1</v>
      </c>
      <c r="Y21" s="284">
        <v>3</v>
      </c>
      <c r="Z21" s="284">
        <v>2</v>
      </c>
      <c r="AA21">
        <f t="shared" si="5"/>
        <v>24</v>
      </c>
      <c r="AB21">
        <f t="shared" si="6"/>
        <v>0</v>
      </c>
      <c r="AC21">
        <f t="shared" ref="AC21:AC22" si="11">IF(O20&lt;&gt;"LIBERADO",0,IF(D20="BC",X21*8,IF(D20="CD",X21*8,IF(D20="DE",X21*8,IF(D20="EF",X21*8,IF(D20="FG",X21*8,0))))))</f>
        <v>8</v>
      </c>
      <c r="AD21">
        <f t="shared" si="8"/>
        <v>32</v>
      </c>
      <c r="AE21">
        <f t="shared" si="9"/>
        <v>32</v>
      </c>
      <c r="AF21" t="str">
        <f t="shared" si="10"/>
        <v>REVISAR MAPEAMENTO</v>
      </c>
    </row>
    <row r="22" spans="1:32" hidden="1" x14ac:dyDescent="0.25">
      <c r="A22" t="s">
        <v>1953</v>
      </c>
      <c r="B22">
        <v>12</v>
      </c>
      <c r="C22">
        <v>13</v>
      </c>
      <c r="D22" t="s">
        <v>1732</v>
      </c>
      <c r="E22" t="s">
        <v>1805</v>
      </c>
      <c r="F22" t="s">
        <v>1806</v>
      </c>
      <c r="G22" t="s">
        <v>1807</v>
      </c>
      <c r="H22" t="s">
        <v>1818</v>
      </c>
      <c r="I22" t="s">
        <v>1819</v>
      </c>
      <c r="J22" t="s">
        <v>1820</v>
      </c>
      <c r="K22">
        <v>3</v>
      </c>
      <c r="L22">
        <v>3</v>
      </c>
      <c r="M22" t="str">
        <f>IF((IF(E22="",0,COUNTIFS(Montagem_Vigas!$E:$E,E22,Montagem_Vigas!$F:$F,"SIM"))+IF(F22="",0,COUNTIFS(Montagem_Vigas!$E:$E,F22,Montagem_Vigas!$F:$F,"SIM"))+IF(G22="",0,COUNTIFS(Montagem_Vigas!$E:$E,G22,Montagem_Vigas!$F:$F,"SIM")))=K22,"OK","PENDENTE")</f>
        <v>OK</v>
      </c>
      <c r="N22" s="264" t="str">
        <f>IF((IF(H22="",0,COUNTIFS(Montagem_Vigas!$E:$E,H22,Montagem_Vigas!$F:$F,"SIM"))+IF(I22="",0,COUNTIFS(Montagem_Vigas!$E:$E,I22,Montagem_Vigas!$F:$F,"SIM"))+IF(J22="",0,COUNTIFS(Montagem_Vigas!$E:$E,J22,Montagem_Vigas!$F:$F,"SIM")))=L22,"OK","PENDENTE")</f>
        <v>OK</v>
      </c>
      <c r="O22" s="264" t="str">
        <f t="shared" si="0"/>
        <v>LIBERADO</v>
      </c>
      <c r="P22" s="264">
        <f>SUM(IF(E22="",0,COUNTIFS(Montagem_Vigas!$E:$E,E22,Montagem_Vigas!$F:$F,"SIM")),IF(F22="",0,COUNTIFS(Montagem_Vigas!$E:$E,F22,Montagem_Vigas!$F:$F,"SIM")),IF(G22="",0,COUNTIFS(Montagem_Vigas!$E:$E,G22,Montagem_Vigas!$F:$F,"SIM")),IF(H22="",0,COUNTIFS(Montagem_Vigas!$E:$E,H22,Montagem_Vigas!$F:$F,"SIM")),IF(I22="",0,COUNTIFS(Montagem_Vigas!$E:$E,I22,Montagem_Vigas!$F:$F,"SIM")),IF(J22="",0,COUNTIFS(Montagem_Vigas!$E:$E,J22,Montagem_Vigas!$F:$F,"SIM")))</f>
        <v>6</v>
      </c>
      <c r="Q22">
        <f t="shared" si="1"/>
        <v>7</v>
      </c>
      <c r="R22">
        <f t="shared" si="2"/>
        <v>56</v>
      </c>
      <c r="S22" t="str">
        <f t="shared" si="3"/>
        <v>JOISTS APONTADAS</v>
      </c>
      <c r="T22" t="str">
        <f t="shared" si="4"/>
        <v>OK</v>
      </c>
      <c r="U22" t="s">
        <v>1950</v>
      </c>
      <c r="W22" t="s">
        <v>1942</v>
      </c>
      <c r="X22" s="284">
        <v>1</v>
      </c>
      <c r="Y22" s="284">
        <v>3</v>
      </c>
      <c r="Z22" s="284">
        <v>3</v>
      </c>
      <c r="AA22">
        <f t="shared" si="5"/>
        <v>24</v>
      </c>
      <c r="AB22">
        <f t="shared" si="6"/>
        <v>0</v>
      </c>
      <c r="AC22">
        <f t="shared" si="11"/>
        <v>8</v>
      </c>
      <c r="AD22">
        <f t="shared" si="8"/>
        <v>32</v>
      </c>
      <c r="AE22">
        <f t="shared" si="9"/>
        <v>32</v>
      </c>
      <c r="AF22" t="str">
        <f t="shared" si="10"/>
        <v>REVISAR MAPEAMENTO</v>
      </c>
    </row>
    <row r="23" spans="1:32" hidden="1" x14ac:dyDescent="0.25">
      <c r="A23" t="s">
        <v>1954</v>
      </c>
      <c r="B23">
        <v>12</v>
      </c>
      <c r="C23">
        <v>13</v>
      </c>
      <c r="D23" t="s">
        <v>1734</v>
      </c>
      <c r="E23" t="s">
        <v>1807</v>
      </c>
      <c r="F23" t="s">
        <v>1808</v>
      </c>
      <c r="G23" t="s">
        <v>1809</v>
      </c>
      <c r="H23" t="s">
        <v>1820</v>
      </c>
      <c r="I23" t="s">
        <v>1821</v>
      </c>
      <c r="J23" t="s">
        <v>1822</v>
      </c>
      <c r="K23">
        <v>3</v>
      </c>
      <c r="L23">
        <v>3</v>
      </c>
      <c r="M23" t="str">
        <f>IF((IF(E23="",0,COUNTIFS(Montagem_Vigas!$E:$E,E23,Montagem_Vigas!$F:$F,"SIM"))+IF(F23="",0,COUNTIFS(Montagem_Vigas!$E:$E,F23,Montagem_Vigas!$F:$F,"SIM"))+IF(G23="",0,COUNTIFS(Montagem_Vigas!$E:$E,G23,Montagem_Vigas!$F:$F,"SIM")))=K23,"OK","PENDENTE")</f>
        <v>OK</v>
      </c>
      <c r="N23" s="264" t="str">
        <f>IF((IF(H23="",0,COUNTIFS(Montagem_Vigas!$E:$E,H23,Montagem_Vigas!$F:$F,"SIM"))+IF(I23="",0,COUNTIFS(Montagem_Vigas!$E:$E,I23,Montagem_Vigas!$F:$F,"SIM"))+IF(J23="",0,COUNTIFS(Montagem_Vigas!$E:$E,J23,Montagem_Vigas!$F:$F,"SIM")))=L23,"OK","PENDENTE")</f>
        <v>OK</v>
      </c>
      <c r="O23" s="264" t="str">
        <f t="shared" si="0"/>
        <v>LIBERADO</v>
      </c>
      <c r="P23" s="264">
        <f>SUM(IF(E23="",0,COUNTIFS(Montagem_Vigas!$E:$E,E23,Montagem_Vigas!$F:$F,"SIM")),IF(F23="",0,COUNTIFS(Montagem_Vigas!$E:$E,F23,Montagem_Vigas!$F:$F,"SIM")),IF(G23="",0,COUNTIFS(Montagem_Vigas!$E:$E,G23,Montagem_Vigas!$F:$F,"SIM")),IF(H23="",0,COUNTIFS(Montagem_Vigas!$E:$E,H23,Montagem_Vigas!$F:$F,"SIM")),IF(I23="",0,COUNTIFS(Montagem_Vigas!$E:$E,I23,Montagem_Vigas!$F:$F,"SIM")),IF(J23="",0,COUNTIFS(Montagem_Vigas!$E:$E,J23,Montagem_Vigas!$F:$F,"SIM")))</f>
        <v>6</v>
      </c>
      <c r="Q23">
        <f t="shared" si="1"/>
        <v>7</v>
      </c>
      <c r="R23">
        <f t="shared" si="2"/>
        <v>56</v>
      </c>
      <c r="S23" t="str">
        <f t="shared" si="3"/>
        <v>JOISTS APONTADAS</v>
      </c>
      <c r="T23" t="str">
        <f t="shared" si="4"/>
        <v>OK</v>
      </c>
      <c r="U23" t="s">
        <v>1950</v>
      </c>
      <c r="W23" t="s">
        <v>1942</v>
      </c>
      <c r="X23" s="284">
        <v>1</v>
      </c>
      <c r="Y23" s="284">
        <v>3</v>
      </c>
      <c r="Z23" s="284">
        <v>3</v>
      </c>
      <c r="AA23">
        <f t="shared" si="5"/>
        <v>24</v>
      </c>
      <c r="AB23">
        <f t="shared" si="6"/>
        <v>0</v>
      </c>
      <c r="AC23">
        <f t="shared" si="7"/>
        <v>32</v>
      </c>
      <c r="AD23">
        <f t="shared" si="8"/>
        <v>56</v>
      </c>
      <c r="AE23">
        <f t="shared" si="9"/>
        <v>56</v>
      </c>
      <c r="AF23" t="str">
        <f t="shared" si="10"/>
        <v>OK</v>
      </c>
    </row>
    <row r="24" spans="1:32" hidden="1" x14ac:dyDescent="0.25">
      <c r="A24" t="s">
        <v>1955</v>
      </c>
      <c r="B24">
        <v>12</v>
      </c>
      <c r="C24">
        <v>13</v>
      </c>
      <c r="D24" t="s">
        <v>1736</v>
      </c>
      <c r="E24" t="s">
        <v>1809</v>
      </c>
      <c r="F24" t="s">
        <v>1810</v>
      </c>
      <c r="G24" t="s">
        <v>1811</v>
      </c>
      <c r="H24" t="s">
        <v>1822</v>
      </c>
      <c r="I24" t="s">
        <v>1823</v>
      </c>
      <c r="J24" t="s">
        <v>1824</v>
      </c>
      <c r="K24">
        <v>3</v>
      </c>
      <c r="L24">
        <v>3</v>
      </c>
      <c r="M24" t="str">
        <f>IF((IF(E24="",0,COUNTIFS(Montagem_Vigas!$E:$E,E24,Montagem_Vigas!$F:$F,"SIM"))+IF(F24="",0,COUNTIFS(Montagem_Vigas!$E:$E,F24,Montagem_Vigas!$F:$F,"SIM"))+IF(G24="",0,COUNTIFS(Montagem_Vigas!$E:$E,G24,Montagem_Vigas!$F:$F,"SIM")))=K24,"OK","PENDENTE")</f>
        <v>OK</v>
      </c>
      <c r="N24" s="264" t="str">
        <f>IF((IF(H24="",0,COUNTIFS(Montagem_Vigas!$E:$E,H24,Montagem_Vigas!$F:$F,"SIM"))+IF(I24="",0,COUNTIFS(Montagem_Vigas!$E:$E,I24,Montagem_Vigas!$F:$F,"SIM"))+IF(J24="",0,COUNTIFS(Montagem_Vigas!$E:$E,J24,Montagem_Vigas!$F:$F,"SIM")))=L24,"OK","PENDENTE")</f>
        <v>OK</v>
      </c>
      <c r="O24" s="264" t="str">
        <f t="shared" si="0"/>
        <v>LIBERADO</v>
      </c>
      <c r="P24" s="264">
        <f>SUM(IF(E24="",0,COUNTIFS(Montagem_Vigas!$E:$E,E24,Montagem_Vigas!$F:$F,"SIM")),IF(F24="",0,COUNTIFS(Montagem_Vigas!$E:$E,F24,Montagem_Vigas!$F:$F,"SIM")),IF(G24="",0,COUNTIFS(Montagem_Vigas!$E:$E,G24,Montagem_Vigas!$F:$F,"SIM")),IF(H24="",0,COUNTIFS(Montagem_Vigas!$E:$E,H24,Montagem_Vigas!$F:$F,"SIM")),IF(I24="",0,COUNTIFS(Montagem_Vigas!$E:$E,I24,Montagem_Vigas!$F:$F,"SIM")),IF(J24="",0,COUNTIFS(Montagem_Vigas!$E:$E,J24,Montagem_Vigas!$F:$F,"SIM")))</f>
        <v>6</v>
      </c>
      <c r="Q24">
        <f t="shared" si="1"/>
        <v>6</v>
      </c>
      <c r="R24">
        <f t="shared" si="2"/>
        <v>48</v>
      </c>
      <c r="S24" t="str">
        <f t="shared" si="3"/>
        <v>JOISTS APONTADAS</v>
      </c>
      <c r="T24" t="str">
        <f t="shared" si="4"/>
        <v>OK</v>
      </c>
      <c r="U24" t="s">
        <v>1950</v>
      </c>
      <c r="W24" t="s">
        <v>1942</v>
      </c>
      <c r="X24" s="284">
        <v>1</v>
      </c>
      <c r="Y24" s="284">
        <v>3</v>
      </c>
      <c r="Z24" s="284">
        <v>2</v>
      </c>
      <c r="AA24">
        <f t="shared" si="5"/>
        <v>24</v>
      </c>
      <c r="AB24">
        <f t="shared" si="6"/>
        <v>16</v>
      </c>
      <c r="AC24">
        <f t="shared" si="7"/>
        <v>8</v>
      </c>
      <c r="AD24">
        <f t="shared" si="8"/>
        <v>48</v>
      </c>
      <c r="AE24">
        <f t="shared" si="9"/>
        <v>48</v>
      </c>
      <c r="AF24" t="str">
        <f t="shared" si="10"/>
        <v>OK</v>
      </c>
    </row>
    <row r="25" spans="1:32" hidden="1" x14ac:dyDescent="0.25">
      <c r="A25" t="s">
        <v>1956</v>
      </c>
      <c r="B25">
        <v>12</v>
      </c>
      <c r="C25">
        <v>13</v>
      </c>
      <c r="D25" t="s">
        <v>1939</v>
      </c>
      <c r="E25" t="s">
        <v>1811</v>
      </c>
      <c r="F25" t="s">
        <v>1812</v>
      </c>
      <c r="H25" t="s">
        <v>1824</v>
      </c>
      <c r="I25" t="s">
        <v>1825</v>
      </c>
      <c r="K25">
        <v>2</v>
      </c>
      <c r="L25">
        <v>2</v>
      </c>
      <c r="M25" t="str">
        <f>IF((IF(E25="",0,COUNTIFS(Montagem_Vigas!$E:$E,E25,Montagem_Vigas!$F:$F,"SIM"))+IF(F25="",0,COUNTIFS(Montagem_Vigas!$E:$E,F25,Montagem_Vigas!$F:$F,"SIM"))+IF(G25="",0,COUNTIFS(Montagem_Vigas!$E:$E,G25,Montagem_Vigas!$F:$F,"SIM")))=K25,"OK","PENDENTE")</f>
        <v>PENDENTE</v>
      </c>
      <c r="N25" s="264" t="str">
        <f>IF((IF(H25="",0,COUNTIFS(Montagem_Vigas!$E:$E,H25,Montagem_Vigas!$F:$F,"SIM"))+IF(I25="",0,COUNTIFS(Montagem_Vigas!$E:$E,I25,Montagem_Vigas!$F:$F,"SIM"))+IF(J25="",0,COUNTIFS(Montagem_Vigas!$E:$E,J25,Montagem_Vigas!$F:$F,"SIM")))=L25,"OK","PENDENTE")</f>
        <v>PENDENTE</v>
      </c>
      <c r="O25" s="264" t="str">
        <f t="shared" si="0"/>
        <v>BLOQUEADO</v>
      </c>
      <c r="P25" s="264">
        <f>SUM(IF(E25="",0,COUNTIFS(Montagem_Vigas!$E:$E,E25,Montagem_Vigas!$F:$F,"SIM")),IF(F25="",0,COUNTIFS(Montagem_Vigas!$E:$E,F25,Montagem_Vigas!$F:$F,"SIM")),IF(G25="",0,COUNTIFS(Montagem_Vigas!$E:$E,G25,Montagem_Vigas!$F:$F,"SIM")),IF(H25="",0,COUNTIFS(Montagem_Vigas!$E:$E,H25,Montagem_Vigas!$F:$F,"SIM")),IF(I25="",0,COUNTIFS(Montagem_Vigas!$E:$E,I25,Montagem_Vigas!$F:$F,"SIM")),IF(J25="",0,COUNTIFS(Montagem_Vigas!$E:$E,J25,Montagem_Vigas!$F:$F,"SIM")))</f>
        <v>2</v>
      </c>
      <c r="Q25">
        <f t="shared" si="1"/>
        <v>0</v>
      </c>
      <c r="R25">
        <f t="shared" si="2"/>
        <v>0</v>
      </c>
      <c r="S25" t="str">
        <f t="shared" si="3"/>
        <v>AGUARDANDO ESTRUTURA</v>
      </c>
      <c r="T25" t="str">
        <f t="shared" si="4"/>
        <v>PENDENTE</v>
      </c>
      <c r="U25" t="s">
        <v>1950</v>
      </c>
      <c r="W25" t="s">
        <v>1942</v>
      </c>
      <c r="X25" s="284">
        <v>0</v>
      </c>
      <c r="Y25" s="284">
        <v>0</v>
      </c>
      <c r="Z25" s="284">
        <v>0</v>
      </c>
      <c r="AA25">
        <f t="shared" si="5"/>
        <v>0</v>
      </c>
      <c r="AB25">
        <f t="shared" si="6"/>
        <v>0</v>
      </c>
      <c r="AC25">
        <f t="shared" si="7"/>
        <v>0</v>
      </c>
      <c r="AD25">
        <f t="shared" si="8"/>
        <v>0</v>
      </c>
      <c r="AE25">
        <f t="shared" si="9"/>
        <v>0</v>
      </c>
      <c r="AF25" t="str">
        <f t="shared" si="10"/>
        <v>OK</v>
      </c>
    </row>
    <row r="26" spans="1:32" hidden="1" x14ac:dyDescent="0.25">
      <c r="A26" t="s">
        <v>1957</v>
      </c>
      <c r="B26">
        <v>13</v>
      </c>
      <c r="C26">
        <v>14</v>
      </c>
      <c r="D26" t="s">
        <v>1930</v>
      </c>
      <c r="E26" t="s">
        <v>1813</v>
      </c>
      <c r="F26" t="s">
        <v>1814</v>
      </c>
      <c r="H26" t="s">
        <v>1826</v>
      </c>
      <c r="I26" t="s">
        <v>1827</v>
      </c>
      <c r="K26">
        <v>2</v>
      </c>
      <c r="L26">
        <v>2</v>
      </c>
      <c r="M26" t="str">
        <f>IF((IF(E26="",0,COUNTIFS(Montagem_Vigas!$E:$E,E26,Montagem_Vigas!$F:$F,"SIM"))+IF(F26="",0,COUNTIFS(Montagem_Vigas!$E:$E,F26,Montagem_Vigas!$F:$F,"SIM"))+IF(G26="",0,COUNTIFS(Montagem_Vigas!$E:$E,G26,Montagem_Vigas!$F:$F,"SIM")))=K26,"OK","PENDENTE")</f>
        <v>OK</v>
      </c>
      <c r="N26" s="264" t="str">
        <f>IF((IF(H26="",0,COUNTIFS(Montagem_Vigas!$E:$E,H26,Montagem_Vigas!$F:$F,"SIM"))+IF(I26="",0,COUNTIFS(Montagem_Vigas!$E:$E,I26,Montagem_Vigas!$F:$F,"SIM"))+IF(J26="",0,COUNTIFS(Montagem_Vigas!$E:$E,J26,Montagem_Vigas!$F:$F,"SIM")))=L26,"OK","PENDENTE")</f>
        <v>OK</v>
      </c>
      <c r="O26" s="264" t="str">
        <f t="shared" si="0"/>
        <v>LIBERADO</v>
      </c>
      <c r="P26" s="264">
        <f>SUM(IF(E26="",0,COUNTIFS(Montagem_Vigas!$E:$E,E26,Montagem_Vigas!$F:$F,"SIM")),IF(F26="",0,COUNTIFS(Montagem_Vigas!$E:$E,F26,Montagem_Vigas!$F:$F,"SIM")),IF(G26="",0,COUNTIFS(Montagem_Vigas!$E:$E,G26,Montagem_Vigas!$F:$F,"SIM")),IF(H26="",0,COUNTIFS(Montagem_Vigas!$E:$E,H26,Montagem_Vigas!$F:$F,"SIM")),IF(I26="",0,COUNTIFS(Montagem_Vigas!$E:$E,I26,Montagem_Vigas!$F:$F,"SIM")),IF(J26="",0,COUNTIFS(Montagem_Vigas!$E:$E,J26,Montagem_Vigas!$F:$F,"SIM")))</f>
        <v>4</v>
      </c>
      <c r="Q26">
        <f t="shared" si="1"/>
        <v>0</v>
      </c>
      <c r="R26">
        <f t="shared" si="2"/>
        <v>0</v>
      </c>
      <c r="S26" t="str">
        <f t="shared" si="3"/>
        <v>LIBERADO P/ JOIST</v>
      </c>
      <c r="T26" t="str">
        <f t="shared" si="4"/>
        <v>OK</v>
      </c>
      <c r="U26" t="s">
        <v>1958</v>
      </c>
      <c r="W26" t="s">
        <v>1942</v>
      </c>
      <c r="X26" s="284">
        <v>0</v>
      </c>
      <c r="Y26" s="284">
        <v>0</v>
      </c>
      <c r="Z26" s="284">
        <v>0</v>
      </c>
      <c r="AA26">
        <f t="shared" si="5"/>
        <v>0</v>
      </c>
      <c r="AB26">
        <f t="shared" si="6"/>
        <v>0</v>
      </c>
      <c r="AC26">
        <f t="shared" si="7"/>
        <v>0</v>
      </c>
      <c r="AD26">
        <f t="shared" si="8"/>
        <v>0</v>
      </c>
      <c r="AE26">
        <f t="shared" si="9"/>
        <v>0</v>
      </c>
      <c r="AF26" t="str">
        <f t="shared" si="10"/>
        <v>OK</v>
      </c>
    </row>
    <row r="27" spans="1:32" hidden="1" x14ac:dyDescent="0.25">
      <c r="A27" t="s">
        <v>1959</v>
      </c>
      <c r="B27">
        <v>13</v>
      </c>
      <c r="C27">
        <v>14</v>
      </c>
      <c r="D27" t="s">
        <v>1725</v>
      </c>
      <c r="E27" t="s">
        <v>1814</v>
      </c>
      <c r="F27" t="s">
        <v>1815</v>
      </c>
      <c r="G27" t="s">
        <v>1816</v>
      </c>
      <c r="H27" t="s">
        <v>1827</v>
      </c>
      <c r="I27" t="s">
        <v>1828</v>
      </c>
      <c r="J27" t="s">
        <v>1829</v>
      </c>
      <c r="K27">
        <v>3</v>
      </c>
      <c r="L27">
        <v>3</v>
      </c>
      <c r="M27" t="str">
        <f>IF((IF(E27="",0,COUNTIFS(Montagem_Vigas!$E:$E,E27,Montagem_Vigas!$F:$F,"SIM"))+IF(F27="",0,COUNTIFS(Montagem_Vigas!$E:$E,F27,Montagem_Vigas!$F:$F,"SIM"))+IF(G27="",0,COUNTIFS(Montagem_Vigas!$E:$E,G27,Montagem_Vigas!$F:$F,"SIM")))=K27,"OK","PENDENTE")</f>
        <v>OK</v>
      </c>
      <c r="N27" s="264" t="str">
        <f>IF((IF(H27="",0,COUNTIFS(Montagem_Vigas!$E:$E,H27,Montagem_Vigas!$F:$F,"SIM"))+IF(I27="",0,COUNTIFS(Montagem_Vigas!$E:$E,I27,Montagem_Vigas!$F:$F,"SIM"))+IF(J27="",0,COUNTIFS(Montagem_Vigas!$E:$E,J27,Montagem_Vigas!$F:$F,"SIM")))=L27,"OK","PENDENTE")</f>
        <v>OK</v>
      </c>
      <c r="O27" s="264" t="str">
        <f t="shared" si="0"/>
        <v>LIBERADO</v>
      </c>
      <c r="P27" s="264">
        <f>SUM(IF(E27="",0,COUNTIFS(Montagem_Vigas!$E:$E,E27,Montagem_Vigas!$F:$F,"SIM")),IF(F27="",0,COUNTIFS(Montagem_Vigas!$E:$E,F27,Montagem_Vigas!$F:$F,"SIM")),IF(G27="",0,COUNTIFS(Montagem_Vigas!$E:$E,G27,Montagem_Vigas!$F:$F,"SIM")),IF(H27="",0,COUNTIFS(Montagem_Vigas!$E:$E,H27,Montagem_Vigas!$F:$F,"SIM")),IF(I27="",0,COUNTIFS(Montagem_Vigas!$E:$E,I27,Montagem_Vigas!$F:$F,"SIM")),IF(J27="",0,COUNTIFS(Montagem_Vigas!$E:$E,J27,Montagem_Vigas!$F:$F,"SIM")))</f>
        <v>6</v>
      </c>
      <c r="Q27">
        <f t="shared" si="1"/>
        <v>6</v>
      </c>
      <c r="R27">
        <f t="shared" si="2"/>
        <v>48</v>
      </c>
      <c r="S27" t="str">
        <f t="shared" si="3"/>
        <v>JOISTS APONTADAS</v>
      </c>
      <c r="T27" t="str">
        <f t="shared" si="4"/>
        <v>OK</v>
      </c>
      <c r="U27" t="s">
        <v>1958</v>
      </c>
      <c r="W27" t="s">
        <v>1942</v>
      </c>
      <c r="X27" s="284">
        <v>1</v>
      </c>
      <c r="Y27" s="284">
        <v>3</v>
      </c>
      <c r="Z27" s="284">
        <v>2</v>
      </c>
      <c r="AA27">
        <f t="shared" si="5"/>
        <v>24</v>
      </c>
      <c r="AB27">
        <f t="shared" si="6"/>
        <v>8</v>
      </c>
      <c r="AC27">
        <f t="shared" ref="AC27:AC29" si="12">IF(O26&lt;&gt;"LIBERADO",0,IF(D26="BC",X27*8,IF(D26="CD",X27*8,IF(D26="DE",X27*8,IF(D26="EF",X27*8,IF(D26="FG",X27*8,0))))))</f>
        <v>0</v>
      </c>
      <c r="AD27">
        <f t="shared" si="8"/>
        <v>32</v>
      </c>
      <c r="AE27">
        <f t="shared" si="9"/>
        <v>32</v>
      </c>
      <c r="AF27" t="str">
        <f t="shared" si="10"/>
        <v>REVISAR MAPEAMENTO</v>
      </c>
    </row>
    <row r="28" spans="1:32" hidden="1" x14ac:dyDescent="0.25">
      <c r="A28" t="s">
        <v>1960</v>
      </c>
      <c r="B28">
        <v>13</v>
      </c>
      <c r="C28">
        <v>14</v>
      </c>
      <c r="D28" t="s">
        <v>1730</v>
      </c>
      <c r="E28" t="s">
        <v>1816</v>
      </c>
      <c r="F28" t="s">
        <v>1817</v>
      </c>
      <c r="G28" t="s">
        <v>1818</v>
      </c>
      <c r="H28" t="s">
        <v>1829</v>
      </c>
      <c r="I28" t="s">
        <v>1830</v>
      </c>
      <c r="J28" t="s">
        <v>1831</v>
      </c>
      <c r="K28">
        <v>3</v>
      </c>
      <c r="L28">
        <v>3</v>
      </c>
      <c r="M28" t="str">
        <f>IF((IF(E28="",0,COUNTIFS(Montagem_Vigas!$E:$E,E28,Montagem_Vigas!$F:$F,"SIM"))+IF(F28="",0,COUNTIFS(Montagem_Vigas!$E:$E,F28,Montagem_Vigas!$F:$F,"SIM"))+IF(G28="",0,COUNTIFS(Montagem_Vigas!$E:$E,G28,Montagem_Vigas!$F:$F,"SIM")))=K28,"OK","PENDENTE")</f>
        <v>OK</v>
      </c>
      <c r="N28" s="264" t="str">
        <f>IF((IF(H28="",0,COUNTIFS(Montagem_Vigas!$E:$E,H28,Montagem_Vigas!$F:$F,"SIM"))+IF(I28="",0,COUNTIFS(Montagem_Vigas!$E:$E,I28,Montagem_Vigas!$F:$F,"SIM"))+IF(J28="",0,COUNTIFS(Montagem_Vigas!$E:$E,J28,Montagem_Vigas!$F:$F,"SIM")))=L28,"OK","PENDENTE")</f>
        <v>OK</v>
      </c>
      <c r="O28" s="264" t="str">
        <f t="shared" si="0"/>
        <v>LIBERADO</v>
      </c>
      <c r="P28" s="264">
        <f>SUM(IF(E28="",0,COUNTIFS(Montagem_Vigas!$E:$E,E28,Montagem_Vigas!$F:$F,"SIM")),IF(F28="",0,COUNTIFS(Montagem_Vigas!$E:$E,F28,Montagem_Vigas!$F:$F,"SIM")),IF(G28="",0,COUNTIFS(Montagem_Vigas!$E:$E,G28,Montagem_Vigas!$F:$F,"SIM")),IF(H28="",0,COUNTIFS(Montagem_Vigas!$E:$E,H28,Montagem_Vigas!$F:$F,"SIM")),IF(I28="",0,COUNTIFS(Montagem_Vigas!$E:$E,I28,Montagem_Vigas!$F:$F,"SIM")),IF(J28="",0,COUNTIFS(Montagem_Vigas!$E:$E,J28,Montagem_Vigas!$F:$F,"SIM")))</f>
        <v>6</v>
      </c>
      <c r="Q28">
        <f t="shared" si="1"/>
        <v>6</v>
      </c>
      <c r="R28">
        <f t="shared" si="2"/>
        <v>48</v>
      </c>
      <c r="S28" t="str">
        <f t="shared" si="3"/>
        <v>JOISTS APONTADAS</v>
      </c>
      <c r="T28" t="str">
        <f t="shared" si="4"/>
        <v>OK</v>
      </c>
      <c r="U28" t="s">
        <v>1958</v>
      </c>
      <c r="W28" t="s">
        <v>1942</v>
      </c>
      <c r="X28" s="284">
        <v>1</v>
      </c>
      <c r="Y28" s="284">
        <v>3</v>
      </c>
      <c r="Z28" s="284">
        <v>2</v>
      </c>
      <c r="AA28">
        <f t="shared" si="5"/>
        <v>24</v>
      </c>
      <c r="AB28">
        <f t="shared" si="6"/>
        <v>0</v>
      </c>
      <c r="AC28">
        <f t="shared" si="12"/>
        <v>8</v>
      </c>
      <c r="AD28">
        <f t="shared" si="8"/>
        <v>32</v>
      </c>
      <c r="AE28">
        <f t="shared" si="9"/>
        <v>32</v>
      </c>
      <c r="AF28" t="str">
        <f t="shared" si="10"/>
        <v>REVISAR MAPEAMENTO</v>
      </c>
    </row>
    <row r="29" spans="1:32" hidden="1" x14ac:dyDescent="0.25">
      <c r="A29" t="s">
        <v>1961</v>
      </c>
      <c r="B29">
        <v>13</v>
      </c>
      <c r="C29">
        <v>14</v>
      </c>
      <c r="D29" t="s">
        <v>1732</v>
      </c>
      <c r="E29" t="s">
        <v>1818</v>
      </c>
      <c r="F29" t="s">
        <v>1819</v>
      </c>
      <c r="G29" t="s">
        <v>1820</v>
      </c>
      <c r="H29" t="s">
        <v>1831</v>
      </c>
      <c r="I29" t="s">
        <v>1832</v>
      </c>
      <c r="J29" t="s">
        <v>1833</v>
      </c>
      <c r="K29">
        <v>3</v>
      </c>
      <c r="L29">
        <v>3</v>
      </c>
      <c r="M29" t="str">
        <f>IF((IF(E29="",0,COUNTIFS(Montagem_Vigas!$E:$E,E29,Montagem_Vigas!$F:$F,"SIM"))+IF(F29="",0,COUNTIFS(Montagem_Vigas!$E:$E,F29,Montagem_Vigas!$F:$F,"SIM"))+IF(G29="",0,COUNTIFS(Montagem_Vigas!$E:$E,G29,Montagem_Vigas!$F:$F,"SIM")))=K29,"OK","PENDENTE")</f>
        <v>OK</v>
      </c>
      <c r="N29" s="264" t="str">
        <f>IF((IF(H29="",0,COUNTIFS(Montagem_Vigas!$E:$E,H29,Montagem_Vigas!$F:$F,"SIM"))+IF(I29="",0,COUNTIFS(Montagem_Vigas!$E:$E,I29,Montagem_Vigas!$F:$F,"SIM"))+IF(J29="",0,COUNTIFS(Montagem_Vigas!$E:$E,J29,Montagem_Vigas!$F:$F,"SIM")))=L29,"OK","PENDENTE")</f>
        <v>OK</v>
      </c>
      <c r="O29" s="264" t="str">
        <f t="shared" si="0"/>
        <v>LIBERADO</v>
      </c>
      <c r="P29" s="264">
        <f>SUM(IF(E29="",0,COUNTIFS(Montagem_Vigas!$E:$E,E29,Montagem_Vigas!$F:$F,"SIM")),IF(F29="",0,COUNTIFS(Montagem_Vigas!$E:$E,F29,Montagem_Vigas!$F:$F,"SIM")),IF(G29="",0,COUNTIFS(Montagem_Vigas!$E:$E,G29,Montagem_Vigas!$F:$F,"SIM")),IF(H29="",0,COUNTIFS(Montagem_Vigas!$E:$E,H29,Montagem_Vigas!$F:$F,"SIM")),IF(I29="",0,COUNTIFS(Montagem_Vigas!$E:$E,I29,Montagem_Vigas!$F:$F,"SIM")),IF(J29="",0,COUNTIFS(Montagem_Vigas!$E:$E,J29,Montagem_Vigas!$F:$F,"SIM")))</f>
        <v>6</v>
      </c>
      <c r="Q29">
        <f t="shared" si="1"/>
        <v>6</v>
      </c>
      <c r="R29">
        <f t="shared" si="2"/>
        <v>48</v>
      </c>
      <c r="S29" t="str">
        <f t="shared" si="3"/>
        <v>JOISTS APONTADAS</v>
      </c>
      <c r="T29" t="str">
        <f t="shared" si="4"/>
        <v>OK</v>
      </c>
      <c r="U29" t="s">
        <v>1958</v>
      </c>
      <c r="W29" t="s">
        <v>1942</v>
      </c>
      <c r="X29" s="284">
        <v>1</v>
      </c>
      <c r="Y29" s="284">
        <v>3</v>
      </c>
      <c r="Z29" s="284">
        <v>2</v>
      </c>
      <c r="AA29">
        <f t="shared" si="5"/>
        <v>24</v>
      </c>
      <c r="AB29">
        <f t="shared" si="6"/>
        <v>0</v>
      </c>
      <c r="AC29">
        <f t="shared" si="12"/>
        <v>8</v>
      </c>
      <c r="AD29">
        <f t="shared" si="8"/>
        <v>32</v>
      </c>
      <c r="AE29">
        <f t="shared" si="9"/>
        <v>32</v>
      </c>
      <c r="AF29" t="str">
        <f t="shared" si="10"/>
        <v>REVISAR MAPEAMENTO</v>
      </c>
    </row>
    <row r="30" spans="1:32" hidden="1" x14ac:dyDescent="0.25">
      <c r="A30" t="s">
        <v>1962</v>
      </c>
      <c r="B30">
        <v>13</v>
      </c>
      <c r="C30">
        <v>14</v>
      </c>
      <c r="D30" t="s">
        <v>1734</v>
      </c>
      <c r="E30" t="s">
        <v>1820</v>
      </c>
      <c r="F30" t="s">
        <v>1821</v>
      </c>
      <c r="G30" t="s">
        <v>1822</v>
      </c>
      <c r="H30" t="s">
        <v>1833</v>
      </c>
      <c r="I30" t="s">
        <v>1834</v>
      </c>
      <c r="J30" t="s">
        <v>1835</v>
      </c>
      <c r="K30">
        <v>3</v>
      </c>
      <c r="L30">
        <v>3</v>
      </c>
      <c r="M30" t="str">
        <f>IF((IF(E30="",0,COUNTIFS(Montagem_Vigas!$E:$E,E30,Montagem_Vigas!$F:$F,"SIM"))+IF(F30="",0,COUNTIFS(Montagem_Vigas!$E:$E,F30,Montagem_Vigas!$F:$F,"SIM"))+IF(G30="",0,COUNTIFS(Montagem_Vigas!$E:$E,G30,Montagem_Vigas!$F:$F,"SIM")))=K30,"OK","PENDENTE")</f>
        <v>OK</v>
      </c>
      <c r="N30" s="264" t="str">
        <f>IF((IF(H30="",0,COUNTIFS(Montagem_Vigas!$E:$E,H30,Montagem_Vigas!$F:$F,"SIM"))+IF(I30="",0,COUNTIFS(Montagem_Vigas!$E:$E,I30,Montagem_Vigas!$F:$F,"SIM"))+IF(J30="",0,COUNTIFS(Montagem_Vigas!$E:$E,J30,Montagem_Vigas!$F:$F,"SIM")))=L30,"OK","PENDENTE")</f>
        <v>OK</v>
      </c>
      <c r="O30" s="264" t="str">
        <f t="shared" si="0"/>
        <v>LIBERADO</v>
      </c>
      <c r="P30" s="264">
        <f>SUM(IF(E30="",0,COUNTIFS(Montagem_Vigas!$E:$E,E30,Montagem_Vigas!$F:$F,"SIM")),IF(F30="",0,COUNTIFS(Montagem_Vigas!$E:$E,F30,Montagem_Vigas!$F:$F,"SIM")),IF(G30="",0,COUNTIFS(Montagem_Vigas!$E:$E,G30,Montagem_Vigas!$F:$F,"SIM")),IF(H30="",0,COUNTIFS(Montagem_Vigas!$E:$E,H30,Montagem_Vigas!$F:$F,"SIM")),IF(I30="",0,COUNTIFS(Montagem_Vigas!$E:$E,I30,Montagem_Vigas!$F:$F,"SIM")),IF(J30="",0,COUNTIFS(Montagem_Vigas!$E:$E,J30,Montagem_Vigas!$F:$F,"SIM")))</f>
        <v>6</v>
      </c>
      <c r="Q30">
        <f t="shared" si="1"/>
        <v>6</v>
      </c>
      <c r="R30">
        <f t="shared" si="2"/>
        <v>48</v>
      </c>
      <c r="S30" t="str">
        <f t="shared" si="3"/>
        <v>JOISTS APONTADAS</v>
      </c>
      <c r="T30" t="str">
        <f t="shared" si="4"/>
        <v>OK</v>
      </c>
      <c r="U30" t="s">
        <v>1958</v>
      </c>
      <c r="W30" t="s">
        <v>1942</v>
      </c>
      <c r="X30" s="284">
        <v>1</v>
      </c>
      <c r="Y30" s="284">
        <v>3</v>
      </c>
      <c r="Z30" s="284">
        <v>2</v>
      </c>
      <c r="AA30">
        <f t="shared" si="5"/>
        <v>24</v>
      </c>
      <c r="AB30">
        <f t="shared" si="6"/>
        <v>0</v>
      </c>
      <c r="AC30">
        <f t="shared" si="7"/>
        <v>24</v>
      </c>
      <c r="AD30">
        <f t="shared" si="8"/>
        <v>48</v>
      </c>
      <c r="AE30">
        <f t="shared" si="9"/>
        <v>48</v>
      </c>
      <c r="AF30" t="str">
        <f t="shared" si="10"/>
        <v>OK</v>
      </c>
    </row>
    <row r="31" spans="1:32" hidden="1" x14ac:dyDescent="0.25">
      <c r="A31" t="s">
        <v>1963</v>
      </c>
      <c r="B31">
        <v>13</v>
      </c>
      <c r="C31">
        <v>14</v>
      </c>
      <c r="D31" t="s">
        <v>1736</v>
      </c>
      <c r="E31" t="s">
        <v>1822</v>
      </c>
      <c r="F31" t="s">
        <v>1823</v>
      </c>
      <c r="G31" t="s">
        <v>1824</v>
      </c>
      <c r="H31" t="s">
        <v>1835</v>
      </c>
      <c r="I31" t="s">
        <v>1836</v>
      </c>
      <c r="J31" t="s">
        <v>1837</v>
      </c>
      <c r="K31">
        <v>3</v>
      </c>
      <c r="L31">
        <v>3</v>
      </c>
      <c r="M31" t="str">
        <f>IF((IF(E31="",0,COUNTIFS(Montagem_Vigas!$E:$E,E31,Montagem_Vigas!$F:$F,"SIM"))+IF(F31="",0,COUNTIFS(Montagem_Vigas!$E:$E,F31,Montagem_Vigas!$F:$F,"SIM"))+IF(G31="",0,COUNTIFS(Montagem_Vigas!$E:$E,G31,Montagem_Vigas!$F:$F,"SIM")))=K31,"OK","PENDENTE")</f>
        <v>OK</v>
      </c>
      <c r="N31" s="264" t="str">
        <f>IF((IF(H31="",0,COUNTIFS(Montagem_Vigas!$E:$E,H31,Montagem_Vigas!$F:$F,"SIM"))+IF(I31="",0,COUNTIFS(Montagem_Vigas!$E:$E,I31,Montagem_Vigas!$F:$F,"SIM"))+IF(J31="",0,COUNTIFS(Montagem_Vigas!$E:$E,J31,Montagem_Vigas!$F:$F,"SIM")))=L31,"OK","PENDENTE")</f>
        <v>OK</v>
      </c>
      <c r="O31" s="264" t="str">
        <f t="shared" si="0"/>
        <v>LIBERADO</v>
      </c>
      <c r="P31" s="264">
        <f>SUM(IF(E31="",0,COUNTIFS(Montagem_Vigas!$E:$E,E31,Montagem_Vigas!$F:$F,"SIM")),IF(F31="",0,COUNTIFS(Montagem_Vigas!$E:$E,F31,Montagem_Vigas!$F:$F,"SIM")),IF(G31="",0,COUNTIFS(Montagem_Vigas!$E:$E,G31,Montagem_Vigas!$F:$F,"SIM")),IF(H31="",0,COUNTIFS(Montagem_Vigas!$E:$E,H31,Montagem_Vigas!$F:$F,"SIM")),IF(I31="",0,COUNTIFS(Montagem_Vigas!$E:$E,I31,Montagem_Vigas!$F:$F,"SIM")),IF(J31="",0,COUNTIFS(Montagem_Vigas!$E:$E,J31,Montagem_Vigas!$F:$F,"SIM")))</f>
        <v>6</v>
      </c>
      <c r="Q31">
        <f t="shared" si="1"/>
        <v>4</v>
      </c>
      <c r="R31">
        <f t="shared" si="2"/>
        <v>32</v>
      </c>
      <c r="S31" t="str">
        <f t="shared" si="3"/>
        <v>JOISTS APONTADAS</v>
      </c>
      <c r="T31" t="str">
        <f t="shared" si="4"/>
        <v>OK</v>
      </c>
      <c r="U31" t="s">
        <v>1958</v>
      </c>
      <c r="W31" t="s">
        <v>1942</v>
      </c>
      <c r="X31" s="284">
        <v>1</v>
      </c>
      <c r="Y31" s="284">
        <v>3</v>
      </c>
      <c r="Z31" s="284">
        <v>0</v>
      </c>
      <c r="AA31">
        <f t="shared" si="5"/>
        <v>24</v>
      </c>
      <c r="AB31">
        <f t="shared" si="6"/>
        <v>0</v>
      </c>
      <c r="AC31">
        <f t="shared" si="7"/>
        <v>8</v>
      </c>
      <c r="AD31">
        <f t="shared" si="8"/>
        <v>32</v>
      </c>
      <c r="AE31">
        <f t="shared" si="9"/>
        <v>32</v>
      </c>
      <c r="AF31" t="str">
        <f t="shared" si="10"/>
        <v>OK</v>
      </c>
    </row>
    <row r="32" spans="1:32" hidden="1" x14ac:dyDescent="0.25">
      <c r="A32" t="s">
        <v>1964</v>
      </c>
      <c r="B32">
        <v>13</v>
      </c>
      <c r="C32">
        <v>14</v>
      </c>
      <c r="D32" t="s">
        <v>1939</v>
      </c>
      <c r="E32" t="s">
        <v>1824</v>
      </c>
      <c r="F32" t="s">
        <v>1825</v>
      </c>
      <c r="H32" t="s">
        <v>1837</v>
      </c>
      <c r="I32" t="s">
        <v>1838</v>
      </c>
      <c r="K32">
        <v>2</v>
      </c>
      <c r="L32">
        <v>2</v>
      </c>
      <c r="M32" t="str">
        <f>IF((IF(E32="",0,COUNTIFS(Montagem_Vigas!$E:$E,E32,Montagem_Vigas!$F:$F,"SIM"))+IF(F32="",0,COUNTIFS(Montagem_Vigas!$E:$E,F32,Montagem_Vigas!$F:$F,"SIM"))+IF(G32="",0,COUNTIFS(Montagem_Vigas!$E:$E,G32,Montagem_Vigas!$F:$F,"SIM")))=K32,"OK","PENDENTE")</f>
        <v>PENDENTE</v>
      </c>
      <c r="N32" s="264" t="str">
        <f>IF((IF(H32="",0,COUNTIFS(Montagem_Vigas!$E:$E,H32,Montagem_Vigas!$F:$F,"SIM"))+IF(I32="",0,COUNTIFS(Montagem_Vigas!$E:$E,I32,Montagem_Vigas!$F:$F,"SIM"))+IF(J32="",0,COUNTIFS(Montagem_Vigas!$E:$E,J32,Montagem_Vigas!$F:$F,"SIM")))=L32,"OK","PENDENTE")</f>
        <v>OK</v>
      </c>
      <c r="O32" s="264" t="str">
        <f t="shared" si="0"/>
        <v>BLOQUEADO</v>
      </c>
      <c r="P32" s="264">
        <f>SUM(IF(E32="",0,COUNTIFS(Montagem_Vigas!$E:$E,E32,Montagem_Vigas!$F:$F,"SIM")),IF(F32="",0,COUNTIFS(Montagem_Vigas!$E:$E,F32,Montagem_Vigas!$F:$F,"SIM")),IF(G32="",0,COUNTIFS(Montagem_Vigas!$E:$E,G32,Montagem_Vigas!$F:$F,"SIM")),IF(H32="",0,COUNTIFS(Montagem_Vigas!$E:$E,H32,Montagem_Vigas!$F:$F,"SIM")),IF(I32="",0,COUNTIFS(Montagem_Vigas!$E:$E,I32,Montagem_Vigas!$F:$F,"SIM")),IF(J32="",0,COUNTIFS(Montagem_Vigas!$E:$E,J32,Montagem_Vigas!$F:$F,"SIM")))</f>
        <v>3</v>
      </c>
      <c r="Q32">
        <f t="shared" si="1"/>
        <v>0</v>
      </c>
      <c r="R32">
        <f t="shared" si="2"/>
        <v>0</v>
      </c>
      <c r="S32" t="str">
        <f t="shared" si="3"/>
        <v>AGUARDANDO ESTRUTURA</v>
      </c>
      <c r="T32" t="str">
        <f t="shared" si="4"/>
        <v>PENDENTE</v>
      </c>
      <c r="U32" t="s">
        <v>1958</v>
      </c>
      <c r="W32" t="s">
        <v>1942</v>
      </c>
      <c r="X32" s="284">
        <v>0</v>
      </c>
      <c r="Y32" s="284">
        <v>0</v>
      </c>
      <c r="Z32" s="284">
        <v>0</v>
      </c>
      <c r="AA32">
        <f t="shared" si="5"/>
        <v>0</v>
      </c>
      <c r="AB32">
        <f t="shared" si="6"/>
        <v>0</v>
      </c>
      <c r="AC32">
        <f t="shared" si="7"/>
        <v>0</v>
      </c>
      <c r="AD32">
        <f t="shared" si="8"/>
        <v>0</v>
      </c>
      <c r="AE32">
        <f t="shared" si="9"/>
        <v>0</v>
      </c>
      <c r="AF32" t="str">
        <f t="shared" si="10"/>
        <v>OK</v>
      </c>
    </row>
    <row r="33" spans="1:32" hidden="1" x14ac:dyDescent="0.25">
      <c r="A33" t="s">
        <v>1965</v>
      </c>
      <c r="B33">
        <v>14</v>
      </c>
      <c r="C33">
        <v>15</v>
      </c>
      <c r="D33" t="s">
        <v>1930</v>
      </c>
      <c r="E33" t="s">
        <v>1826</v>
      </c>
      <c r="F33" t="s">
        <v>1827</v>
      </c>
      <c r="H33" t="s">
        <v>1839</v>
      </c>
      <c r="I33" t="s">
        <v>1840</v>
      </c>
      <c r="K33">
        <v>2</v>
      </c>
      <c r="L33">
        <v>2</v>
      </c>
      <c r="M33" t="str">
        <f>IF((IF(E33="",0,COUNTIFS(Montagem_Vigas!$E:$E,E33,Montagem_Vigas!$F:$F,"SIM"))+IF(F33="",0,COUNTIFS(Montagem_Vigas!$E:$E,F33,Montagem_Vigas!$F:$F,"SIM"))+IF(G33="",0,COUNTIFS(Montagem_Vigas!$E:$E,G33,Montagem_Vigas!$F:$F,"SIM")))=K33,"OK","PENDENTE")</f>
        <v>OK</v>
      </c>
      <c r="N33" s="264" t="str">
        <f>IF((IF(H33="",0,COUNTIFS(Montagem_Vigas!$E:$E,H33,Montagem_Vigas!$F:$F,"SIM"))+IF(I33="",0,COUNTIFS(Montagem_Vigas!$E:$E,I33,Montagem_Vigas!$F:$F,"SIM"))+IF(J33="",0,COUNTIFS(Montagem_Vigas!$E:$E,J33,Montagem_Vigas!$F:$F,"SIM")))=L33,"OK","PENDENTE")</f>
        <v>OK</v>
      </c>
      <c r="O33" s="264" t="str">
        <f t="shared" si="0"/>
        <v>LIBERADO</v>
      </c>
      <c r="P33" s="264">
        <f>SUM(IF(E33="",0,COUNTIFS(Montagem_Vigas!$E:$E,E33,Montagem_Vigas!$F:$F,"SIM")),IF(F33="",0,COUNTIFS(Montagem_Vigas!$E:$E,F33,Montagem_Vigas!$F:$F,"SIM")),IF(G33="",0,COUNTIFS(Montagem_Vigas!$E:$E,G33,Montagem_Vigas!$F:$F,"SIM")),IF(H33="",0,COUNTIFS(Montagem_Vigas!$E:$E,H33,Montagem_Vigas!$F:$F,"SIM")),IF(I33="",0,COUNTIFS(Montagem_Vigas!$E:$E,I33,Montagem_Vigas!$F:$F,"SIM")),IF(J33="",0,COUNTIFS(Montagem_Vigas!$E:$E,J33,Montagem_Vigas!$F:$F,"SIM")))</f>
        <v>4</v>
      </c>
      <c r="Q33">
        <f t="shared" si="1"/>
        <v>0</v>
      </c>
      <c r="R33">
        <f t="shared" si="2"/>
        <v>0</v>
      </c>
      <c r="S33" t="str">
        <f t="shared" si="3"/>
        <v>LIBERADO P/ JOIST</v>
      </c>
      <c r="T33" t="str">
        <f t="shared" si="4"/>
        <v>OK</v>
      </c>
      <c r="U33" t="s">
        <v>1966</v>
      </c>
      <c r="W33" t="s">
        <v>1942</v>
      </c>
      <c r="X33" s="284">
        <v>0</v>
      </c>
      <c r="Y33" s="284">
        <v>0</v>
      </c>
      <c r="Z33" s="284">
        <v>0</v>
      </c>
      <c r="AA33">
        <f t="shared" si="5"/>
        <v>0</v>
      </c>
      <c r="AB33">
        <f t="shared" si="6"/>
        <v>0</v>
      </c>
      <c r="AC33">
        <f t="shared" si="7"/>
        <v>0</v>
      </c>
      <c r="AD33">
        <f t="shared" si="8"/>
        <v>0</v>
      </c>
      <c r="AE33">
        <f t="shared" si="9"/>
        <v>0</v>
      </c>
      <c r="AF33" t="str">
        <f t="shared" si="10"/>
        <v>OK</v>
      </c>
    </row>
    <row r="34" spans="1:32" hidden="1" x14ac:dyDescent="0.25">
      <c r="A34" t="s">
        <v>1967</v>
      </c>
      <c r="B34">
        <v>14</v>
      </c>
      <c r="C34">
        <v>15</v>
      </c>
      <c r="D34" t="s">
        <v>1725</v>
      </c>
      <c r="E34" t="s">
        <v>1827</v>
      </c>
      <c r="F34" t="s">
        <v>1828</v>
      </c>
      <c r="G34" t="s">
        <v>1829</v>
      </c>
      <c r="H34" t="s">
        <v>1840</v>
      </c>
      <c r="I34" t="s">
        <v>1841</v>
      </c>
      <c r="J34" t="s">
        <v>1842</v>
      </c>
      <c r="K34">
        <v>3</v>
      </c>
      <c r="L34">
        <v>3</v>
      </c>
      <c r="M34" t="str">
        <f>IF((IF(E34="",0,COUNTIFS(Montagem_Vigas!$E:$E,E34,Montagem_Vigas!$F:$F,"SIM"))+IF(F34="",0,COUNTIFS(Montagem_Vigas!$E:$E,F34,Montagem_Vigas!$F:$F,"SIM"))+IF(G34="",0,COUNTIFS(Montagem_Vigas!$E:$E,G34,Montagem_Vigas!$F:$F,"SIM")))=K34,"OK","PENDENTE")</f>
        <v>OK</v>
      </c>
      <c r="N34" s="264" t="str">
        <f>IF((IF(H34="",0,COUNTIFS(Montagem_Vigas!$E:$E,H34,Montagem_Vigas!$F:$F,"SIM"))+IF(I34="",0,COUNTIFS(Montagem_Vigas!$E:$E,I34,Montagem_Vigas!$F:$F,"SIM"))+IF(J34="",0,COUNTIFS(Montagem_Vigas!$E:$E,J34,Montagem_Vigas!$F:$F,"SIM")))=L34,"OK","PENDENTE")</f>
        <v>OK</v>
      </c>
      <c r="O34" s="264" t="str">
        <f t="shared" si="0"/>
        <v>LIBERADO</v>
      </c>
      <c r="P34" s="264">
        <f>SUM(IF(E34="",0,COUNTIFS(Montagem_Vigas!$E:$E,E34,Montagem_Vigas!$F:$F,"SIM")),IF(F34="",0,COUNTIFS(Montagem_Vigas!$E:$E,F34,Montagem_Vigas!$F:$F,"SIM")),IF(G34="",0,COUNTIFS(Montagem_Vigas!$E:$E,G34,Montagem_Vigas!$F:$F,"SIM")),IF(H34="",0,COUNTIFS(Montagem_Vigas!$E:$E,H34,Montagem_Vigas!$F:$F,"SIM")),IF(I34="",0,COUNTIFS(Montagem_Vigas!$E:$E,I34,Montagem_Vigas!$F:$F,"SIM")),IF(J34="",0,COUNTIFS(Montagem_Vigas!$E:$E,J34,Montagem_Vigas!$F:$F,"SIM")))</f>
        <v>6</v>
      </c>
      <c r="Q34">
        <f t="shared" si="1"/>
        <v>8</v>
      </c>
      <c r="R34">
        <f t="shared" si="2"/>
        <v>64</v>
      </c>
      <c r="S34" t="str">
        <f t="shared" si="3"/>
        <v>JOISTS APONTADAS</v>
      </c>
      <c r="T34" t="str">
        <f t="shared" si="4"/>
        <v>OK</v>
      </c>
      <c r="U34" t="s">
        <v>1966</v>
      </c>
      <c r="W34" t="s">
        <v>1942</v>
      </c>
      <c r="X34" s="284">
        <v>3</v>
      </c>
      <c r="Y34" s="284">
        <v>3</v>
      </c>
      <c r="Z34" s="284">
        <v>2</v>
      </c>
      <c r="AA34">
        <f t="shared" si="5"/>
        <v>24</v>
      </c>
      <c r="AB34">
        <f t="shared" si="6"/>
        <v>24</v>
      </c>
      <c r="AC34">
        <f t="shared" ref="AC34:AC35" si="13">IF(O33&lt;&gt;"LIBERADO",0,IF(D33="BC",X34*8,IF(D33="CD",X34*8,IF(D33="DE",X34*8,IF(D33="EF",X34*8,IF(D33="FG",X34*8,0))))))</f>
        <v>0</v>
      </c>
      <c r="AD34">
        <f t="shared" si="8"/>
        <v>48</v>
      </c>
      <c r="AE34">
        <f t="shared" si="9"/>
        <v>48</v>
      </c>
      <c r="AF34" t="str">
        <f t="shared" si="10"/>
        <v>REVISAR MAPEAMENTO</v>
      </c>
    </row>
    <row r="35" spans="1:32" hidden="1" x14ac:dyDescent="0.25">
      <c r="A35" t="s">
        <v>1968</v>
      </c>
      <c r="B35">
        <v>14</v>
      </c>
      <c r="C35">
        <v>15</v>
      </c>
      <c r="D35" t="s">
        <v>1730</v>
      </c>
      <c r="E35" t="s">
        <v>1829</v>
      </c>
      <c r="F35" t="s">
        <v>1830</v>
      </c>
      <c r="G35" t="s">
        <v>1831</v>
      </c>
      <c r="H35" t="s">
        <v>1842</v>
      </c>
      <c r="I35" t="s">
        <v>1843</v>
      </c>
      <c r="J35" t="s">
        <v>1844</v>
      </c>
      <c r="K35">
        <v>3</v>
      </c>
      <c r="L35">
        <v>3</v>
      </c>
      <c r="M35" t="str">
        <f>IF((IF(E35="",0,COUNTIFS(Montagem_Vigas!$E:$E,E35,Montagem_Vigas!$F:$F,"SIM"))+IF(F35="",0,COUNTIFS(Montagem_Vigas!$E:$E,F35,Montagem_Vigas!$F:$F,"SIM"))+IF(G35="",0,COUNTIFS(Montagem_Vigas!$E:$E,G35,Montagem_Vigas!$F:$F,"SIM")))=K35,"OK","PENDENTE")</f>
        <v>OK</v>
      </c>
      <c r="N35" s="264" t="str">
        <f>IF((IF(H35="",0,COUNTIFS(Montagem_Vigas!$E:$E,H35,Montagem_Vigas!$F:$F,"SIM"))+IF(I35="",0,COUNTIFS(Montagem_Vigas!$E:$E,I35,Montagem_Vigas!$F:$F,"SIM"))+IF(J35="",0,COUNTIFS(Montagem_Vigas!$E:$E,J35,Montagem_Vigas!$F:$F,"SIM")))=L35,"OK","PENDENTE")</f>
        <v>OK</v>
      </c>
      <c r="O35" s="264" t="str">
        <f t="shared" si="0"/>
        <v>LIBERADO</v>
      </c>
      <c r="P35" s="264">
        <f>SUM(IF(E35="",0,COUNTIFS(Montagem_Vigas!$E:$E,E35,Montagem_Vigas!$F:$F,"SIM")),IF(F35="",0,COUNTIFS(Montagem_Vigas!$E:$E,F35,Montagem_Vigas!$F:$F,"SIM")),IF(G35="",0,COUNTIFS(Montagem_Vigas!$E:$E,G35,Montagem_Vigas!$F:$F,"SIM")),IF(H35="",0,COUNTIFS(Montagem_Vigas!$E:$E,H35,Montagem_Vigas!$F:$F,"SIM")),IF(I35="",0,COUNTIFS(Montagem_Vigas!$E:$E,I35,Montagem_Vigas!$F:$F,"SIM")),IF(J35="",0,COUNTIFS(Montagem_Vigas!$E:$E,J35,Montagem_Vigas!$F:$F,"SIM")))</f>
        <v>6</v>
      </c>
      <c r="Q35">
        <f t="shared" si="1"/>
        <v>7</v>
      </c>
      <c r="R35">
        <f t="shared" si="2"/>
        <v>56</v>
      </c>
      <c r="S35" t="str">
        <f t="shared" si="3"/>
        <v>JOISTS APONTADAS</v>
      </c>
      <c r="T35" t="str">
        <f t="shared" si="4"/>
        <v>OK</v>
      </c>
      <c r="U35" t="s">
        <v>1966</v>
      </c>
      <c r="W35" t="s">
        <v>1942</v>
      </c>
      <c r="X35" s="284">
        <v>2</v>
      </c>
      <c r="Y35" s="284">
        <v>3</v>
      </c>
      <c r="Z35" s="284">
        <v>2</v>
      </c>
      <c r="AA35">
        <f t="shared" si="5"/>
        <v>24</v>
      </c>
      <c r="AB35">
        <f t="shared" si="6"/>
        <v>0</v>
      </c>
      <c r="AC35">
        <f t="shared" si="13"/>
        <v>16</v>
      </c>
      <c r="AD35">
        <f t="shared" si="8"/>
        <v>40</v>
      </c>
      <c r="AE35">
        <f t="shared" si="9"/>
        <v>40</v>
      </c>
      <c r="AF35" t="str">
        <f t="shared" si="10"/>
        <v>REVISAR MAPEAMENTO</v>
      </c>
    </row>
    <row r="36" spans="1:32" hidden="1" x14ac:dyDescent="0.25">
      <c r="A36" t="s">
        <v>1969</v>
      </c>
      <c r="B36">
        <v>14</v>
      </c>
      <c r="C36">
        <v>15</v>
      </c>
      <c r="D36" t="s">
        <v>1732</v>
      </c>
      <c r="E36" t="s">
        <v>1831</v>
      </c>
      <c r="F36" t="s">
        <v>1832</v>
      </c>
      <c r="G36" t="s">
        <v>1833</v>
      </c>
      <c r="H36" t="s">
        <v>1844</v>
      </c>
      <c r="I36" t="s">
        <v>1845</v>
      </c>
      <c r="J36" t="s">
        <v>1846</v>
      </c>
      <c r="K36">
        <v>3</v>
      </c>
      <c r="L36">
        <v>3</v>
      </c>
      <c r="M36" t="str">
        <f>IF((IF(E36="",0,COUNTIFS(Montagem_Vigas!$E:$E,E36,Montagem_Vigas!$F:$F,"SIM"))+IF(F36="",0,COUNTIFS(Montagem_Vigas!$E:$E,F36,Montagem_Vigas!$F:$F,"SIM"))+IF(G36="",0,COUNTIFS(Montagem_Vigas!$E:$E,G36,Montagem_Vigas!$F:$F,"SIM")))=K36,"OK","PENDENTE")</f>
        <v>OK</v>
      </c>
      <c r="N36" s="264" t="str">
        <f>IF((IF(H36="",0,COUNTIFS(Montagem_Vigas!$E:$E,H36,Montagem_Vigas!$F:$F,"SIM"))+IF(I36="",0,COUNTIFS(Montagem_Vigas!$E:$E,I36,Montagem_Vigas!$F:$F,"SIM"))+IF(J36="",0,COUNTIFS(Montagem_Vigas!$E:$E,J36,Montagem_Vigas!$F:$F,"SIM")))=L36,"OK","PENDENTE")</f>
        <v>OK</v>
      </c>
      <c r="O36" s="264" t="str">
        <f t="shared" si="0"/>
        <v>LIBERADO</v>
      </c>
      <c r="P36" s="264">
        <f>SUM(IF(E36="",0,COUNTIFS(Montagem_Vigas!$E:$E,E36,Montagem_Vigas!$F:$F,"SIM")),IF(F36="",0,COUNTIFS(Montagem_Vigas!$E:$E,F36,Montagem_Vigas!$F:$F,"SIM")),IF(G36="",0,COUNTIFS(Montagem_Vigas!$E:$E,G36,Montagem_Vigas!$F:$F,"SIM")),IF(H36="",0,COUNTIFS(Montagem_Vigas!$E:$E,H36,Montagem_Vigas!$F:$F,"SIM")),IF(I36="",0,COUNTIFS(Montagem_Vigas!$E:$E,I36,Montagem_Vigas!$F:$F,"SIM")),IF(J36="",0,COUNTIFS(Montagem_Vigas!$E:$E,J36,Montagem_Vigas!$F:$F,"SIM")))</f>
        <v>6</v>
      </c>
      <c r="Q36">
        <f t="shared" si="1"/>
        <v>6</v>
      </c>
      <c r="R36">
        <f t="shared" si="2"/>
        <v>48</v>
      </c>
      <c r="S36" t="str">
        <f t="shared" si="3"/>
        <v>JOISTS APONTADAS</v>
      </c>
      <c r="T36" t="str">
        <f t="shared" si="4"/>
        <v>OK</v>
      </c>
      <c r="U36" t="s">
        <v>1966</v>
      </c>
      <c r="W36" t="s">
        <v>1942</v>
      </c>
      <c r="X36" s="284">
        <v>1</v>
      </c>
      <c r="Y36" s="284">
        <v>3</v>
      </c>
      <c r="Z36" s="284">
        <v>2</v>
      </c>
      <c r="AA36">
        <f t="shared" si="5"/>
        <v>24</v>
      </c>
      <c r="AB36">
        <f t="shared" si="6"/>
        <v>0</v>
      </c>
      <c r="AC36">
        <f t="shared" si="7"/>
        <v>24</v>
      </c>
      <c r="AD36">
        <f t="shared" si="8"/>
        <v>48</v>
      </c>
      <c r="AE36">
        <f t="shared" si="9"/>
        <v>48</v>
      </c>
      <c r="AF36" t="str">
        <f t="shared" si="10"/>
        <v>OK</v>
      </c>
    </row>
    <row r="37" spans="1:32" hidden="1" x14ac:dyDescent="0.25">
      <c r="A37" t="s">
        <v>1970</v>
      </c>
      <c r="B37">
        <v>14</v>
      </c>
      <c r="C37">
        <v>15</v>
      </c>
      <c r="D37" t="s">
        <v>1734</v>
      </c>
      <c r="E37" t="s">
        <v>1833</v>
      </c>
      <c r="F37" t="s">
        <v>1834</v>
      </c>
      <c r="G37" t="s">
        <v>1835</v>
      </c>
      <c r="H37" t="s">
        <v>1846</v>
      </c>
      <c r="I37" t="s">
        <v>1847</v>
      </c>
      <c r="J37" t="s">
        <v>1848</v>
      </c>
      <c r="K37">
        <v>3</v>
      </c>
      <c r="L37">
        <v>3</v>
      </c>
      <c r="M37" t="str">
        <f>IF((IF(E37="",0,COUNTIFS(Montagem_Vigas!$E:$E,E37,Montagem_Vigas!$F:$F,"SIM"))+IF(F37="",0,COUNTIFS(Montagem_Vigas!$E:$E,F37,Montagem_Vigas!$F:$F,"SIM"))+IF(G37="",0,COUNTIFS(Montagem_Vigas!$E:$E,G37,Montagem_Vigas!$F:$F,"SIM")))=K37,"OK","PENDENTE")</f>
        <v>OK</v>
      </c>
      <c r="N37" s="264" t="str">
        <f>IF((IF(H37="",0,COUNTIFS(Montagem_Vigas!$E:$E,H37,Montagem_Vigas!$F:$F,"SIM"))+IF(I37="",0,COUNTIFS(Montagem_Vigas!$E:$E,I37,Montagem_Vigas!$F:$F,"SIM"))+IF(J37="",0,COUNTIFS(Montagem_Vigas!$E:$E,J37,Montagem_Vigas!$F:$F,"SIM")))=L37,"OK","PENDENTE")</f>
        <v>OK</v>
      </c>
      <c r="O37" s="264" t="str">
        <f t="shared" ref="O37:O67" si="14">IF(AND(M37="OK",N37="OK"),"LIBERADO","BLOQUEADO")</f>
        <v>LIBERADO</v>
      </c>
      <c r="P37" s="264">
        <f>SUM(IF(E37="",0,COUNTIFS(Montagem_Vigas!$E:$E,E37,Montagem_Vigas!$F:$F,"SIM")),IF(F37="",0,COUNTIFS(Montagem_Vigas!$E:$E,F37,Montagem_Vigas!$F:$F,"SIM")),IF(G37="",0,COUNTIFS(Montagem_Vigas!$E:$E,G37,Montagem_Vigas!$F:$F,"SIM")),IF(H37="",0,COUNTIFS(Montagem_Vigas!$E:$E,H37,Montagem_Vigas!$F:$F,"SIM")),IF(I37="",0,COUNTIFS(Montagem_Vigas!$E:$E,I37,Montagem_Vigas!$F:$F,"SIM")),IF(J37="",0,COUNTIFS(Montagem_Vigas!$E:$E,J37,Montagem_Vigas!$F:$F,"SIM")))</f>
        <v>6</v>
      </c>
      <c r="Q37">
        <f t="shared" ref="Q37:Q67" si="15">IF(O37="LIBERADO",SUM(X37:Z37),0)</f>
        <v>6</v>
      </c>
      <c r="R37">
        <f t="shared" ref="R37:R67" si="16">Q37*8</f>
        <v>48</v>
      </c>
      <c r="S37" t="str">
        <f t="shared" ref="S37:S67" si="17">IF(O37&lt;&gt;"LIBERADO",IF(SUM(X37:Z37)&gt;0,"BLOQUEADO - ESTRUTURA","AGUARDANDO ESTRUTURA"),IF(SUM(X37:Z37)=0,"LIBERADO P/ JOIST","JOISTS APONTADAS"))</f>
        <v>JOISTS APONTADAS</v>
      </c>
      <c r="T37" t="str">
        <f t="shared" ref="T37:T67" si="18">IF(O37="LIBERADO","OK","PENDENTE")</f>
        <v>OK</v>
      </c>
      <c r="U37" t="s">
        <v>1966</v>
      </c>
      <c r="W37" t="s">
        <v>1942</v>
      </c>
      <c r="X37" s="284">
        <v>1</v>
      </c>
      <c r="Y37" s="284">
        <v>3</v>
      </c>
      <c r="Z37" s="284">
        <v>2</v>
      </c>
      <c r="AA37">
        <f t="shared" ref="AA37:AA67" si="19">IF(O37&lt;&gt;"LIBERADO",0,IF(D37="BC",Y37*8,IF(D37="CD",Y37*8,IF(D37="DE",Y37*8,IF(D37="EF",Y37*8,IF(D37="FG",Y37*8,0))))))</f>
        <v>24</v>
      </c>
      <c r="AB37">
        <f t="shared" ref="AB37:AB67" si="20">IF(O37&lt;&gt;"LIBERADO",0,IF(D37="AB",Y37*8,IF(D37="BC",X37*8,IF(D37="FG",Z37*8,IF(D37="GH",X37*8,0)))))</f>
        <v>0</v>
      </c>
      <c r="AC37">
        <f t="shared" ref="AC37:AC67" si="21">IF(O37&lt;&gt;"LIBERADO",0,IF(D37="AB",X37*8,IF(D37="BC",Z37*8,IF(D37="CD",(X37+Z37)*8,IF(D37="DE",(X37+Z37)*8,IF(D37="EF",(X37+Z37)*8,IF(D37="FG",X37*8,IF(D37="GH",Y37*8,0))))))))</f>
        <v>24</v>
      </c>
      <c r="AD37">
        <f t="shared" ref="AD37:AD67" si="22">AA37+AB37+AC37</f>
        <v>48</v>
      </c>
      <c r="AE37">
        <f t="shared" ref="AE37:AE67" si="23">AD37</f>
        <v>48</v>
      </c>
      <c r="AF37" t="str">
        <f t="shared" ref="AF37:AF67" si="24">IF(O37&lt;&gt;"LIBERADO",IF(SUM(X37:Z37)=0,"OK","BLOQUEADO"),IF(OR(X37&gt;3,Y37&gt;3,Z37&gt;3),"ACIMA CAPACIDADE",IF((AA37+AB37+AC37)=R37,"OK","REVISAR MAPEAMENTO")))</f>
        <v>OK</v>
      </c>
    </row>
    <row r="38" spans="1:32" hidden="1" x14ac:dyDescent="0.25">
      <c r="A38" t="s">
        <v>1971</v>
      </c>
      <c r="B38">
        <v>14</v>
      </c>
      <c r="C38">
        <v>15</v>
      </c>
      <c r="D38" t="s">
        <v>1736</v>
      </c>
      <c r="E38" t="s">
        <v>1835</v>
      </c>
      <c r="F38" t="s">
        <v>1836</v>
      </c>
      <c r="G38" t="s">
        <v>1837</v>
      </c>
      <c r="H38" t="s">
        <v>1848</v>
      </c>
      <c r="I38" t="s">
        <v>1849</v>
      </c>
      <c r="J38" t="s">
        <v>1850</v>
      </c>
      <c r="K38">
        <v>3</v>
      </c>
      <c r="L38">
        <v>3</v>
      </c>
      <c r="M38" t="str">
        <f>IF((IF(E38="",0,COUNTIFS(Montagem_Vigas!$E:$E,E38,Montagem_Vigas!$F:$F,"SIM"))+IF(F38="",0,COUNTIFS(Montagem_Vigas!$E:$E,F38,Montagem_Vigas!$F:$F,"SIM"))+IF(G38="",0,COUNTIFS(Montagem_Vigas!$E:$E,G38,Montagem_Vigas!$F:$F,"SIM")))=K38,"OK","PENDENTE")</f>
        <v>OK</v>
      </c>
      <c r="N38" s="264" t="str">
        <f>IF((IF(H38="",0,COUNTIFS(Montagem_Vigas!$E:$E,H38,Montagem_Vigas!$F:$F,"SIM"))+IF(I38="",0,COUNTIFS(Montagem_Vigas!$E:$E,I38,Montagem_Vigas!$F:$F,"SIM"))+IF(J38="",0,COUNTIFS(Montagem_Vigas!$E:$E,J38,Montagem_Vigas!$F:$F,"SIM")))=L38,"OK","PENDENTE")</f>
        <v>OK</v>
      </c>
      <c r="O38" s="264" t="str">
        <f t="shared" si="14"/>
        <v>LIBERADO</v>
      </c>
      <c r="P38" s="264">
        <f>SUM(IF(E38="",0,COUNTIFS(Montagem_Vigas!$E:$E,E38,Montagem_Vigas!$F:$F,"SIM")),IF(F38="",0,COUNTIFS(Montagem_Vigas!$E:$E,F38,Montagem_Vigas!$F:$F,"SIM")),IF(G38="",0,COUNTIFS(Montagem_Vigas!$E:$E,G38,Montagem_Vigas!$F:$F,"SIM")),IF(H38="",0,COUNTIFS(Montagem_Vigas!$E:$E,H38,Montagem_Vigas!$F:$F,"SIM")),IF(I38="",0,COUNTIFS(Montagem_Vigas!$E:$E,I38,Montagem_Vigas!$F:$F,"SIM")),IF(J38="",0,COUNTIFS(Montagem_Vigas!$E:$E,J38,Montagem_Vigas!$F:$F,"SIM")))</f>
        <v>6</v>
      </c>
      <c r="Q38">
        <f t="shared" si="15"/>
        <v>6</v>
      </c>
      <c r="R38">
        <f t="shared" si="16"/>
        <v>48</v>
      </c>
      <c r="S38" t="str">
        <f t="shared" si="17"/>
        <v>JOISTS APONTADAS</v>
      </c>
      <c r="T38" t="str">
        <f t="shared" si="18"/>
        <v>OK</v>
      </c>
      <c r="U38" t="s">
        <v>1966</v>
      </c>
      <c r="W38" t="s">
        <v>1942</v>
      </c>
      <c r="X38" s="284">
        <v>1</v>
      </c>
      <c r="Y38" s="284">
        <v>3</v>
      </c>
      <c r="Z38" s="284">
        <v>2</v>
      </c>
      <c r="AA38">
        <f t="shared" si="19"/>
        <v>24</v>
      </c>
      <c r="AB38">
        <f t="shared" si="20"/>
        <v>16</v>
      </c>
      <c r="AC38">
        <f t="shared" si="21"/>
        <v>8</v>
      </c>
      <c r="AD38">
        <f t="shared" si="22"/>
        <v>48</v>
      </c>
      <c r="AE38">
        <f t="shared" si="23"/>
        <v>48</v>
      </c>
      <c r="AF38" t="str">
        <f t="shared" si="24"/>
        <v>OK</v>
      </c>
    </row>
    <row r="39" spans="1:32" hidden="1" x14ac:dyDescent="0.25">
      <c r="A39" t="s">
        <v>1972</v>
      </c>
      <c r="B39">
        <v>14</v>
      </c>
      <c r="C39">
        <v>15</v>
      </c>
      <c r="D39" t="s">
        <v>1939</v>
      </c>
      <c r="E39" t="s">
        <v>1837</v>
      </c>
      <c r="F39" t="s">
        <v>1838</v>
      </c>
      <c r="H39" t="s">
        <v>1850</v>
      </c>
      <c r="I39" t="s">
        <v>1851</v>
      </c>
      <c r="K39">
        <v>2</v>
      </c>
      <c r="L39">
        <v>2</v>
      </c>
      <c r="M39" t="str">
        <f>IF((IF(E39="",0,COUNTIFS(Montagem_Vigas!$E:$E,E39,Montagem_Vigas!$F:$F,"SIM"))+IF(F39="",0,COUNTIFS(Montagem_Vigas!$E:$E,F39,Montagem_Vigas!$F:$F,"SIM"))+IF(G39="",0,COUNTIFS(Montagem_Vigas!$E:$E,G39,Montagem_Vigas!$F:$F,"SIM")))=K39,"OK","PENDENTE")</f>
        <v>OK</v>
      </c>
      <c r="N39" s="264" t="str">
        <f>IF((IF(H39="",0,COUNTIFS(Montagem_Vigas!$E:$E,H39,Montagem_Vigas!$F:$F,"SIM"))+IF(I39="",0,COUNTIFS(Montagem_Vigas!$E:$E,I39,Montagem_Vigas!$F:$F,"SIM"))+IF(J39="",0,COUNTIFS(Montagem_Vigas!$E:$E,J39,Montagem_Vigas!$F:$F,"SIM")))=L39,"OK","PENDENTE")</f>
        <v>OK</v>
      </c>
      <c r="O39" s="264" t="str">
        <f t="shared" si="14"/>
        <v>LIBERADO</v>
      </c>
      <c r="P39" s="264">
        <f>SUM(IF(E39="",0,COUNTIFS(Montagem_Vigas!$E:$E,E39,Montagem_Vigas!$F:$F,"SIM")),IF(F39="",0,COUNTIFS(Montagem_Vigas!$E:$E,F39,Montagem_Vigas!$F:$F,"SIM")),IF(G39="",0,COUNTIFS(Montagem_Vigas!$E:$E,G39,Montagem_Vigas!$F:$F,"SIM")),IF(H39="",0,COUNTIFS(Montagem_Vigas!$E:$E,H39,Montagem_Vigas!$F:$F,"SIM")),IF(I39="",0,COUNTIFS(Montagem_Vigas!$E:$E,I39,Montagem_Vigas!$F:$F,"SIM")),IF(J39="",0,COUNTIFS(Montagem_Vigas!$E:$E,J39,Montagem_Vigas!$F:$F,"SIM")))</f>
        <v>4</v>
      </c>
      <c r="Q39">
        <f t="shared" si="15"/>
        <v>0</v>
      </c>
      <c r="R39">
        <f t="shared" si="16"/>
        <v>0</v>
      </c>
      <c r="S39" t="str">
        <f t="shared" si="17"/>
        <v>LIBERADO P/ JOIST</v>
      </c>
      <c r="T39" t="str">
        <f t="shared" si="18"/>
        <v>OK</v>
      </c>
      <c r="U39" t="s">
        <v>1966</v>
      </c>
      <c r="W39" t="s">
        <v>1942</v>
      </c>
      <c r="X39" s="284">
        <v>0</v>
      </c>
      <c r="Y39" s="284">
        <v>0</v>
      </c>
      <c r="Z39" s="284">
        <v>0</v>
      </c>
      <c r="AA39">
        <f t="shared" si="19"/>
        <v>0</v>
      </c>
      <c r="AB39">
        <f t="shared" si="20"/>
        <v>0</v>
      </c>
      <c r="AC39">
        <f t="shared" si="21"/>
        <v>0</v>
      </c>
      <c r="AD39">
        <f t="shared" si="22"/>
        <v>0</v>
      </c>
      <c r="AE39">
        <f t="shared" si="23"/>
        <v>0</v>
      </c>
      <c r="AF39" t="str">
        <f t="shared" si="24"/>
        <v>OK</v>
      </c>
    </row>
    <row r="40" spans="1:32" x14ac:dyDescent="0.25">
      <c r="A40" t="s">
        <v>1973</v>
      </c>
      <c r="B40">
        <v>15</v>
      </c>
      <c r="C40">
        <v>16</v>
      </c>
      <c r="D40" t="s">
        <v>1930</v>
      </c>
      <c r="E40" t="s">
        <v>1839</v>
      </c>
      <c r="F40" t="s">
        <v>1840</v>
      </c>
      <c r="H40" t="s">
        <v>1852</v>
      </c>
      <c r="I40" t="s">
        <v>1853</v>
      </c>
      <c r="K40">
        <v>2</v>
      </c>
      <c r="L40">
        <v>2</v>
      </c>
      <c r="M40" t="str">
        <f>IF((IF(E40="",0,COUNTIFS(Montagem_Vigas!$E:$E,E40,Montagem_Vigas!$F:$F,"SIM"))+IF(F40="",0,COUNTIFS(Montagem_Vigas!$E:$E,F40,Montagem_Vigas!$F:$F,"SIM"))+IF(G40="",0,COUNTIFS(Montagem_Vigas!$E:$E,G40,Montagem_Vigas!$F:$F,"SIM")))=K40,"OK","PENDENTE")</f>
        <v>OK</v>
      </c>
      <c r="N40" s="264" t="str">
        <f>IF((IF(H40="",0,COUNTIFS(Montagem_Vigas!$E:$E,H40,Montagem_Vigas!$F:$F,"SIM"))+IF(I40="",0,COUNTIFS(Montagem_Vigas!$E:$E,I40,Montagem_Vigas!$F:$F,"SIM"))+IF(J40="",0,COUNTIFS(Montagem_Vigas!$E:$E,J40,Montagem_Vigas!$F:$F,"SIM")))=L40,"OK","PENDENTE")</f>
        <v>OK</v>
      </c>
      <c r="O40" s="264" t="str">
        <f t="shared" si="14"/>
        <v>LIBERADO</v>
      </c>
      <c r="P40" s="264">
        <f>SUM(IF(E40="",0,COUNTIFS(Montagem_Vigas!$E:$E,E40,Montagem_Vigas!$F:$F,"SIM")),IF(F40="",0,COUNTIFS(Montagem_Vigas!$E:$E,F40,Montagem_Vigas!$F:$F,"SIM")),IF(G40="",0,COUNTIFS(Montagem_Vigas!$E:$E,G40,Montagem_Vigas!$F:$F,"SIM")),IF(H40="",0,COUNTIFS(Montagem_Vigas!$E:$E,H40,Montagem_Vigas!$F:$F,"SIM")),IF(I40="",0,COUNTIFS(Montagem_Vigas!$E:$E,I40,Montagem_Vigas!$F:$F,"SIM")),IF(J40="",0,COUNTIFS(Montagem_Vigas!$E:$E,J40,Montagem_Vigas!$F:$F,"SIM")))</f>
        <v>4</v>
      </c>
      <c r="Q40">
        <f t="shared" si="15"/>
        <v>6</v>
      </c>
      <c r="R40">
        <f t="shared" si="16"/>
        <v>48</v>
      </c>
      <c r="S40" t="str">
        <f t="shared" si="17"/>
        <v>JOISTS APONTADAS</v>
      </c>
      <c r="T40" t="str">
        <f t="shared" si="18"/>
        <v>OK</v>
      </c>
      <c r="U40" t="s">
        <v>1974</v>
      </c>
      <c r="W40" t="s">
        <v>1942</v>
      </c>
      <c r="X40" s="284">
        <v>1</v>
      </c>
      <c r="Y40" s="284">
        <v>3</v>
      </c>
      <c r="Z40" s="284">
        <v>2</v>
      </c>
      <c r="AA40">
        <f t="shared" si="19"/>
        <v>0</v>
      </c>
      <c r="AB40">
        <f t="shared" si="20"/>
        <v>24</v>
      </c>
      <c r="AC40">
        <f t="shared" si="21"/>
        <v>8</v>
      </c>
      <c r="AD40">
        <f t="shared" si="22"/>
        <v>32</v>
      </c>
      <c r="AE40">
        <f t="shared" si="23"/>
        <v>32</v>
      </c>
      <c r="AF40" t="str">
        <f t="shared" si="24"/>
        <v>REVISAR MAPEAMENTO</v>
      </c>
    </row>
    <row r="41" spans="1:32" x14ac:dyDescent="0.25">
      <c r="A41" t="s">
        <v>1975</v>
      </c>
      <c r="B41">
        <v>15</v>
      </c>
      <c r="C41">
        <v>16</v>
      </c>
      <c r="D41" t="s">
        <v>1725</v>
      </c>
      <c r="E41" t="s">
        <v>1840</v>
      </c>
      <c r="F41" t="s">
        <v>1841</v>
      </c>
      <c r="G41" t="s">
        <v>1842</v>
      </c>
      <c r="H41" t="s">
        <v>1853</v>
      </c>
      <c r="I41" t="s">
        <v>1854</v>
      </c>
      <c r="J41" t="s">
        <v>1855</v>
      </c>
      <c r="K41">
        <v>3</v>
      </c>
      <c r="L41">
        <v>3</v>
      </c>
      <c r="M41" t="str">
        <f>IF((IF(E41="",0,COUNTIFS(Montagem_Vigas!$E:$E,E41,Montagem_Vigas!$F:$F,"SIM"))+IF(F41="",0,COUNTIFS(Montagem_Vigas!$E:$E,F41,Montagem_Vigas!$F:$F,"SIM"))+IF(G41="",0,COUNTIFS(Montagem_Vigas!$E:$E,G41,Montagem_Vigas!$F:$F,"SIM")))=K41,"OK","PENDENTE")</f>
        <v>OK</v>
      </c>
      <c r="N41" s="264" t="str">
        <f>IF((IF(H41="",0,COUNTIFS(Montagem_Vigas!$E:$E,H41,Montagem_Vigas!$F:$F,"SIM"))+IF(I41="",0,COUNTIFS(Montagem_Vigas!$E:$E,I41,Montagem_Vigas!$F:$F,"SIM"))+IF(J41="",0,COUNTIFS(Montagem_Vigas!$E:$E,J41,Montagem_Vigas!$F:$F,"SIM")))=L41,"OK","PENDENTE")</f>
        <v>OK</v>
      </c>
      <c r="O41" s="264" t="str">
        <f t="shared" si="14"/>
        <v>LIBERADO</v>
      </c>
      <c r="P41" s="264">
        <f>SUM(IF(E41="",0,COUNTIFS(Montagem_Vigas!$E:$E,E41,Montagem_Vigas!$F:$F,"SIM")),IF(F41="",0,COUNTIFS(Montagem_Vigas!$E:$E,F41,Montagem_Vigas!$F:$F,"SIM")),IF(G41="",0,COUNTIFS(Montagem_Vigas!$E:$E,G41,Montagem_Vigas!$F:$F,"SIM")),IF(H41="",0,COUNTIFS(Montagem_Vigas!$E:$E,H41,Montagem_Vigas!$F:$F,"SIM")),IF(I41="",0,COUNTIFS(Montagem_Vigas!$E:$E,I41,Montagem_Vigas!$F:$F,"SIM")),IF(J41="",0,COUNTIFS(Montagem_Vigas!$E:$E,J41,Montagem_Vigas!$F:$F,"SIM")))</f>
        <v>6</v>
      </c>
      <c r="Q41">
        <f t="shared" si="15"/>
        <v>6</v>
      </c>
      <c r="R41">
        <f t="shared" si="16"/>
        <v>48</v>
      </c>
      <c r="S41" t="str">
        <f t="shared" si="17"/>
        <v>JOISTS APONTADAS</v>
      </c>
      <c r="T41" t="str">
        <f t="shared" si="18"/>
        <v>OK</v>
      </c>
      <c r="U41" t="s">
        <v>1974</v>
      </c>
      <c r="W41" t="s">
        <v>1942</v>
      </c>
      <c r="X41" s="284">
        <v>1</v>
      </c>
      <c r="Y41" s="284">
        <v>3</v>
      </c>
      <c r="Z41" s="284">
        <v>2</v>
      </c>
      <c r="AA41">
        <f t="shared" si="19"/>
        <v>24</v>
      </c>
      <c r="AB41">
        <f t="shared" si="20"/>
        <v>8</v>
      </c>
      <c r="AC41">
        <f t="shared" ref="AC41:AC42" si="25">IF(O40&lt;&gt;"LIBERADO",0,IF(D40="BC",X41*8,IF(D40="CD",X41*8,IF(D40="DE",X41*8,IF(D40="EF",X41*8,IF(D40="FG",X41*8,0))))))</f>
        <v>0</v>
      </c>
      <c r="AD41">
        <f t="shared" si="22"/>
        <v>32</v>
      </c>
      <c r="AE41">
        <f t="shared" si="23"/>
        <v>32</v>
      </c>
      <c r="AF41" t="str">
        <f t="shared" si="24"/>
        <v>REVISAR MAPEAMENTO</v>
      </c>
    </row>
    <row r="42" spans="1:32" x14ac:dyDescent="0.25">
      <c r="A42" t="s">
        <v>1976</v>
      </c>
      <c r="B42">
        <v>15</v>
      </c>
      <c r="C42">
        <v>16</v>
      </c>
      <c r="D42" t="s">
        <v>1730</v>
      </c>
      <c r="E42" t="s">
        <v>1842</v>
      </c>
      <c r="F42" t="s">
        <v>1843</v>
      </c>
      <c r="G42" t="s">
        <v>1844</v>
      </c>
      <c r="H42" t="s">
        <v>1855</v>
      </c>
      <c r="I42" t="s">
        <v>1856</v>
      </c>
      <c r="J42" t="s">
        <v>1857</v>
      </c>
      <c r="K42">
        <v>3</v>
      </c>
      <c r="L42">
        <v>3</v>
      </c>
      <c r="M42" t="str">
        <f>IF((IF(E42="",0,COUNTIFS(Montagem_Vigas!$E:$E,E42,Montagem_Vigas!$F:$F,"SIM"))+IF(F42="",0,COUNTIFS(Montagem_Vigas!$E:$E,F42,Montagem_Vigas!$F:$F,"SIM"))+IF(G42="",0,COUNTIFS(Montagem_Vigas!$E:$E,G42,Montagem_Vigas!$F:$F,"SIM")))=K42,"OK","PENDENTE")</f>
        <v>OK</v>
      </c>
      <c r="N42" s="264" t="str">
        <f>IF((IF(H42="",0,COUNTIFS(Montagem_Vigas!$E:$E,H42,Montagem_Vigas!$F:$F,"SIM"))+IF(I42="",0,COUNTIFS(Montagem_Vigas!$E:$E,I42,Montagem_Vigas!$F:$F,"SIM"))+IF(J42="",0,COUNTIFS(Montagem_Vigas!$E:$E,J42,Montagem_Vigas!$F:$F,"SIM")))=L42,"OK","PENDENTE")</f>
        <v>OK</v>
      </c>
      <c r="O42" s="264" t="str">
        <f t="shared" si="14"/>
        <v>LIBERADO</v>
      </c>
      <c r="P42" s="264">
        <f>SUM(IF(E42="",0,COUNTIFS(Montagem_Vigas!$E:$E,E42,Montagem_Vigas!$F:$F,"SIM")),IF(F42="",0,COUNTIFS(Montagem_Vigas!$E:$E,F42,Montagem_Vigas!$F:$F,"SIM")),IF(G42="",0,COUNTIFS(Montagem_Vigas!$E:$E,G42,Montagem_Vigas!$F:$F,"SIM")),IF(H42="",0,COUNTIFS(Montagem_Vigas!$E:$E,H42,Montagem_Vigas!$F:$F,"SIM")),IF(I42="",0,COUNTIFS(Montagem_Vigas!$E:$E,I42,Montagem_Vigas!$F:$F,"SIM")),IF(J42="",0,COUNTIFS(Montagem_Vigas!$E:$E,J42,Montagem_Vigas!$F:$F,"SIM")))</f>
        <v>6</v>
      </c>
      <c r="Q42">
        <f t="shared" si="15"/>
        <v>6</v>
      </c>
      <c r="R42">
        <f t="shared" si="16"/>
        <v>48</v>
      </c>
      <c r="S42" t="str">
        <f t="shared" si="17"/>
        <v>JOISTS APONTADAS</v>
      </c>
      <c r="T42" t="str">
        <f t="shared" si="18"/>
        <v>OK</v>
      </c>
      <c r="U42" t="s">
        <v>1974</v>
      </c>
      <c r="W42" t="s">
        <v>1942</v>
      </c>
      <c r="X42" s="284">
        <v>1</v>
      </c>
      <c r="Y42" s="284">
        <v>3</v>
      </c>
      <c r="Z42" s="284">
        <v>2</v>
      </c>
      <c r="AA42">
        <f t="shared" si="19"/>
        <v>24</v>
      </c>
      <c r="AB42">
        <f t="shared" si="20"/>
        <v>0</v>
      </c>
      <c r="AC42">
        <f t="shared" si="25"/>
        <v>8</v>
      </c>
      <c r="AD42">
        <f t="shared" si="22"/>
        <v>32</v>
      </c>
      <c r="AE42">
        <f t="shared" si="23"/>
        <v>32</v>
      </c>
      <c r="AF42" t="str">
        <f t="shared" si="24"/>
        <v>REVISAR MAPEAMENTO</v>
      </c>
    </row>
    <row r="43" spans="1:32" x14ac:dyDescent="0.25">
      <c r="A43" t="s">
        <v>1977</v>
      </c>
      <c r="B43">
        <v>15</v>
      </c>
      <c r="C43">
        <v>16</v>
      </c>
      <c r="D43" t="s">
        <v>1732</v>
      </c>
      <c r="E43" t="s">
        <v>1844</v>
      </c>
      <c r="F43" t="s">
        <v>1845</v>
      </c>
      <c r="G43" t="s">
        <v>1846</v>
      </c>
      <c r="H43" t="s">
        <v>1857</v>
      </c>
      <c r="I43" t="s">
        <v>1858</v>
      </c>
      <c r="J43" t="s">
        <v>1859</v>
      </c>
      <c r="K43">
        <v>3</v>
      </c>
      <c r="L43">
        <v>3</v>
      </c>
      <c r="M43" t="str">
        <f>IF((IF(E43="",0,COUNTIFS(Montagem_Vigas!$E:$E,E43,Montagem_Vigas!$F:$F,"SIM"))+IF(F43="",0,COUNTIFS(Montagem_Vigas!$E:$E,F43,Montagem_Vigas!$F:$F,"SIM"))+IF(G43="",0,COUNTIFS(Montagem_Vigas!$E:$E,G43,Montagem_Vigas!$F:$F,"SIM")))=K43,"OK","PENDENTE")</f>
        <v>OK</v>
      </c>
      <c r="N43" s="264" t="str">
        <f>IF((IF(H43="",0,COUNTIFS(Montagem_Vigas!$E:$E,H43,Montagem_Vigas!$F:$F,"SIM"))+IF(I43="",0,COUNTIFS(Montagem_Vigas!$E:$E,I43,Montagem_Vigas!$F:$F,"SIM"))+IF(J43="",0,COUNTIFS(Montagem_Vigas!$E:$E,J43,Montagem_Vigas!$F:$F,"SIM")))=L43,"OK","PENDENTE")</f>
        <v>OK</v>
      </c>
      <c r="O43" s="264" t="str">
        <f t="shared" si="14"/>
        <v>LIBERADO</v>
      </c>
      <c r="P43" s="264">
        <f>SUM(IF(E43="",0,COUNTIFS(Montagem_Vigas!$E:$E,E43,Montagem_Vigas!$F:$F,"SIM")),IF(F43="",0,COUNTIFS(Montagem_Vigas!$E:$E,F43,Montagem_Vigas!$F:$F,"SIM")),IF(G43="",0,COUNTIFS(Montagem_Vigas!$E:$E,G43,Montagem_Vigas!$F:$F,"SIM")),IF(H43="",0,COUNTIFS(Montagem_Vigas!$E:$E,H43,Montagem_Vigas!$F:$F,"SIM")),IF(I43="",0,COUNTIFS(Montagem_Vigas!$E:$E,I43,Montagem_Vigas!$F:$F,"SIM")),IF(J43="",0,COUNTIFS(Montagem_Vigas!$E:$E,J43,Montagem_Vigas!$F:$F,"SIM")))</f>
        <v>6</v>
      </c>
      <c r="Q43">
        <f t="shared" si="15"/>
        <v>6</v>
      </c>
      <c r="R43">
        <f t="shared" si="16"/>
        <v>48</v>
      </c>
      <c r="S43" t="str">
        <f t="shared" si="17"/>
        <v>JOISTS APONTADAS</v>
      </c>
      <c r="T43" t="str">
        <f t="shared" si="18"/>
        <v>OK</v>
      </c>
      <c r="U43" t="s">
        <v>1974</v>
      </c>
      <c r="W43" t="s">
        <v>1942</v>
      </c>
      <c r="X43" s="284">
        <v>1</v>
      </c>
      <c r="Y43" s="284">
        <v>3</v>
      </c>
      <c r="Z43" s="284">
        <v>2</v>
      </c>
      <c r="AA43">
        <f t="shared" si="19"/>
        <v>24</v>
      </c>
      <c r="AB43">
        <f t="shared" si="20"/>
        <v>0</v>
      </c>
      <c r="AC43">
        <f t="shared" si="21"/>
        <v>24</v>
      </c>
      <c r="AD43">
        <f t="shared" si="22"/>
        <v>48</v>
      </c>
      <c r="AE43">
        <f t="shared" si="23"/>
        <v>48</v>
      </c>
      <c r="AF43" t="str">
        <f t="shared" si="24"/>
        <v>OK</v>
      </c>
    </row>
    <row r="44" spans="1:32" x14ac:dyDescent="0.25">
      <c r="A44" t="s">
        <v>1978</v>
      </c>
      <c r="B44">
        <v>15</v>
      </c>
      <c r="C44">
        <v>16</v>
      </c>
      <c r="D44" t="s">
        <v>1734</v>
      </c>
      <c r="E44" t="s">
        <v>1846</v>
      </c>
      <c r="F44" t="s">
        <v>1847</v>
      </c>
      <c r="G44" t="s">
        <v>1848</v>
      </c>
      <c r="H44" t="s">
        <v>1859</v>
      </c>
      <c r="I44" t="s">
        <v>1860</v>
      </c>
      <c r="J44" t="s">
        <v>1861</v>
      </c>
      <c r="K44">
        <v>3</v>
      </c>
      <c r="L44">
        <v>3</v>
      </c>
      <c r="M44" t="str">
        <f>IF((IF(E44="",0,COUNTIFS(Montagem_Vigas!$E:$E,E44,Montagem_Vigas!$F:$F,"SIM"))+IF(F44="",0,COUNTIFS(Montagem_Vigas!$E:$E,F44,Montagem_Vigas!$F:$F,"SIM"))+IF(G44="",0,COUNTIFS(Montagem_Vigas!$E:$E,G44,Montagem_Vigas!$F:$F,"SIM")))=K44,"OK","PENDENTE")</f>
        <v>OK</v>
      </c>
      <c r="N44" s="264" t="str">
        <f>IF((IF(H44="",0,COUNTIFS(Montagem_Vigas!$E:$E,H44,Montagem_Vigas!$F:$F,"SIM"))+IF(I44="",0,COUNTIFS(Montagem_Vigas!$E:$E,I44,Montagem_Vigas!$F:$F,"SIM"))+IF(J44="",0,COUNTIFS(Montagem_Vigas!$E:$E,J44,Montagem_Vigas!$F:$F,"SIM")))=L44,"OK","PENDENTE")</f>
        <v>OK</v>
      </c>
      <c r="O44" s="264" t="str">
        <f t="shared" si="14"/>
        <v>LIBERADO</v>
      </c>
      <c r="P44" s="264">
        <f>SUM(IF(E44="",0,COUNTIFS(Montagem_Vigas!$E:$E,E44,Montagem_Vigas!$F:$F,"SIM")),IF(F44="",0,COUNTIFS(Montagem_Vigas!$E:$E,F44,Montagem_Vigas!$F:$F,"SIM")),IF(G44="",0,COUNTIFS(Montagem_Vigas!$E:$E,G44,Montagem_Vigas!$F:$F,"SIM")),IF(H44="",0,COUNTIFS(Montagem_Vigas!$E:$E,H44,Montagem_Vigas!$F:$F,"SIM")),IF(I44="",0,COUNTIFS(Montagem_Vigas!$E:$E,I44,Montagem_Vigas!$F:$F,"SIM")),IF(J44="",0,COUNTIFS(Montagem_Vigas!$E:$E,J44,Montagem_Vigas!$F:$F,"SIM")))</f>
        <v>6</v>
      </c>
      <c r="Q44">
        <f t="shared" si="15"/>
        <v>6</v>
      </c>
      <c r="R44">
        <f t="shared" si="16"/>
        <v>48</v>
      </c>
      <c r="S44" t="str">
        <f t="shared" si="17"/>
        <v>JOISTS APONTADAS</v>
      </c>
      <c r="T44" t="str">
        <f t="shared" si="18"/>
        <v>OK</v>
      </c>
      <c r="U44" t="s">
        <v>1974</v>
      </c>
      <c r="W44" t="s">
        <v>1942</v>
      </c>
      <c r="X44" s="284">
        <v>1</v>
      </c>
      <c r="Y44" s="284">
        <v>3</v>
      </c>
      <c r="Z44" s="284">
        <v>2</v>
      </c>
      <c r="AA44">
        <f t="shared" si="19"/>
        <v>24</v>
      </c>
      <c r="AB44">
        <f t="shared" si="20"/>
        <v>0</v>
      </c>
      <c r="AC44">
        <f t="shared" si="21"/>
        <v>24</v>
      </c>
      <c r="AD44">
        <f t="shared" si="22"/>
        <v>48</v>
      </c>
      <c r="AE44">
        <f t="shared" si="23"/>
        <v>48</v>
      </c>
      <c r="AF44" t="str">
        <f t="shared" si="24"/>
        <v>OK</v>
      </c>
    </row>
    <row r="45" spans="1:32" x14ac:dyDescent="0.25">
      <c r="A45" t="s">
        <v>1979</v>
      </c>
      <c r="B45">
        <v>15</v>
      </c>
      <c r="C45">
        <v>16</v>
      </c>
      <c r="D45" t="s">
        <v>1736</v>
      </c>
      <c r="E45" t="s">
        <v>1848</v>
      </c>
      <c r="F45" t="s">
        <v>1849</v>
      </c>
      <c r="G45" t="s">
        <v>1850</v>
      </c>
      <c r="H45" t="s">
        <v>1861</v>
      </c>
      <c r="I45" t="s">
        <v>1862</v>
      </c>
      <c r="J45" t="s">
        <v>1863</v>
      </c>
      <c r="K45">
        <v>3</v>
      </c>
      <c r="L45">
        <v>3</v>
      </c>
      <c r="M45" t="str">
        <f>IF((IF(E45="",0,COUNTIFS(Montagem_Vigas!$E:$E,E45,Montagem_Vigas!$F:$F,"SIM"))+IF(F45="",0,COUNTIFS(Montagem_Vigas!$E:$E,F45,Montagem_Vigas!$F:$F,"SIM"))+IF(G45="",0,COUNTIFS(Montagem_Vigas!$E:$E,G45,Montagem_Vigas!$F:$F,"SIM")))=K45,"OK","PENDENTE")</f>
        <v>OK</v>
      </c>
      <c r="N45" s="264" t="str">
        <f>IF((IF(H45="",0,COUNTIFS(Montagem_Vigas!$E:$E,H45,Montagem_Vigas!$F:$F,"SIM"))+IF(I45="",0,COUNTIFS(Montagem_Vigas!$E:$E,I45,Montagem_Vigas!$F:$F,"SIM"))+IF(J45="",0,COUNTIFS(Montagem_Vigas!$E:$E,J45,Montagem_Vigas!$F:$F,"SIM")))=L45,"OK","PENDENTE")</f>
        <v>OK</v>
      </c>
      <c r="O45" s="264" t="str">
        <f t="shared" si="14"/>
        <v>LIBERADO</v>
      </c>
      <c r="P45" s="264">
        <f>SUM(IF(E45="",0,COUNTIFS(Montagem_Vigas!$E:$E,E45,Montagem_Vigas!$F:$F,"SIM")),IF(F45="",0,COUNTIFS(Montagem_Vigas!$E:$E,F45,Montagem_Vigas!$F:$F,"SIM")),IF(G45="",0,COUNTIFS(Montagem_Vigas!$E:$E,G45,Montagem_Vigas!$F:$F,"SIM")),IF(H45="",0,COUNTIFS(Montagem_Vigas!$E:$E,H45,Montagem_Vigas!$F:$F,"SIM")),IF(I45="",0,COUNTIFS(Montagem_Vigas!$E:$E,I45,Montagem_Vigas!$F:$F,"SIM")),IF(J45="",0,COUNTIFS(Montagem_Vigas!$E:$E,J45,Montagem_Vigas!$F:$F,"SIM")))</f>
        <v>6</v>
      </c>
      <c r="Q45">
        <f t="shared" si="15"/>
        <v>6</v>
      </c>
      <c r="R45">
        <f t="shared" si="16"/>
        <v>48</v>
      </c>
      <c r="S45" t="str">
        <f t="shared" si="17"/>
        <v>JOISTS APONTADAS</v>
      </c>
      <c r="T45" t="str">
        <f t="shared" si="18"/>
        <v>OK</v>
      </c>
      <c r="U45" t="s">
        <v>1974</v>
      </c>
      <c r="W45" t="s">
        <v>1942</v>
      </c>
      <c r="X45" s="284">
        <v>1</v>
      </c>
      <c r="Y45" s="284">
        <v>3</v>
      </c>
      <c r="Z45" s="284">
        <v>2</v>
      </c>
      <c r="AA45">
        <f t="shared" si="19"/>
        <v>24</v>
      </c>
      <c r="AB45">
        <f t="shared" si="20"/>
        <v>16</v>
      </c>
      <c r="AC45">
        <f t="shared" si="21"/>
        <v>8</v>
      </c>
      <c r="AD45">
        <f t="shared" si="22"/>
        <v>48</v>
      </c>
      <c r="AE45">
        <f t="shared" si="23"/>
        <v>48</v>
      </c>
      <c r="AF45" t="str">
        <f t="shared" si="24"/>
        <v>OK</v>
      </c>
    </row>
    <row r="46" spans="1:32" x14ac:dyDescent="0.25">
      <c r="A46" t="s">
        <v>1980</v>
      </c>
      <c r="B46">
        <v>15</v>
      </c>
      <c r="C46">
        <v>16</v>
      </c>
      <c r="D46" t="s">
        <v>1939</v>
      </c>
      <c r="E46" t="s">
        <v>1850</v>
      </c>
      <c r="F46" t="s">
        <v>1851</v>
      </c>
      <c r="H46" t="s">
        <v>1863</v>
      </c>
      <c r="I46" t="s">
        <v>1864</v>
      </c>
      <c r="K46">
        <v>2</v>
      </c>
      <c r="L46">
        <v>2</v>
      </c>
      <c r="M46" t="str">
        <f>IF((IF(E46="",0,COUNTIFS(Montagem_Vigas!$E:$E,E46,Montagem_Vigas!$F:$F,"SIM"))+IF(F46="",0,COUNTIFS(Montagem_Vigas!$E:$E,F46,Montagem_Vigas!$F:$F,"SIM"))+IF(G46="",0,COUNTIFS(Montagem_Vigas!$E:$E,G46,Montagem_Vigas!$F:$F,"SIM")))=K46,"OK","PENDENTE")</f>
        <v>OK</v>
      </c>
      <c r="N46" s="264" t="str">
        <f>IF((IF(H46="",0,COUNTIFS(Montagem_Vigas!$E:$E,H46,Montagem_Vigas!$F:$F,"SIM"))+IF(I46="",0,COUNTIFS(Montagem_Vigas!$E:$E,I46,Montagem_Vigas!$F:$F,"SIM"))+IF(J46="",0,COUNTIFS(Montagem_Vigas!$E:$E,J46,Montagem_Vigas!$F:$F,"SIM")))=L46,"OK","PENDENTE")</f>
        <v>OK</v>
      </c>
      <c r="O46" s="264" t="str">
        <f t="shared" si="14"/>
        <v>LIBERADO</v>
      </c>
      <c r="P46" s="264">
        <f>SUM(IF(E46="",0,COUNTIFS(Montagem_Vigas!$E:$E,E46,Montagem_Vigas!$F:$F,"SIM")),IF(F46="",0,COUNTIFS(Montagem_Vigas!$E:$E,F46,Montagem_Vigas!$F:$F,"SIM")),IF(G46="",0,COUNTIFS(Montagem_Vigas!$E:$E,G46,Montagem_Vigas!$F:$F,"SIM")),IF(H46="",0,COUNTIFS(Montagem_Vigas!$E:$E,H46,Montagem_Vigas!$F:$F,"SIM")),IF(I46="",0,COUNTIFS(Montagem_Vigas!$E:$E,I46,Montagem_Vigas!$F:$F,"SIM")),IF(J46="",0,COUNTIFS(Montagem_Vigas!$E:$E,J46,Montagem_Vigas!$F:$F,"SIM")))</f>
        <v>4</v>
      </c>
      <c r="Q46">
        <f t="shared" si="15"/>
        <v>7</v>
      </c>
      <c r="R46">
        <f t="shared" si="16"/>
        <v>56</v>
      </c>
      <c r="S46" t="str">
        <f t="shared" si="17"/>
        <v>JOISTS APONTADAS</v>
      </c>
      <c r="T46" t="str">
        <f t="shared" si="18"/>
        <v>OK</v>
      </c>
      <c r="U46" t="s">
        <v>1974</v>
      </c>
      <c r="W46" t="s">
        <v>1942</v>
      </c>
      <c r="X46" s="284">
        <v>1</v>
      </c>
      <c r="Y46" s="284">
        <v>3</v>
      </c>
      <c r="Z46" s="284">
        <v>3</v>
      </c>
      <c r="AA46">
        <f t="shared" si="19"/>
        <v>0</v>
      </c>
      <c r="AB46">
        <f t="shared" si="20"/>
        <v>8</v>
      </c>
      <c r="AC46">
        <f t="shared" si="21"/>
        <v>24</v>
      </c>
      <c r="AD46">
        <f t="shared" si="22"/>
        <v>32</v>
      </c>
      <c r="AE46">
        <f t="shared" si="23"/>
        <v>32</v>
      </c>
      <c r="AF46" t="str">
        <f t="shared" si="24"/>
        <v>REVISAR MAPEAMENTO</v>
      </c>
    </row>
    <row r="47" spans="1:32" x14ac:dyDescent="0.25">
      <c r="A47" t="s">
        <v>1981</v>
      </c>
      <c r="B47">
        <v>16</v>
      </c>
      <c r="C47">
        <v>17</v>
      </c>
      <c r="D47" t="s">
        <v>1930</v>
      </c>
      <c r="E47" t="s">
        <v>1852</v>
      </c>
      <c r="F47" t="s">
        <v>1853</v>
      </c>
      <c r="H47" t="s">
        <v>1865</v>
      </c>
      <c r="I47" t="s">
        <v>1866</v>
      </c>
      <c r="K47">
        <v>2</v>
      </c>
      <c r="L47">
        <v>2</v>
      </c>
      <c r="M47" t="str">
        <f>IF((IF(E47="",0,COUNTIFS(Montagem_Vigas!$E:$E,E47,Montagem_Vigas!$F:$F,"SIM"))+IF(F47="",0,COUNTIFS(Montagem_Vigas!$E:$E,F47,Montagem_Vigas!$F:$F,"SIM"))+IF(G47="",0,COUNTIFS(Montagem_Vigas!$E:$E,G47,Montagem_Vigas!$F:$F,"SIM")))=K47,"OK","PENDENTE")</f>
        <v>OK</v>
      </c>
      <c r="N47" s="264" t="str">
        <f>IF((IF(H47="",0,COUNTIFS(Montagem_Vigas!$E:$E,H47,Montagem_Vigas!$F:$F,"SIM"))+IF(I47="",0,COUNTIFS(Montagem_Vigas!$E:$E,I47,Montagem_Vigas!$F:$F,"SIM"))+IF(J47="",0,COUNTIFS(Montagem_Vigas!$E:$E,J47,Montagem_Vigas!$F:$F,"SIM")))=L47,"OK","PENDENTE")</f>
        <v>PENDENTE</v>
      </c>
      <c r="O47" s="264" t="str">
        <f t="shared" si="14"/>
        <v>BLOQUEADO</v>
      </c>
      <c r="P47" s="264">
        <f>SUM(IF(E47="",0,COUNTIFS(Montagem_Vigas!$E:$E,E47,Montagem_Vigas!$F:$F,"SIM")),IF(F47="",0,COUNTIFS(Montagem_Vigas!$E:$E,F47,Montagem_Vigas!$F:$F,"SIM")),IF(G47="",0,COUNTIFS(Montagem_Vigas!$E:$E,G47,Montagem_Vigas!$F:$F,"SIM")),IF(H47="",0,COUNTIFS(Montagem_Vigas!$E:$E,H47,Montagem_Vigas!$F:$F,"SIM")),IF(I47="",0,COUNTIFS(Montagem_Vigas!$E:$E,I47,Montagem_Vigas!$F:$F,"SIM")),IF(J47="",0,COUNTIFS(Montagem_Vigas!$E:$E,J47,Montagem_Vigas!$F:$F,"SIM")))</f>
        <v>3</v>
      </c>
      <c r="Q47">
        <f t="shared" si="15"/>
        <v>0</v>
      </c>
      <c r="R47">
        <f t="shared" si="16"/>
        <v>0</v>
      </c>
      <c r="S47" t="str">
        <f t="shared" si="17"/>
        <v>AGUARDANDO ESTRUTURA</v>
      </c>
      <c r="T47" t="str">
        <f t="shared" si="18"/>
        <v>PENDENTE</v>
      </c>
      <c r="U47" t="s">
        <v>1982</v>
      </c>
      <c r="W47" t="s">
        <v>1942</v>
      </c>
      <c r="X47" s="284">
        <v>0</v>
      </c>
      <c r="Y47" s="284">
        <v>0</v>
      </c>
      <c r="Z47" s="284">
        <v>0</v>
      </c>
      <c r="AA47">
        <f t="shared" si="19"/>
        <v>0</v>
      </c>
      <c r="AB47">
        <f t="shared" si="20"/>
        <v>0</v>
      </c>
      <c r="AC47">
        <f t="shared" si="21"/>
        <v>0</v>
      </c>
      <c r="AD47">
        <f t="shared" si="22"/>
        <v>0</v>
      </c>
      <c r="AE47">
        <f t="shared" si="23"/>
        <v>0</v>
      </c>
      <c r="AF47" t="str">
        <f t="shared" si="24"/>
        <v>OK</v>
      </c>
    </row>
    <row r="48" spans="1:32" x14ac:dyDescent="0.25">
      <c r="A48" t="s">
        <v>1983</v>
      </c>
      <c r="B48">
        <v>16</v>
      </c>
      <c r="C48">
        <v>17</v>
      </c>
      <c r="D48" t="s">
        <v>1725</v>
      </c>
      <c r="E48" t="s">
        <v>1853</v>
      </c>
      <c r="F48" t="s">
        <v>1854</v>
      </c>
      <c r="G48" t="s">
        <v>1855</v>
      </c>
      <c r="H48" t="s">
        <v>1866</v>
      </c>
      <c r="I48" t="s">
        <v>1867</v>
      </c>
      <c r="J48" t="s">
        <v>1868</v>
      </c>
      <c r="K48">
        <v>3</v>
      </c>
      <c r="L48">
        <v>3</v>
      </c>
      <c r="M48" t="str">
        <f>IF((IF(E48="",0,COUNTIFS(Montagem_Vigas!$E:$E,E48,Montagem_Vigas!$F:$F,"SIM"))+IF(F48="",0,COUNTIFS(Montagem_Vigas!$E:$E,F48,Montagem_Vigas!$F:$F,"SIM"))+IF(G48="",0,COUNTIFS(Montagem_Vigas!$E:$E,G48,Montagem_Vigas!$F:$F,"SIM")))=K48,"OK","PENDENTE")</f>
        <v>OK</v>
      </c>
      <c r="N48" s="264" t="str">
        <f>IF((IF(H48="",0,COUNTIFS(Montagem_Vigas!$E:$E,H48,Montagem_Vigas!$F:$F,"SIM"))+IF(I48="",0,COUNTIFS(Montagem_Vigas!$E:$E,I48,Montagem_Vigas!$F:$F,"SIM"))+IF(J48="",0,COUNTIFS(Montagem_Vigas!$E:$E,J48,Montagem_Vigas!$F:$F,"SIM")))=L48,"OK","PENDENTE")</f>
        <v>OK</v>
      </c>
      <c r="O48" s="264" t="str">
        <f t="shared" si="14"/>
        <v>LIBERADO</v>
      </c>
      <c r="P48" s="264">
        <f>SUM(IF(E48="",0,COUNTIFS(Montagem_Vigas!$E:$E,E48,Montagem_Vigas!$F:$F,"SIM")),IF(F48="",0,COUNTIFS(Montagem_Vigas!$E:$E,F48,Montagem_Vigas!$F:$F,"SIM")),IF(G48="",0,COUNTIFS(Montagem_Vigas!$E:$E,G48,Montagem_Vigas!$F:$F,"SIM")),IF(H48="",0,COUNTIFS(Montagem_Vigas!$E:$E,H48,Montagem_Vigas!$F:$F,"SIM")),IF(I48="",0,COUNTIFS(Montagem_Vigas!$E:$E,I48,Montagem_Vigas!$F:$F,"SIM")),IF(J48="",0,COUNTIFS(Montagem_Vigas!$E:$E,J48,Montagem_Vigas!$F:$F,"SIM")))</f>
        <v>6</v>
      </c>
      <c r="Q48">
        <f t="shared" si="15"/>
        <v>0</v>
      </c>
      <c r="R48">
        <f t="shared" si="16"/>
        <v>0</v>
      </c>
      <c r="S48" t="str">
        <f t="shared" si="17"/>
        <v>LIBERADO P/ JOIST</v>
      </c>
      <c r="T48" t="str">
        <f t="shared" si="18"/>
        <v>OK</v>
      </c>
      <c r="U48" t="s">
        <v>1982</v>
      </c>
      <c r="W48" t="s">
        <v>1942</v>
      </c>
      <c r="X48" s="284">
        <v>0</v>
      </c>
      <c r="Y48" s="284">
        <v>0</v>
      </c>
      <c r="Z48" s="284">
        <v>0</v>
      </c>
      <c r="AA48">
        <f t="shared" si="19"/>
        <v>0</v>
      </c>
      <c r="AB48">
        <f t="shared" si="20"/>
        <v>0</v>
      </c>
      <c r="AC48">
        <f t="shared" si="21"/>
        <v>0</v>
      </c>
      <c r="AD48">
        <f t="shared" si="22"/>
        <v>0</v>
      </c>
      <c r="AE48">
        <f t="shared" si="23"/>
        <v>0</v>
      </c>
      <c r="AF48" t="str">
        <f t="shared" si="24"/>
        <v>OK</v>
      </c>
    </row>
    <row r="49" spans="1:32" x14ac:dyDescent="0.25">
      <c r="A49" s="240" t="s">
        <v>1984</v>
      </c>
      <c r="B49" s="240">
        <v>16</v>
      </c>
      <c r="C49" s="240">
        <v>17</v>
      </c>
      <c r="D49" s="240" t="s">
        <v>1730</v>
      </c>
      <c r="E49" s="240" t="s">
        <v>1855</v>
      </c>
      <c r="F49" s="240" t="s">
        <v>1856</v>
      </c>
      <c r="G49" s="240" t="s">
        <v>1857</v>
      </c>
      <c r="H49" s="240" t="s">
        <v>1868</v>
      </c>
      <c r="I49" s="240" t="s">
        <v>1869</v>
      </c>
      <c r="J49" s="240" t="s">
        <v>1870</v>
      </c>
      <c r="K49" s="240">
        <v>3</v>
      </c>
      <c r="L49" s="240">
        <v>3</v>
      </c>
      <c r="M49" s="240" t="str">
        <f>IF((IF(E49="",0,COUNTIFS(Montagem_Vigas!$E:$E,E49,Montagem_Vigas!$F:$F,"SIM"))+IF(F49="",0,COUNTIFS(Montagem_Vigas!$E:$E,F49,Montagem_Vigas!$F:$F,"SIM"))+IF(G49="",0,COUNTIFS(Montagem_Vigas!$E:$E,G49,Montagem_Vigas!$F:$F,"SIM")))=K49,"OK","PENDENTE")</f>
        <v>OK</v>
      </c>
      <c r="N49" s="265" t="str">
        <f>IF((IF(H49="",0,COUNTIFS(Montagem_Vigas!$E:$E,H49,Montagem_Vigas!$F:$F,"SIM"))+IF(I49="",0,COUNTIFS(Montagem_Vigas!$E:$E,I49,Montagem_Vigas!$F:$F,"SIM"))+IF(J49="",0,COUNTIFS(Montagem_Vigas!$E:$E,J49,Montagem_Vigas!$F:$F,"SIM")))=L49,"OK","PENDENTE")</f>
        <v>OK</v>
      </c>
      <c r="O49" s="265" t="str">
        <f t="shared" si="14"/>
        <v>LIBERADO</v>
      </c>
      <c r="P49" s="265">
        <f>SUM(IF(E49="",0,COUNTIFS(Montagem_Vigas!$E:$E,E49,Montagem_Vigas!$F:$F,"SIM")),IF(F49="",0,COUNTIFS(Montagem_Vigas!$E:$E,F49,Montagem_Vigas!$F:$F,"SIM")),IF(G49="",0,COUNTIFS(Montagem_Vigas!$E:$E,G49,Montagem_Vigas!$F:$F,"SIM")),IF(H49="",0,COUNTIFS(Montagem_Vigas!$E:$E,H49,Montagem_Vigas!$F:$F,"SIM")),IF(I49="",0,COUNTIFS(Montagem_Vigas!$E:$E,I49,Montagem_Vigas!$F:$F,"SIM")),IF(J49="",0,COUNTIFS(Montagem_Vigas!$E:$E,J49,Montagem_Vigas!$F:$F,"SIM")))</f>
        <v>6</v>
      </c>
      <c r="Q49" s="240">
        <f t="shared" si="15"/>
        <v>0</v>
      </c>
      <c r="R49" s="240">
        <f t="shared" si="16"/>
        <v>0</v>
      </c>
      <c r="S49" s="240" t="str">
        <f t="shared" si="17"/>
        <v>LIBERADO P/ JOIST</v>
      </c>
      <c r="T49" s="240" t="str">
        <f t="shared" si="18"/>
        <v>OK</v>
      </c>
      <c r="U49" s="240" t="s">
        <v>1982</v>
      </c>
      <c r="W49" t="s">
        <v>1942</v>
      </c>
      <c r="X49" s="284">
        <v>0</v>
      </c>
      <c r="Y49" s="284">
        <v>0</v>
      </c>
      <c r="Z49" s="284">
        <v>0</v>
      </c>
      <c r="AA49">
        <f t="shared" si="19"/>
        <v>0</v>
      </c>
      <c r="AB49">
        <f t="shared" si="20"/>
        <v>0</v>
      </c>
      <c r="AC49">
        <f t="shared" si="21"/>
        <v>0</v>
      </c>
      <c r="AD49">
        <f t="shared" si="22"/>
        <v>0</v>
      </c>
      <c r="AE49">
        <f t="shared" si="23"/>
        <v>0</v>
      </c>
      <c r="AF49" t="str">
        <f t="shared" si="24"/>
        <v>OK</v>
      </c>
    </row>
    <row r="50" spans="1:32" x14ac:dyDescent="0.25">
      <c r="A50" t="s">
        <v>1985</v>
      </c>
      <c r="B50">
        <v>16</v>
      </c>
      <c r="C50">
        <v>17</v>
      </c>
      <c r="D50" t="s">
        <v>1732</v>
      </c>
      <c r="E50" t="s">
        <v>1857</v>
      </c>
      <c r="F50" t="s">
        <v>1858</v>
      </c>
      <c r="G50" t="s">
        <v>1859</v>
      </c>
      <c r="H50" t="s">
        <v>1870</v>
      </c>
      <c r="I50" t="s">
        <v>1871</v>
      </c>
      <c r="J50" t="s">
        <v>1872</v>
      </c>
      <c r="K50">
        <v>3</v>
      </c>
      <c r="L50">
        <v>3</v>
      </c>
      <c r="M50" t="str">
        <f>IF((IF(E50="",0,COUNTIFS(Montagem_Vigas!$E:$E,E50,Montagem_Vigas!$F:$F,"SIM"))+IF(F50="",0,COUNTIFS(Montagem_Vigas!$E:$E,F50,Montagem_Vigas!$F:$F,"SIM"))+IF(G50="",0,COUNTIFS(Montagem_Vigas!$E:$E,G50,Montagem_Vigas!$F:$F,"SIM")))=K50,"OK","PENDENTE")</f>
        <v>OK</v>
      </c>
      <c r="N50" t="str">
        <f>IF((IF(H50="",0,COUNTIFS(Montagem_Vigas!$E:$E,H50,Montagem_Vigas!$F:$F,"SIM"))+IF(I50="",0,COUNTIFS(Montagem_Vigas!$E:$E,I50,Montagem_Vigas!$F:$F,"SIM"))+IF(J50="",0,COUNTIFS(Montagem_Vigas!$E:$E,J50,Montagem_Vigas!$F:$F,"SIM")))=L50,"OK","PENDENTE")</f>
        <v>PENDENTE</v>
      </c>
      <c r="O50" t="str">
        <f t="shared" si="14"/>
        <v>BLOQUEADO</v>
      </c>
      <c r="P50">
        <f>SUM(IF(E50="",0,COUNTIFS(Montagem_Vigas!$E:$E,E50,Montagem_Vigas!$F:$F,"SIM")),IF(F50="",0,COUNTIFS(Montagem_Vigas!$E:$E,F50,Montagem_Vigas!$F:$F,"SIM")),IF(G50="",0,COUNTIFS(Montagem_Vigas!$E:$E,G50,Montagem_Vigas!$F:$F,"SIM")),IF(H50="",0,COUNTIFS(Montagem_Vigas!$E:$E,H50,Montagem_Vigas!$F:$F,"SIM")),IF(I50="",0,COUNTIFS(Montagem_Vigas!$E:$E,I50,Montagem_Vigas!$F:$F,"SIM")),IF(J50="",0,COUNTIFS(Montagem_Vigas!$E:$E,J50,Montagem_Vigas!$F:$F,"SIM")))</f>
        <v>4</v>
      </c>
      <c r="Q50">
        <f t="shared" si="15"/>
        <v>0</v>
      </c>
      <c r="R50">
        <f t="shared" si="16"/>
        <v>0</v>
      </c>
      <c r="S50" t="str">
        <f t="shared" si="17"/>
        <v>AGUARDANDO ESTRUTURA</v>
      </c>
      <c r="T50" t="str">
        <f t="shared" si="18"/>
        <v>PENDENTE</v>
      </c>
      <c r="U50" t="s">
        <v>1982</v>
      </c>
      <c r="W50" t="s">
        <v>1942</v>
      </c>
      <c r="X50" s="284">
        <v>0</v>
      </c>
      <c r="Y50" s="284">
        <v>0</v>
      </c>
      <c r="Z50" s="284">
        <v>0</v>
      </c>
      <c r="AA50">
        <f t="shared" si="19"/>
        <v>0</v>
      </c>
      <c r="AB50">
        <f t="shared" si="20"/>
        <v>0</v>
      </c>
      <c r="AC50">
        <f t="shared" si="21"/>
        <v>0</v>
      </c>
      <c r="AD50">
        <f t="shared" si="22"/>
        <v>0</v>
      </c>
      <c r="AE50">
        <f t="shared" si="23"/>
        <v>0</v>
      </c>
      <c r="AF50" t="str">
        <f t="shared" si="24"/>
        <v>OK</v>
      </c>
    </row>
    <row r="51" spans="1:32" x14ac:dyDescent="0.25">
      <c r="A51" t="s">
        <v>1986</v>
      </c>
      <c r="B51">
        <v>16</v>
      </c>
      <c r="C51">
        <v>17</v>
      </c>
      <c r="D51" t="s">
        <v>1734</v>
      </c>
      <c r="E51" t="s">
        <v>1859</v>
      </c>
      <c r="F51" t="s">
        <v>1860</v>
      </c>
      <c r="G51" t="s">
        <v>1861</v>
      </c>
      <c r="H51" t="s">
        <v>1872</v>
      </c>
      <c r="I51" t="s">
        <v>1873</v>
      </c>
      <c r="J51" t="s">
        <v>1874</v>
      </c>
      <c r="K51">
        <v>3</v>
      </c>
      <c r="L51">
        <v>3</v>
      </c>
      <c r="M51" t="str">
        <f>IF((IF(E51="",0,COUNTIFS(Montagem_Vigas!$E:$E,E51,Montagem_Vigas!$F:$F,"SIM"))+IF(F51="",0,COUNTIFS(Montagem_Vigas!$E:$E,F51,Montagem_Vigas!$F:$F,"SIM"))+IF(G51="",0,COUNTIFS(Montagem_Vigas!$E:$E,G51,Montagem_Vigas!$F:$F,"SIM")))=K51,"OK","PENDENTE")</f>
        <v>OK</v>
      </c>
      <c r="N51" t="str">
        <f>IF((IF(H51="",0,COUNTIFS(Montagem_Vigas!$E:$E,H51,Montagem_Vigas!$F:$F,"SIM"))+IF(I51="",0,COUNTIFS(Montagem_Vigas!$E:$E,I51,Montagem_Vigas!$F:$F,"SIM"))+IF(J51="",0,COUNTIFS(Montagem_Vigas!$E:$E,J51,Montagem_Vigas!$F:$F,"SIM")))=L51,"OK","PENDENTE")</f>
        <v>PENDENTE</v>
      </c>
      <c r="O51" t="str">
        <f t="shared" si="14"/>
        <v>BLOQUEADO</v>
      </c>
      <c r="P51">
        <f>SUM(IF(E51="",0,COUNTIFS(Montagem_Vigas!$E:$E,E51,Montagem_Vigas!$F:$F,"SIM")),IF(F51="",0,COUNTIFS(Montagem_Vigas!$E:$E,F51,Montagem_Vigas!$F:$F,"SIM")),IF(G51="",0,COUNTIFS(Montagem_Vigas!$E:$E,G51,Montagem_Vigas!$F:$F,"SIM")),IF(H51="",0,COUNTIFS(Montagem_Vigas!$E:$E,H51,Montagem_Vigas!$F:$F,"SIM")),IF(I51="",0,COUNTIFS(Montagem_Vigas!$E:$E,I51,Montagem_Vigas!$F:$F,"SIM")),IF(J51="",0,COUNTIFS(Montagem_Vigas!$E:$E,J51,Montagem_Vigas!$F:$F,"SIM")))</f>
        <v>3</v>
      </c>
      <c r="Q51">
        <f t="shared" si="15"/>
        <v>0</v>
      </c>
      <c r="R51">
        <f t="shared" si="16"/>
        <v>0</v>
      </c>
      <c r="S51" t="str">
        <f t="shared" si="17"/>
        <v>AGUARDANDO ESTRUTURA</v>
      </c>
      <c r="T51" t="str">
        <f t="shared" si="18"/>
        <v>PENDENTE</v>
      </c>
      <c r="U51" t="s">
        <v>1982</v>
      </c>
      <c r="W51" t="s">
        <v>1942</v>
      </c>
      <c r="X51" s="284">
        <v>0</v>
      </c>
      <c r="Y51" s="284">
        <v>0</v>
      </c>
      <c r="Z51" s="284">
        <v>0</v>
      </c>
      <c r="AA51">
        <f t="shared" si="19"/>
        <v>0</v>
      </c>
      <c r="AB51">
        <f t="shared" si="20"/>
        <v>0</v>
      </c>
      <c r="AC51">
        <f t="shared" si="21"/>
        <v>0</v>
      </c>
      <c r="AD51">
        <f t="shared" si="22"/>
        <v>0</v>
      </c>
      <c r="AE51">
        <f t="shared" si="23"/>
        <v>0</v>
      </c>
      <c r="AF51" t="str">
        <f t="shared" si="24"/>
        <v>OK</v>
      </c>
    </row>
    <row r="52" spans="1:32" x14ac:dyDescent="0.25">
      <c r="A52" t="s">
        <v>1987</v>
      </c>
      <c r="B52">
        <v>16</v>
      </c>
      <c r="C52">
        <v>17</v>
      </c>
      <c r="D52" t="s">
        <v>1736</v>
      </c>
      <c r="E52" t="s">
        <v>1861</v>
      </c>
      <c r="F52" t="s">
        <v>1862</v>
      </c>
      <c r="G52" t="s">
        <v>1863</v>
      </c>
      <c r="H52" t="s">
        <v>1874</v>
      </c>
      <c r="I52" t="s">
        <v>1875</v>
      </c>
      <c r="J52" t="s">
        <v>1876</v>
      </c>
      <c r="K52">
        <v>3</v>
      </c>
      <c r="L52">
        <v>3</v>
      </c>
      <c r="M52" t="str">
        <f>IF((IF(E52="",0,COUNTIFS(Montagem_Vigas!$E:$E,E52,Montagem_Vigas!$F:$F,"SIM"))+IF(F52="",0,COUNTIFS(Montagem_Vigas!$E:$E,F52,Montagem_Vigas!$F:$F,"SIM"))+IF(G52="",0,COUNTIFS(Montagem_Vigas!$E:$E,G52,Montagem_Vigas!$F:$F,"SIM")))=K52,"OK","PENDENTE")</f>
        <v>OK</v>
      </c>
      <c r="N52" t="str">
        <f>IF((IF(H52="",0,COUNTIFS(Montagem_Vigas!$E:$E,H52,Montagem_Vigas!$F:$F,"SIM"))+IF(I52="",0,COUNTIFS(Montagem_Vigas!$E:$E,I52,Montagem_Vigas!$F:$F,"SIM"))+IF(J52="",0,COUNTIFS(Montagem_Vigas!$E:$E,J52,Montagem_Vigas!$F:$F,"SIM")))=L52,"OK","PENDENTE")</f>
        <v>PENDENTE</v>
      </c>
      <c r="O52" t="str">
        <f t="shared" si="14"/>
        <v>BLOQUEADO</v>
      </c>
      <c r="P52">
        <f>SUM(IF(E52="",0,COUNTIFS(Montagem_Vigas!$E:$E,E52,Montagem_Vigas!$F:$F,"SIM")),IF(F52="",0,COUNTIFS(Montagem_Vigas!$E:$E,F52,Montagem_Vigas!$F:$F,"SIM")),IF(G52="",0,COUNTIFS(Montagem_Vigas!$E:$E,G52,Montagem_Vigas!$F:$F,"SIM")),IF(H52="",0,COUNTIFS(Montagem_Vigas!$E:$E,H52,Montagem_Vigas!$F:$F,"SIM")),IF(I52="",0,COUNTIFS(Montagem_Vigas!$E:$E,I52,Montagem_Vigas!$F:$F,"SIM")),IF(J52="",0,COUNTIFS(Montagem_Vigas!$E:$E,J52,Montagem_Vigas!$F:$F,"SIM")))</f>
        <v>3</v>
      </c>
      <c r="Q52">
        <f t="shared" si="15"/>
        <v>0</v>
      </c>
      <c r="R52">
        <f t="shared" si="16"/>
        <v>0</v>
      </c>
      <c r="S52" t="str">
        <f t="shared" si="17"/>
        <v>AGUARDANDO ESTRUTURA</v>
      </c>
      <c r="T52" t="str">
        <f t="shared" si="18"/>
        <v>PENDENTE</v>
      </c>
      <c r="U52" t="s">
        <v>1982</v>
      </c>
      <c r="W52" t="s">
        <v>1942</v>
      </c>
      <c r="X52" s="284">
        <v>0</v>
      </c>
      <c r="Y52" s="284">
        <v>0</v>
      </c>
      <c r="Z52" s="284">
        <v>0</v>
      </c>
      <c r="AA52">
        <f t="shared" si="19"/>
        <v>0</v>
      </c>
      <c r="AB52">
        <f t="shared" si="20"/>
        <v>0</v>
      </c>
      <c r="AC52">
        <f t="shared" si="21"/>
        <v>0</v>
      </c>
      <c r="AD52">
        <f t="shared" si="22"/>
        <v>0</v>
      </c>
      <c r="AE52">
        <f t="shared" si="23"/>
        <v>0</v>
      </c>
      <c r="AF52" t="str">
        <f t="shared" si="24"/>
        <v>OK</v>
      </c>
    </row>
    <row r="53" spans="1:32" x14ac:dyDescent="0.25">
      <c r="A53" t="s">
        <v>1988</v>
      </c>
      <c r="B53">
        <v>16</v>
      </c>
      <c r="C53">
        <v>17</v>
      </c>
      <c r="D53" t="s">
        <v>1939</v>
      </c>
      <c r="E53" t="s">
        <v>1863</v>
      </c>
      <c r="F53" t="s">
        <v>1864</v>
      </c>
      <c r="H53" t="s">
        <v>1876</v>
      </c>
      <c r="I53" t="s">
        <v>1877</v>
      </c>
      <c r="K53">
        <v>2</v>
      </c>
      <c r="L53">
        <v>2</v>
      </c>
      <c r="M53" t="str">
        <f>IF((IF(E53="",0,COUNTIFS(Montagem_Vigas!$E:$E,E53,Montagem_Vigas!$F:$F,"SIM"))+IF(F53="",0,COUNTIFS(Montagem_Vigas!$E:$E,F53,Montagem_Vigas!$F:$F,"SIM"))+IF(G53="",0,COUNTIFS(Montagem_Vigas!$E:$E,G53,Montagem_Vigas!$F:$F,"SIM")))=K53,"OK","PENDENTE")</f>
        <v>OK</v>
      </c>
      <c r="N53" t="str">
        <f>IF((IF(H53="",0,COUNTIFS(Montagem_Vigas!$E:$E,H53,Montagem_Vigas!$F:$F,"SIM"))+IF(I53="",0,COUNTIFS(Montagem_Vigas!$E:$E,I53,Montagem_Vigas!$F:$F,"SIM"))+IF(J53="",0,COUNTIFS(Montagem_Vigas!$E:$E,J53,Montagem_Vigas!$F:$F,"SIM")))=L53,"OK","PENDENTE")</f>
        <v>PENDENTE</v>
      </c>
      <c r="O53" t="str">
        <f t="shared" si="14"/>
        <v>BLOQUEADO</v>
      </c>
      <c r="P53">
        <f>SUM(IF(E53="",0,COUNTIFS(Montagem_Vigas!$E:$E,E53,Montagem_Vigas!$F:$F,"SIM")),IF(F53="",0,COUNTIFS(Montagem_Vigas!$E:$E,F53,Montagem_Vigas!$F:$F,"SIM")),IF(G53="",0,COUNTIFS(Montagem_Vigas!$E:$E,G53,Montagem_Vigas!$F:$F,"SIM")),IF(H53="",0,COUNTIFS(Montagem_Vigas!$E:$E,H53,Montagem_Vigas!$F:$F,"SIM")),IF(I53="",0,COUNTIFS(Montagem_Vigas!$E:$E,I53,Montagem_Vigas!$F:$F,"SIM")),IF(J53="",0,COUNTIFS(Montagem_Vigas!$E:$E,J53,Montagem_Vigas!$F:$F,"SIM")))</f>
        <v>2</v>
      </c>
      <c r="Q53">
        <f t="shared" si="15"/>
        <v>0</v>
      </c>
      <c r="R53">
        <f t="shared" si="16"/>
        <v>0</v>
      </c>
      <c r="S53" t="str">
        <f t="shared" si="17"/>
        <v>AGUARDANDO ESTRUTURA</v>
      </c>
      <c r="T53" t="str">
        <f t="shared" si="18"/>
        <v>PENDENTE</v>
      </c>
      <c r="U53" t="s">
        <v>1982</v>
      </c>
      <c r="W53" t="s">
        <v>1942</v>
      </c>
      <c r="X53" s="284">
        <v>0</v>
      </c>
      <c r="Y53" s="284">
        <v>0</v>
      </c>
      <c r="Z53" s="284">
        <v>0</v>
      </c>
      <c r="AA53">
        <f t="shared" si="19"/>
        <v>0</v>
      </c>
      <c r="AB53">
        <f t="shared" si="20"/>
        <v>0</v>
      </c>
      <c r="AC53">
        <f t="shared" si="21"/>
        <v>0</v>
      </c>
      <c r="AD53">
        <f t="shared" si="22"/>
        <v>0</v>
      </c>
      <c r="AE53">
        <f t="shared" si="23"/>
        <v>0</v>
      </c>
      <c r="AF53" t="str">
        <f t="shared" si="24"/>
        <v>OK</v>
      </c>
    </row>
    <row r="54" spans="1:32" hidden="1" x14ac:dyDescent="0.25">
      <c r="A54" t="s">
        <v>1989</v>
      </c>
      <c r="B54">
        <v>17</v>
      </c>
      <c r="C54">
        <v>18</v>
      </c>
      <c r="D54" t="s">
        <v>1930</v>
      </c>
      <c r="E54" t="s">
        <v>1865</v>
      </c>
      <c r="F54" t="s">
        <v>1866</v>
      </c>
      <c r="H54" t="s">
        <v>1878</v>
      </c>
      <c r="I54" t="s">
        <v>1879</v>
      </c>
      <c r="K54">
        <v>2</v>
      </c>
      <c r="L54">
        <v>2</v>
      </c>
      <c r="M54" t="str">
        <f>IF((IF(E54="",0,COUNTIFS(Montagem_Vigas!$E:$E,E54,Montagem_Vigas!$F:$F,"SIM"))+IF(F54="",0,COUNTIFS(Montagem_Vigas!$E:$E,F54,Montagem_Vigas!$F:$F,"SIM"))+IF(G54="",0,COUNTIFS(Montagem_Vigas!$E:$E,G54,Montagem_Vigas!$F:$F,"SIM")))=K54,"OK","PENDENTE")</f>
        <v>PENDENTE</v>
      </c>
      <c r="N54" t="str">
        <f>IF((IF(H54="",0,COUNTIFS(Montagem_Vigas!$E:$E,H54,Montagem_Vigas!$F:$F,"SIM"))+IF(I54="",0,COUNTIFS(Montagem_Vigas!$E:$E,I54,Montagem_Vigas!$F:$F,"SIM"))+IF(J54="",0,COUNTIFS(Montagem_Vigas!$E:$E,J54,Montagem_Vigas!$F:$F,"SIM")))=L54,"OK","PENDENTE")</f>
        <v>PENDENTE</v>
      </c>
      <c r="O54" t="str">
        <f t="shared" si="14"/>
        <v>BLOQUEADO</v>
      </c>
      <c r="P54">
        <f>SUM(IF(E54="",0,COUNTIFS(Montagem_Vigas!$E:$E,E54,Montagem_Vigas!$F:$F,"SIM")),IF(F54="",0,COUNTIFS(Montagem_Vigas!$E:$E,F54,Montagem_Vigas!$F:$F,"SIM")),IF(G54="",0,COUNTIFS(Montagem_Vigas!$E:$E,G54,Montagem_Vigas!$F:$F,"SIM")),IF(H54="",0,COUNTIFS(Montagem_Vigas!$E:$E,H54,Montagem_Vigas!$F:$F,"SIM")),IF(I54="",0,COUNTIFS(Montagem_Vigas!$E:$E,I54,Montagem_Vigas!$F:$F,"SIM")),IF(J54="",0,COUNTIFS(Montagem_Vigas!$E:$E,J54,Montagem_Vigas!$F:$F,"SIM")))</f>
        <v>2</v>
      </c>
      <c r="Q54">
        <f t="shared" si="15"/>
        <v>0</v>
      </c>
      <c r="R54">
        <f t="shared" si="16"/>
        <v>0</v>
      </c>
      <c r="S54" t="str">
        <f t="shared" si="17"/>
        <v>AGUARDANDO ESTRUTURA</v>
      </c>
      <c r="T54" t="str">
        <f t="shared" si="18"/>
        <v>PENDENTE</v>
      </c>
      <c r="U54" t="s">
        <v>1990</v>
      </c>
      <c r="W54" t="s">
        <v>1942</v>
      </c>
      <c r="X54" s="284">
        <v>0</v>
      </c>
      <c r="Y54" s="284">
        <v>0</v>
      </c>
      <c r="Z54" s="284">
        <v>0</v>
      </c>
      <c r="AA54">
        <f t="shared" si="19"/>
        <v>0</v>
      </c>
      <c r="AB54">
        <f t="shared" si="20"/>
        <v>0</v>
      </c>
      <c r="AC54">
        <f t="shared" si="21"/>
        <v>0</v>
      </c>
      <c r="AD54">
        <f t="shared" si="22"/>
        <v>0</v>
      </c>
      <c r="AE54">
        <f t="shared" si="23"/>
        <v>0</v>
      </c>
      <c r="AF54" t="str">
        <f t="shared" si="24"/>
        <v>OK</v>
      </c>
    </row>
    <row r="55" spans="1:32" hidden="1" x14ac:dyDescent="0.25">
      <c r="A55" t="s">
        <v>1991</v>
      </c>
      <c r="B55">
        <v>17</v>
      </c>
      <c r="C55">
        <v>18</v>
      </c>
      <c r="D55" t="s">
        <v>1725</v>
      </c>
      <c r="E55" t="s">
        <v>1866</v>
      </c>
      <c r="F55" t="s">
        <v>1867</v>
      </c>
      <c r="G55" t="s">
        <v>1868</v>
      </c>
      <c r="H55" t="s">
        <v>1879</v>
      </c>
      <c r="I55" t="s">
        <v>1880</v>
      </c>
      <c r="J55" t="s">
        <v>1881</v>
      </c>
      <c r="K55">
        <v>3</v>
      </c>
      <c r="L55">
        <v>3</v>
      </c>
      <c r="M55" t="str">
        <f>IF((IF(E55="",0,COUNTIFS(Montagem_Vigas!$E:$E,E55,Montagem_Vigas!$F:$F,"SIM"))+IF(F55="",0,COUNTIFS(Montagem_Vigas!$E:$E,F55,Montagem_Vigas!$F:$F,"SIM"))+IF(G55="",0,COUNTIFS(Montagem_Vigas!$E:$E,G55,Montagem_Vigas!$F:$F,"SIM")))=K55,"OK","PENDENTE")</f>
        <v>OK</v>
      </c>
      <c r="N55" t="str">
        <f>IF((IF(H55="",0,COUNTIFS(Montagem_Vigas!$E:$E,H55,Montagem_Vigas!$F:$F,"SIM"))+IF(I55="",0,COUNTIFS(Montagem_Vigas!$E:$E,I55,Montagem_Vigas!$F:$F,"SIM"))+IF(J55="",0,COUNTIFS(Montagem_Vigas!$E:$E,J55,Montagem_Vigas!$F:$F,"SIM")))=L55,"OK","PENDENTE")</f>
        <v>OK</v>
      </c>
      <c r="O55" t="str">
        <f t="shared" si="14"/>
        <v>LIBERADO</v>
      </c>
      <c r="P55">
        <f>SUM(IF(E55="",0,COUNTIFS(Montagem_Vigas!$E:$E,E55,Montagem_Vigas!$F:$F,"SIM")),IF(F55="",0,COUNTIFS(Montagem_Vigas!$E:$E,F55,Montagem_Vigas!$F:$F,"SIM")),IF(G55="",0,COUNTIFS(Montagem_Vigas!$E:$E,G55,Montagem_Vigas!$F:$F,"SIM")),IF(H55="",0,COUNTIFS(Montagem_Vigas!$E:$E,H55,Montagem_Vigas!$F:$F,"SIM")),IF(I55="",0,COUNTIFS(Montagem_Vigas!$E:$E,I55,Montagem_Vigas!$F:$F,"SIM")),IF(J55="",0,COUNTIFS(Montagem_Vigas!$E:$E,J55,Montagem_Vigas!$F:$F,"SIM")))</f>
        <v>6</v>
      </c>
      <c r="Q55">
        <f t="shared" si="15"/>
        <v>0</v>
      </c>
      <c r="R55">
        <f t="shared" si="16"/>
        <v>0</v>
      </c>
      <c r="S55" t="str">
        <f t="shared" si="17"/>
        <v>LIBERADO P/ JOIST</v>
      </c>
      <c r="T55" t="str">
        <f t="shared" si="18"/>
        <v>OK</v>
      </c>
      <c r="U55" t="s">
        <v>1990</v>
      </c>
      <c r="W55" t="s">
        <v>1942</v>
      </c>
      <c r="X55" s="284">
        <v>0</v>
      </c>
      <c r="Y55" s="284">
        <v>0</v>
      </c>
      <c r="Z55" s="284">
        <v>0</v>
      </c>
      <c r="AA55">
        <f t="shared" si="19"/>
        <v>0</v>
      </c>
      <c r="AB55">
        <f t="shared" si="20"/>
        <v>0</v>
      </c>
      <c r="AC55">
        <f t="shared" si="21"/>
        <v>0</v>
      </c>
      <c r="AD55">
        <f t="shared" si="22"/>
        <v>0</v>
      </c>
      <c r="AE55">
        <f t="shared" si="23"/>
        <v>0</v>
      </c>
      <c r="AF55" t="str">
        <f t="shared" si="24"/>
        <v>OK</v>
      </c>
    </row>
    <row r="56" spans="1:32" hidden="1" x14ac:dyDescent="0.25">
      <c r="A56" t="s">
        <v>1992</v>
      </c>
      <c r="B56">
        <v>17</v>
      </c>
      <c r="C56">
        <v>18</v>
      </c>
      <c r="D56" t="s">
        <v>1730</v>
      </c>
      <c r="E56" t="s">
        <v>1868</v>
      </c>
      <c r="F56" t="s">
        <v>1869</v>
      </c>
      <c r="G56" t="s">
        <v>1870</v>
      </c>
      <c r="H56" t="s">
        <v>1881</v>
      </c>
      <c r="I56" t="s">
        <v>1882</v>
      </c>
      <c r="J56" t="s">
        <v>1883</v>
      </c>
      <c r="K56">
        <v>3</v>
      </c>
      <c r="L56">
        <v>3</v>
      </c>
      <c r="M56" t="str">
        <f>IF((IF(E56="",0,COUNTIFS(Montagem_Vigas!$E:$E,E56,Montagem_Vigas!$F:$F,"SIM"))+IF(F56="",0,COUNTIFS(Montagem_Vigas!$E:$E,F56,Montagem_Vigas!$F:$F,"SIM"))+IF(G56="",0,COUNTIFS(Montagem_Vigas!$E:$E,G56,Montagem_Vigas!$F:$F,"SIM")))=K56,"OK","PENDENTE")</f>
        <v>OK</v>
      </c>
      <c r="N56" t="str">
        <f>IF((IF(H56="",0,COUNTIFS(Montagem_Vigas!$E:$E,H56,Montagem_Vigas!$F:$F,"SIM"))+IF(I56="",0,COUNTIFS(Montagem_Vigas!$E:$E,I56,Montagem_Vigas!$F:$F,"SIM"))+IF(J56="",0,COUNTIFS(Montagem_Vigas!$E:$E,J56,Montagem_Vigas!$F:$F,"SIM")))=L56,"OK","PENDENTE")</f>
        <v>OK</v>
      </c>
      <c r="O56" t="str">
        <f t="shared" si="14"/>
        <v>LIBERADO</v>
      </c>
      <c r="P56">
        <f>SUM(IF(E56="",0,COUNTIFS(Montagem_Vigas!$E:$E,E56,Montagem_Vigas!$F:$F,"SIM")),IF(F56="",0,COUNTIFS(Montagem_Vigas!$E:$E,F56,Montagem_Vigas!$F:$F,"SIM")),IF(G56="",0,COUNTIFS(Montagem_Vigas!$E:$E,G56,Montagem_Vigas!$F:$F,"SIM")),IF(H56="",0,COUNTIFS(Montagem_Vigas!$E:$E,H56,Montagem_Vigas!$F:$F,"SIM")),IF(I56="",0,COUNTIFS(Montagem_Vigas!$E:$E,I56,Montagem_Vigas!$F:$F,"SIM")),IF(J56="",0,COUNTIFS(Montagem_Vigas!$E:$E,J56,Montagem_Vigas!$F:$F,"SIM")))</f>
        <v>6</v>
      </c>
      <c r="Q56">
        <f t="shared" si="15"/>
        <v>0</v>
      </c>
      <c r="R56">
        <f t="shared" si="16"/>
        <v>0</v>
      </c>
      <c r="S56" t="str">
        <f t="shared" si="17"/>
        <v>LIBERADO P/ JOIST</v>
      </c>
      <c r="T56" t="str">
        <f t="shared" si="18"/>
        <v>OK</v>
      </c>
      <c r="U56" t="s">
        <v>1990</v>
      </c>
      <c r="W56" t="s">
        <v>1942</v>
      </c>
      <c r="X56" s="284">
        <v>0</v>
      </c>
      <c r="Y56" s="284">
        <v>0</v>
      </c>
      <c r="Z56" s="284">
        <v>0</v>
      </c>
      <c r="AA56">
        <f t="shared" si="19"/>
        <v>0</v>
      </c>
      <c r="AB56">
        <f t="shared" si="20"/>
        <v>0</v>
      </c>
      <c r="AC56">
        <f t="shared" si="21"/>
        <v>0</v>
      </c>
      <c r="AD56">
        <f t="shared" si="22"/>
        <v>0</v>
      </c>
      <c r="AE56">
        <f t="shared" si="23"/>
        <v>0</v>
      </c>
      <c r="AF56" t="str">
        <f t="shared" si="24"/>
        <v>OK</v>
      </c>
    </row>
    <row r="57" spans="1:32" hidden="1" x14ac:dyDescent="0.25">
      <c r="A57" t="s">
        <v>1993</v>
      </c>
      <c r="B57">
        <v>17</v>
      </c>
      <c r="C57">
        <v>18</v>
      </c>
      <c r="D57" t="s">
        <v>1732</v>
      </c>
      <c r="E57" t="s">
        <v>1870</v>
      </c>
      <c r="F57" t="s">
        <v>1871</v>
      </c>
      <c r="G57" t="s">
        <v>1872</v>
      </c>
      <c r="H57" t="s">
        <v>1883</v>
      </c>
      <c r="I57" t="s">
        <v>1884</v>
      </c>
      <c r="J57" t="s">
        <v>1885</v>
      </c>
      <c r="K57">
        <v>3</v>
      </c>
      <c r="L57">
        <v>3</v>
      </c>
      <c r="M57" t="str">
        <f>IF((IF(E57="",0,COUNTIFS(Montagem_Vigas!$E:$E,E57,Montagem_Vigas!$F:$F,"SIM"))+IF(F57="",0,COUNTIFS(Montagem_Vigas!$E:$E,F57,Montagem_Vigas!$F:$F,"SIM"))+IF(G57="",0,COUNTIFS(Montagem_Vigas!$E:$E,G57,Montagem_Vigas!$F:$F,"SIM")))=K57,"OK","PENDENTE")</f>
        <v>PENDENTE</v>
      </c>
      <c r="N57" t="str">
        <f>IF((IF(H57="",0,COUNTIFS(Montagem_Vigas!$E:$E,H57,Montagem_Vigas!$F:$F,"SIM"))+IF(I57="",0,COUNTIFS(Montagem_Vigas!$E:$E,I57,Montagem_Vigas!$F:$F,"SIM"))+IF(J57="",0,COUNTIFS(Montagem_Vigas!$E:$E,J57,Montagem_Vigas!$F:$F,"SIM")))=L57,"OK","PENDENTE")</f>
        <v>PENDENTE</v>
      </c>
      <c r="O57" t="str">
        <f t="shared" si="14"/>
        <v>BLOQUEADO</v>
      </c>
      <c r="P57">
        <f>SUM(IF(E57="",0,COUNTIFS(Montagem_Vigas!$E:$E,E57,Montagem_Vigas!$F:$F,"SIM")),IF(F57="",0,COUNTIFS(Montagem_Vigas!$E:$E,F57,Montagem_Vigas!$F:$F,"SIM")),IF(G57="",0,COUNTIFS(Montagem_Vigas!$E:$E,G57,Montagem_Vigas!$F:$F,"SIM")),IF(H57="",0,COUNTIFS(Montagem_Vigas!$E:$E,H57,Montagem_Vigas!$F:$F,"SIM")),IF(I57="",0,COUNTIFS(Montagem_Vigas!$E:$E,I57,Montagem_Vigas!$F:$F,"SIM")),IF(J57="",0,COUNTIFS(Montagem_Vigas!$E:$E,J57,Montagem_Vigas!$F:$F,"SIM")))</f>
        <v>2</v>
      </c>
      <c r="Q57">
        <f t="shared" si="15"/>
        <v>0</v>
      </c>
      <c r="R57">
        <f t="shared" si="16"/>
        <v>0</v>
      </c>
      <c r="S57" t="str">
        <f t="shared" si="17"/>
        <v>AGUARDANDO ESTRUTURA</v>
      </c>
      <c r="T57" t="str">
        <f t="shared" si="18"/>
        <v>PENDENTE</v>
      </c>
      <c r="U57" t="s">
        <v>1990</v>
      </c>
      <c r="W57" t="s">
        <v>1942</v>
      </c>
      <c r="X57" s="284">
        <v>0</v>
      </c>
      <c r="Y57" s="284">
        <v>0</v>
      </c>
      <c r="Z57" s="284">
        <v>0</v>
      </c>
      <c r="AA57">
        <f t="shared" si="19"/>
        <v>0</v>
      </c>
      <c r="AB57">
        <f t="shared" si="20"/>
        <v>0</v>
      </c>
      <c r="AC57">
        <f t="shared" si="21"/>
        <v>0</v>
      </c>
      <c r="AD57">
        <f t="shared" si="22"/>
        <v>0</v>
      </c>
      <c r="AE57">
        <f t="shared" si="23"/>
        <v>0</v>
      </c>
      <c r="AF57" t="str">
        <f t="shared" si="24"/>
        <v>OK</v>
      </c>
    </row>
    <row r="58" spans="1:32" hidden="1" x14ac:dyDescent="0.25">
      <c r="A58" t="s">
        <v>1994</v>
      </c>
      <c r="B58">
        <v>17</v>
      </c>
      <c r="C58">
        <v>18</v>
      </c>
      <c r="D58" t="s">
        <v>1734</v>
      </c>
      <c r="E58" t="s">
        <v>1872</v>
      </c>
      <c r="F58" t="s">
        <v>1873</v>
      </c>
      <c r="G58" t="s">
        <v>1874</v>
      </c>
      <c r="H58" t="s">
        <v>1885</v>
      </c>
      <c r="I58" t="s">
        <v>1886</v>
      </c>
      <c r="J58" t="s">
        <v>1887</v>
      </c>
      <c r="K58">
        <v>3</v>
      </c>
      <c r="L58">
        <v>3</v>
      </c>
      <c r="M58" t="str">
        <f>IF((IF(E58="",0,COUNTIFS(Montagem_Vigas!$E:$E,E58,Montagem_Vigas!$F:$F,"SIM"))+IF(F58="",0,COUNTIFS(Montagem_Vigas!$E:$E,F58,Montagem_Vigas!$F:$F,"SIM"))+IF(G58="",0,COUNTIFS(Montagem_Vigas!$E:$E,G58,Montagem_Vigas!$F:$F,"SIM")))=K58,"OK","PENDENTE")</f>
        <v>PENDENTE</v>
      </c>
      <c r="N58" t="str">
        <f>IF((IF(H58="",0,COUNTIFS(Montagem_Vigas!$E:$E,H58,Montagem_Vigas!$F:$F,"SIM"))+IF(I58="",0,COUNTIFS(Montagem_Vigas!$E:$E,I58,Montagem_Vigas!$F:$F,"SIM"))+IF(J58="",0,COUNTIFS(Montagem_Vigas!$E:$E,J58,Montagem_Vigas!$F:$F,"SIM")))=L58,"OK","PENDENTE")</f>
        <v>PENDENTE</v>
      </c>
      <c r="O58" t="str">
        <f t="shared" si="14"/>
        <v>BLOQUEADO</v>
      </c>
      <c r="P58">
        <f>SUM(IF(E58="",0,COUNTIFS(Montagem_Vigas!$E:$E,E58,Montagem_Vigas!$F:$F,"SIM")),IF(F58="",0,COUNTIFS(Montagem_Vigas!$E:$E,F58,Montagem_Vigas!$F:$F,"SIM")),IF(G58="",0,COUNTIFS(Montagem_Vigas!$E:$E,G58,Montagem_Vigas!$F:$F,"SIM")),IF(H58="",0,COUNTIFS(Montagem_Vigas!$E:$E,H58,Montagem_Vigas!$F:$F,"SIM")),IF(I58="",0,COUNTIFS(Montagem_Vigas!$E:$E,I58,Montagem_Vigas!$F:$F,"SIM")),IF(J58="",0,COUNTIFS(Montagem_Vigas!$E:$E,J58,Montagem_Vigas!$F:$F,"SIM")))</f>
        <v>0</v>
      </c>
      <c r="Q58">
        <f t="shared" si="15"/>
        <v>0</v>
      </c>
      <c r="R58">
        <f t="shared" si="16"/>
        <v>0</v>
      </c>
      <c r="S58" t="str">
        <f t="shared" si="17"/>
        <v>AGUARDANDO ESTRUTURA</v>
      </c>
      <c r="T58" t="str">
        <f t="shared" si="18"/>
        <v>PENDENTE</v>
      </c>
      <c r="U58" t="s">
        <v>1990</v>
      </c>
      <c r="W58" t="s">
        <v>1942</v>
      </c>
      <c r="X58" s="284">
        <v>0</v>
      </c>
      <c r="Y58" s="284">
        <v>0</v>
      </c>
      <c r="Z58" s="284">
        <v>0</v>
      </c>
      <c r="AA58">
        <f t="shared" si="19"/>
        <v>0</v>
      </c>
      <c r="AB58">
        <f t="shared" si="20"/>
        <v>0</v>
      </c>
      <c r="AC58">
        <f t="shared" si="21"/>
        <v>0</v>
      </c>
      <c r="AD58">
        <f t="shared" si="22"/>
        <v>0</v>
      </c>
      <c r="AE58">
        <f t="shared" si="23"/>
        <v>0</v>
      </c>
      <c r="AF58" t="str">
        <f t="shared" si="24"/>
        <v>OK</v>
      </c>
    </row>
    <row r="59" spans="1:32" hidden="1" x14ac:dyDescent="0.25">
      <c r="A59" t="s">
        <v>1995</v>
      </c>
      <c r="B59">
        <v>17</v>
      </c>
      <c r="C59">
        <v>18</v>
      </c>
      <c r="D59" t="s">
        <v>1736</v>
      </c>
      <c r="E59" t="s">
        <v>1874</v>
      </c>
      <c r="F59" t="s">
        <v>1875</v>
      </c>
      <c r="G59" t="s">
        <v>1876</v>
      </c>
      <c r="H59" t="s">
        <v>1887</v>
      </c>
      <c r="I59" t="s">
        <v>1888</v>
      </c>
      <c r="J59" t="s">
        <v>1889</v>
      </c>
      <c r="K59">
        <v>3</v>
      </c>
      <c r="L59">
        <v>3</v>
      </c>
      <c r="M59" t="str">
        <f>IF((IF(E59="",0,COUNTIFS(Montagem_Vigas!$E:$E,E59,Montagem_Vigas!$F:$F,"SIM"))+IF(F59="",0,COUNTIFS(Montagem_Vigas!$E:$E,F59,Montagem_Vigas!$F:$F,"SIM"))+IF(G59="",0,COUNTIFS(Montagem_Vigas!$E:$E,G59,Montagem_Vigas!$F:$F,"SIM")))=K59,"OK","PENDENTE")</f>
        <v>PENDENTE</v>
      </c>
      <c r="N59" t="str">
        <f>IF((IF(H59="",0,COUNTIFS(Montagem_Vigas!$E:$E,H59,Montagem_Vigas!$F:$F,"SIM"))+IF(I59="",0,COUNTIFS(Montagem_Vigas!$E:$E,I59,Montagem_Vigas!$F:$F,"SIM"))+IF(J59="",0,COUNTIFS(Montagem_Vigas!$E:$E,J59,Montagem_Vigas!$F:$F,"SIM")))=L59,"OK","PENDENTE")</f>
        <v>PENDENTE</v>
      </c>
      <c r="O59" t="str">
        <f t="shared" si="14"/>
        <v>BLOQUEADO</v>
      </c>
      <c r="P59">
        <f>SUM(IF(E59="",0,COUNTIFS(Montagem_Vigas!$E:$E,E59,Montagem_Vigas!$F:$F,"SIM")),IF(F59="",0,COUNTIFS(Montagem_Vigas!$E:$E,F59,Montagem_Vigas!$F:$F,"SIM")),IF(G59="",0,COUNTIFS(Montagem_Vigas!$E:$E,G59,Montagem_Vigas!$F:$F,"SIM")),IF(H59="",0,COUNTIFS(Montagem_Vigas!$E:$E,H59,Montagem_Vigas!$F:$F,"SIM")),IF(I59="",0,COUNTIFS(Montagem_Vigas!$E:$E,I59,Montagem_Vigas!$F:$F,"SIM")),IF(J59="",0,COUNTIFS(Montagem_Vigas!$E:$E,J59,Montagem_Vigas!$F:$F,"SIM")))</f>
        <v>0</v>
      </c>
      <c r="Q59">
        <f t="shared" si="15"/>
        <v>0</v>
      </c>
      <c r="R59">
        <f t="shared" si="16"/>
        <v>0</v>
      </c>
      <c r="S59" t="str">
        <f t="shared" si="17"/>
        <v>AGUARDANDO ESTRUTURA</v>
      </c>
      <c r="T59" t="str">
        <f t="shared" si="18"/>
        <v>PENDENTE</v>
      </c>
      <c r="U59" t="s">
        <v>1990</v>
      </c>
      <c r="W59" t="s">
        <v>1942</v>
      </c>
      <c r="X59" s="284">
        <v>0</v>
      </c>
      <c r="Y59" s="284">
        <v>0</v>
      </c>
      <c r="Z59" s="284">
        <v>0</v>
      </c>
      <c r="AA59">
        <f t="shared" si="19"/>
        <v>0</v>
      </c>
      <c r="AB59">
        <f t="shared" si="20"/>
        <v>0</v>
      </c>
      <c r="AC59">
        <f t="shared" si="21"/>
        <v>0</v>
      </c>
      <c r="AD59">
        <f t="shared" si="22"/>
        <v>0</v>
      </c>
      <c r="AE59">
        <f t="shared" si="23"/>
        <v>0</v>
      </c>
      <c r="AF59" t="str">
        <f t="shared" si="24"/>
        <v>OK</v>
      </c>
    </row>
    <row r="60" spans="1:32" hidden="1" x14ac:dyDescent="0.25">
      <c r="A60" t="s">
        <v>1996</v>
      </c>
      <c r="B60">
        <v>17</v>
      </c>
      <c r="C60">
        <v>18</v>
      </c>
      <c r="D60" t="s">
        <v>1939</v>
      </c>
      <c r="E60" t="s">
        <v>1876</v>
      </c>
      <c r="F60" t="s">
        <v>1877</v>
      </c>
      <c r="H60" t="s">
        <v>1889</v>
      </c>
      <c r="I60" t="s">
        <v>1890</v>
      </c>
      <c r="K60">
        <v>2</v>
      </c>
      <c r="L60">
        <v>2</v>
      </c>
      <c r="M60" t="str">
        <f>IF((IF(E60="",0,COUNTIFS(Montagem_Vigas!$E:$E,E60,Montagem_Vigas!$F:$F,"SIM"))+IF(F60="",0,COUNTIFS(Montagem_Vigas!$E:$E,F60,Montagem_Vigas!$F:$F,"SIM"))+IF(G60="",0,COUNTIFS(Montagem_Vigas!$E:$E,G60,Montagem_Vigas!$F:$F,"SIM")))=K60,"OK","PENDENTE")</f>
        <v>PENDENTE</v>
      </c>
      <c r="N60" t="str">
        <f>IF((IF(H60="",0,COUNTIFS(Montagem_Vigas!$E:$E,H60,Montagem_Vigas!$F:$F,"SIM"))+IF(I60="",0,COUNTIFS(Montagem_Vigas!$E:$E,I60,Montagem_Vigas!$F:$F,"SIM"))+IF(J60="",0,COUNTIFS(Montagem_Vigas!$E:$E,J60,Montagem_Vigas!$F:$F,"SIM")))=L60,"OK","PENDENTE")</f>
        <v>PENDENTE</v>
      </c>
      <c r="O60" t="str">
        <f t="shared" si="14"/>
        <v>BLOQUEADO</v>
      </c>
      <c r="P60">
        <f>SUM(IF(E60="",0,COUNTIFS(Montagem_Vigas!$E:$E,E60,Montagem_Vigas!$F:$F,"SIM")),IF(F60="",0,COUNTIFS(Montagem_Vigas!$E:$E,F60,Montagem_Vigas!$F:$F,"SIM")),IF(G60="",0,COUNTIFS(Montagem_Vigas!$E:$E,G60,Montagem_Vigas!$F:$F,"SIM")),IF(H60="",0,COUNTIFS(Montagem_Vigas!$E:$E,H60,Montagem_Vigas!$F:$F,"SIM")),IF(I60="",0,COUNTIFS(Montagem_Vigas!$E:$E,I60,Montagem_Vigas!$F:$F,"SIM")),IF(J60="",0,COUNTIFS(Montagem_Vigas!$E:$E,J60,Montagem_Vigas!$F:$F,"SIM")))</f>
        <v>0</v>
      </c>
      <c r="Q60">
        <f t="shared" si="15"/>
        <v>0</v>
      </c>
      <c r="R60">
        <f t="shared" si="16"/>
        <v>0</v>
      </c>
      <c r="S60" t="str">
        <f t="shared" si="17"/>
        <v>AGUARDANDO ESTRUTURA</v>
      </c>
      <c r="T60" t="str">
        <f t="shared" si="18"/>
        <v>PENDENTE</v>
      </c>
      <c r="U60" t="s">
        <v>1990</v>
      </c>
      <c r="W60" t="s">
        <v>1942</v>
      </c>
      <c r="X60" s="284">
        <v>0</v>
      </c>
      <c r="Y60" s="284">
        <v>0</v>
      </c>
      <c r="Z60" s="284">
        <v>0</v>
      </c>
      <c r="AA60">
        <f t="shared" si="19"/>
        <v>0</v>
      </c>
      <c r="AB60">
        <f t="shared" si="20"/>
        <v>0</v>
      </c>
      <c r="AC60">
        <f t="shared" si="21"/>
        <v>0</v>
      </c>
      <c r="AD60">
        <f t="shared" si="22"/>
        <v>0</v>
      </c>
      <c r="AE60">
        <f t="shared" si="23"/>
        <v>0</v>
      </c>
      <c r="AF60" t="str">
        <f t="shared" si="24"/>
        <v>OK</v>
      </c>
    </row>
    <row r="61" spans="1:32" hidden="1" x14ac:dyDescent="0.25">
      <c r="A61" t="s">
        <v>1997</v>
      </c>
      <c r="B61">
        <v>18</v>
      </c>
      <c r="C61">
        <v>19</v>
      </c>
      <c r="D61" t="s">
        <v>1930</v>
      </c>
      <c r="E61" t="s">
        <v>1878</v>
      </c>
      <c r="F61" t="s">
        <v>1879</v>
      </c>
      <c r="H61" t="s">
        <v>1891</v>
      </c>
      <c r="I61" t="s">
        <v>1892</v>
      </c>
      <c r="K61">
        <v>2</v>
      </c>
      <c r="L61">
        <v>2</v>
      </c>
      <c r="M61" t="str">
        <f>IF((IF(E61="",0,COUNTIFS(Montagem_Vigas!$E:$E,E61,Montagem_Vigas!$F:$F,"SIM"))+IF(F61="",0,COUNTIFS(Montagem_Vigas!$E:$E,F61,Montagem_Vigas!$F:$F,"SIM"))+IF(G61="",0,COUNTIFS(Montagem_Vigas!$E:$E,G61,Montagem_Vigas!$F:$F,"SIM")))=K61,"OK","PENDENTE")</f>
        <v>PENDENTE</v>
      </c>
      <c r="N61" t="str">
        <f>IF((IF(H61="",0,COUNTIFS(Montagem_Vigas!$E:$E,H61,Montagem_Vigas!$F:$F,"SIM"))+IF(I61="",0,COUNTIFS(Montagem_Vigas!$E:$E,I61,Montagem_Vigas!$F:$F,"SIM"))+IF(J61="",0,COUNTIFS(Montagem_Vigas!$E:$E,J61,Montagem_Vigas!$F:$F,"SIM")))=L61,"OK","PENDENTE")</f>
        <v>PENDENTE</v>
      </c>
      <c r="O61" t="str">
        <f t="shared" si="14"/>
        <v>BLOQUEADO</v>
      </c>
      <c r="P61">
        <f>SUM(IF(E61="",0,COUNTIFS(Montagem_Vigas!$E:$E,E61,Montagem_Vigas!$F:$F,"SIM")),IF(F61="",0,COUNTIFS(Montagem_Vigas!$E:$E,F61,Montagem_Vigas!$F:$F,"SIM")),IF(G61="",0,COUNTIFS(Montagem_Vigas!$E:$E,G61,Montagem_Vigas!$F:$F,"SIM")),IF(H61="",0,COUNTIFS(Montagem_Vigas!$E:$E,H61,Montagem_Vigas!$F:$F,"SIM")),IF(I61="",0,COUNTIFS(Montagem_Vigas!$E:$E,I61,Montagem_Vigas!$F:$F,"SIM")),IF(J61="",0,COUNTIFS(Montagem_Vigas!$E:$E,J61,Montagem_Vigas!$F:$F,"SIM")))</f>
        <v>1</v>
      </c>
      <c r="Q61">
        <f t="shared" si="15"/>
        <v>0</v>
      </c>
      <c r="R61">
        <f t="shared" si="16"/>
        <v>0</v>
      </c>
      <c r="S61" t="str">
        <f t="shared" si="17"/>
        <v>AGUARDANDO ESTRUTURA</v>
      </c>
      <c r="T61" t="str">
        <f t="shared" si="18"/>
        <v>PENDENTE</v>
      </c>
      <c r="U61" t="s">
        <v>1998</v>
      </c>
      <c r="W61" t="s">
        <v>1942</v>
      </c>
      <c r="X61" s="284">
        <v>0</v>
      </c>
      <c r="Y61" s="284">
        <v>0</v>
      </c>
      <c r="Z61" s="284">
        <v>0</v>
      </c>
      <c r="AA61">
        <f t="shared" si="19"/>
        <v>0</v>
      </c>
      <c r="AB61">
        <f t="shared" si="20"/>
        <v>0</v>
      </c>
      <c r="AC61">
        <f t="shared" si="21"/>
        <v>0</v>
      </c>
      <c r="AD61">
        <f t="shared" si="22"/>
        <v>0</v>
      </c>
      <c r="AE61">
        <f t="shared" si="23"/>
        <v>0</v>
      </c>
      <c r="AF61" t="str">
        <f t="shared" si="24"/>
        <v>OK</v>
      </c>
    </row>
    <row r="62" spans="1:32" hidden="1" x14ac:dyDescent="0.25">
      <c r="A62" t="s">
        <v>1999</v>
      </c>
      <c r="B62">
        <v>18</v>
      </c>
      <c r="C62">
        <v>19</v>
      </c>
      <c r="D62" t="s">
        <v>1725</v>
      </c>
      <c r="E62" t="s">
        <v>1879</v>
      </c>
      <c r="F62" t="s">
        <v>1880</v>
      </c>
      <c r="G62" t="s">
        <v>1881</v>
      </c>
      <c r="H62" t="s">
        <v>1892</v>
      </c>
      <c r="I62" t="s">
        <v>1893</v>
      </c>
      <c r="J62" t="s">
        <v>1894</v>
      </c>
      <c r="K62">
        <v>3</v>
      </c>
      <c r="L62">
        <v>3</v>
      </c>
      <c r="M62" t="str">
        <f>IF((IF(E62="",0,COUNTIFS(Montagem_Vigas!$E:$E,E62,Montagem_Vigas!$F:$F,"SIM"))+IF(F62="",0,COUNTIFS(Montagem_Vigas!$E:$E,F62,Montagem_Vigas!$F:$F,"SIM"))+IF(G62="",0,COUNTIFS(Montagem_Vigas!$E:$E,G62,Montagem_Vigas!$F:$F,"SIM")))=K62,"OK","PENDENTE")</f>
        <v>OK</v>
      </c>
      <c r="N62" t="str">
        <f>IF((IF(H62="",0,COUNTIFS(Montagem_Vigas!$E:$E,H62,Montagem_Vigas!$F:$F,"SIM"))+IF(I62="",0,COUNTIFS(Montagem_Vigas!$E:$E,I62,Montagem_Vigas!$F:$F,"SIM"))+IF(J62="",0,COUNTIFS(Montagem_Vigas!$E:$E,J62,Montagem_Vigas!$F:$F,"SIM")))=L62,"OK","PENDENTE")</f>
        <v>PENDENTE</v>
      </c>
      <c r="O62" t="str">
        <f t="shared" si="14"/>
        <v>BLOQUEADO</v>
      </c>
      <c r="P62">
        <f>SUM(IF(E62="",0,COUNTIFS(Montagem_Vigas!$E:$E,E62,Montagem_Vigas!$F:$F,"SIM")),IF(F62="",0,COUNTIFS(Montagem_Vigas!$E:$E,F62,Montagem_Vigas!$F:$F,"SIM")),IF(G62="",0,COUNTIFS(Montagem_Vigas!$E:$E,G62,Montagem_Vigas!$F:$F,"SIM")),IF(H62="",0,COUNTIFS(Montagem_Vigas!$E:$E,H62,Montagem_Vigas!$F:$F,"SIM")),IF(I62="",0,COUNTIFS(Montagem_Vigas!$E:$E,I62,Montagem_Vigas!$F:$F,"SIM")),IF(J62="",0,COUNTIFS(Montagem_Vigas!$E:$E,J62,Montagem_Vigas!$F:$F,"SIM")))</f>
        <v>3</v>
      </c>
      <c r="Q62">
        <f t="shared" si="15"/>
        <v>0</v>
      </c>
      <c r="R62">
        <f t="shared" si="16"/>
        <v>0</v>
      </c>
      <c r="S62" t="str">
        <f t="shared" si="17"/>
        <v>AGUARDANDO ESTRUTURA</v>
      </c>
      <c r="T62" t="str">
        <f t="shared" si="18"/>
        <v>PENDENTE</v>
      </c>
      <c r="U62" t="s">
        <v>1998</v>
      </c>
      <c r="W62" t="s">
        <v>1942</v>
      </c>
      <c r="X62" s="284">
        <v>0</v>
      </c>
      <c r="Y62" s="284">
        <v>0</v>
      </c>
      <c r="Z62" s="284">
        <v>0</v>
      </c>
      <c r="AA62">
        <f t="shared" si="19"/>
        <v>0</v>
      </c>
      <c r="AB62">
        <f t="shared" si="20"/>
        <v>0</v>
      </c>
      <c r="AC62">
        <f t="shared" si="21"/>
        <v>0</v>
      </c>
      <c r="AD62">
        <f t="shared" si="22"/>
        <v>0</v>
      </c>
      <c r="AE62">
        <f t="shared" si="23"/>
        <v>0</v>
      </c>
      <c r="AF62" t="str">
        <f t="shared" si="24"/>
        <v>OK</v>
      </c>
    </row>
    <row r="63" spans="1:32" hidden="1" x14ac:dyDescent="0.25">
      <c r="A63" t="s">
        <v>2000</v>
      </c>
      <c r="B63">
        <v>18</v>
      </c>
      <c r="C63">
        <v>19</v>
      </c>
      <c r="D63" t="s">
        <v>1730</v>
      </c>
      <c r="E63" t="s">
        <v>1881</v>
      </c>
      <c r="F63" t="s">
        <v>1882</v>
      </c>
      <c r="G63" t="s">
        <v>1883</v>
      </c>
      <c r="H63" t="s">
        <v>1894</v>
      </c>
      <c r="I63" t="s">
        <v>1895</v>
      </c>
      <c r="J63" t="s">
        <v>1896</v>
      </c>
      <c r="K63">
        <v>3</v>
      </c>
      <c r="L63">
        <v>3</v>
      </c>
      <c r="M63" t="str">
        <f>IF((IF(E63="",0,COUNTIFS(Montagem_Vigas!$E:$E,E63,Montagem_Vigas!$F:$F,"SIM"))+IF(F63="",0,COUNTIFS(Montagem_Vigas!$E:$E,F63,Montagem_Vigas!$F:$F,"SIM"))+IF(G63="",0,COUNTIFS(Montagem_Vigas!$E:$E,G63,Montagem_Vigas!$F:$F,"SIM")))=K63,"OK","PENDENTE")</f>
        <v>OK</v>
      </c>
      <c r="N63" t="str">
        <f>IF((IF(H63="",0,COUNTIFS(Montagem_Vigas!$E:$E,H63,Montagem_Vigas!$F:$F,"SIM"))+IF(I63="",0,COUNTIFS(Montagem_Vigas!$E:$E,I63,Montagem_Vigas!$F:$F,"SIM"))+IF(J63="",0,COUNTIFS(Montagem_Vigas!$E:$E,J63,Montagem_Vigas!$F:$F,"SIM")))=L63,"OK","PENDENTE")</f>
        <v>PENDENTE</v>
      </c>
      <c r="O63" t="str">
        <f t="shared" si="14"/>
        <v>BLOQUEADO</v>
      </c>
      <c r="P63">
        <f>SUM(IF(E63="",0,COUNTIFS(Montagem_Vigas!$E:$E,E63,Montagem_Vigas!$F:$F,"SIM")),IF(F63="",0,COUNTIFS(Montagem_Vigas!$E:$E,F63,Montagem_Vigas!$F:$F,"SIM")),IF(G63="",0,COUNTIFS(Montagem_Vigas!$E:$E,G63,Montagem_Vigas!$F:$F,"SIM")),IF(H63="",0,COUNTIFS(Montagem_Vigas!$E:$E,H63,Montagem_Vigas!$F:$F,"SIM")),IF(I63="",0,COUNTIFS(Montagem_Vigas!$E:$E,I63,Montagem_Vigas!$F:$F,"SIM")),IF(J63="",0,COUNTIFS(Montagem_Vigas!$E:$E,J63,Montagem_Vigas!$F:$F,"SIM")))</f>
        <v>3</v>
      </c>
      <c r="Q63">
        <f t="shared" si="15"/>
        <v>0</v>
      </c>
      <c r="R63">
        <f t="shared" si="16"/>
        <v>0</v>
      </c>
      <c r="S63" t="str">
        <f t="shared" si="17"/>
        <v>AGUARDANDO ESTRUTURA</v>
      </c>
      <c r="T63" t="str">
        <f t="shared" si="18"/>
        <v>PENDENTE</v>
      </c>
      <c r="U63" t="s">
        <v>1998</v>
      </c>
      <c r="W63" t="s">
        <v>1942</v>
      </c>
      <c r="X63" s="284">
        <v>0</v>
      </c>
      <c r="Y63" s="284">
        <v>0</v>
      </c>
      <c r="Z63" s="284">
        <v>0</v>
      </c>
      <c r="AA63">
        <f t="shared" si="19"/>
        <v>0</v>
      </c>
      <c r="AB63">
        <f t="shared" si="20"/>
        <v>0</v>
      </c>
      <c r="AC63">
        <f t="shared" si="21"/>
        <v>0</v>
      </c>
      <c r="AD63">
        <f t="shared" si="22"/>
        <v>0</v>
      </c>
      <c r="AE63">
        <f t="shared" si="23"/>
        <v>0</v>
      </c>
      <c r="AF63" t="str">
        <f t="shared" si="24"/>
        <v>OK</v>
      </c>
    </row>
    <row r="64" spans="1:32" hidden="1" x14ac:dyDescent="0.25">
      <c r="A64" t="s">
        <v>2001</v>
      </c>
      <c r="B64">
        <v>18</v>
      </c>
      <c r="C64">
        <v>19</v>
      </c>
      <c r="D64" t="s">
        <v>1732</v>
      </c>
      <c r="E64" t="s">
        <v>1883</v>
      </c>
      <c r="F64" t="s">
        <v>1884</v>
      </c>
      <c r="G64" t="s">
        <v>1885</v>
      </c>
      <c r="H64" t="s">
        <v>1896</v>
      </c>
      <c r="I64" t="s">
        <v>1897</v>
      </c>
      <c r="J64" t="s">
        <v>1898</v>
      </c>
      <c r="K64">
        <v>3</v>
      </c>
      <c r="L64">
        <v>3</v>
      </c>
      <c r="M64" t="str">
        <f>IF((IF(E64="",0,COUNTIFS(Montagem_Vigas!$E:$E,E64,Montagem_Vigas!$F:$F,"SIM"))+IF(F64="",0,COUNTIFS(Montagem_Vigas!$E:$E,F64,Montagem_Vigas!$F:$F,"SIM"))+IF(G64="",0,COUNTIFS(Montagem_Vigas!$E:$E,G64,Montagem_Vigas!$F:$F,"SIM")))=K64,"OK","PENDENTE")</f>
        <v>PENDENTE</v>
      </c>
      <c r="N64" t="str">
        <f>IF((IF(H64="",0,COUNTIFS(Montagem_Vigas!$E:$E,H64,Montagem_Vigas!$F:$F,"SIM"))+IF(I64="",0,COUNTIFS(Montagem_Vigas!$E:$E,I64,Montagem_Vigas!$F:$F,"SIM"))+IF(J64="",0,COUNTIFS(Montagem_Vigas!$E:$E,J64,Montagem_Vigas!$F:$F,"SIM")))=L64,"OK","PENDENTE")</f>
        <v>PENDENTE</v>
      </c>
      <c r="O64" t="str">
        <f t="shared" si="14"/>
        <v>BLOQUEADO</v>
      </c>
      <c r="P64">
        <f>SUM(IF(E64="",0,COUNTIFS(Montagem_Vigas!$E:$E,E64,Montagem_Vigas!$F:$F,"SIM")),IF(F64="",0,COUNTIFS(Montagem_Vigas!$E:$E,F64,Montagem_Vigas!$F:$F,"SIM")),IF(G64="",0,COUNTIFS(Montagem_Vigas!$E:$E,G64,Montagem_Vigas!$F:$F,"SIM")),IF(H64="",0,COUNTIFS(Montagem_Vigas!$E:$E,H64,Montagem_Vigas!$F:$F,"SIM")),IF(I64="",0,COUNTIFS(Montagem_Vigas!$E:$E,I64,Montagem_Vigas!$F:$F,"SIM")),IF(J64="",0,COUNTIFS(Montagem_Vigas!$E:$E,J64,Montagem_Vigas!$F:$F,"SIM")))</f>
        <v>1</v>
      </c>
      <c r="Q64">
        <f t="shared" si="15"/>
        <v>0</v>
      </c>
      <c r="R64">
        <f t="shared" si="16"/>
        <v>0</v>
      </c>
      <c r="S64" t="str">
        <f t="shared" si="17"/>
        <v>AGUARDANDO ESTRUTURA</v>
      </c>
      <c r="T64" t="str">
        <f t="shared" si="18"/>
        <v>PENDENTE</v>
      </c>
      <c r="U64" t="s">
        <v>1998</v>
      </c>
      <c r="W64" t="s">
        <v>1942</v>
      </c>
      <c r="X64" s="284">
        <v>0</v>
      </c>
      <c r="Y64" s="284">
        <v>0</v>
      </c>
      <c r="Z64" s="284">
        <v>0</v>
      </c>
      <c r="AA64">
        <f t="shared" si="19"/>
        <v>0</v>
      </c>
      <c r="AB64">
        <f t="shared" si="20"/>
        <v>0</v>
      </c>
      <c r="AC64">
        <f t="shared" si="21"/>
        <v>0</v>
      </c>
      <c r="AD64">
        <f t="shared" si="22"/>
        <v>0</v>
      </c>
      <c r="AE64">
        <f t="shared" si="23"/>
        <v>0</v>
      </c>
      <c r="AF64" t="str">
        <f t="shared" si="24"/>
        <v>OK</v>
      </c>
    </row>
    <row r="65" spans="1:32" hidden="1" x14ac:dyDescent="0.25">
      <c r="A65" t="s">
        <v>2002</v>
      </c>
      <c r="B65">
        <v>18</v>
      </c>
      <c r="C65">
        <v>19</v>
      </c>
      <c r="D65" t="s">
        <v>1734</v>
      </c>
      <c r="E65" t="s">
        <v>1885</v>
      </c>
      <c r="F65" t="s">
        <v>1886</v>
      </c>
      <c r="G65" t="s">
        <v>1887</v>
      </c>
      <c r="H65" t="s">
        <v>1898</v>
      </c>
      <c r="I65" t="s">
        <v>1899</v>
      </c>
      <c r="J65" t="s">
        <v>1900</v>
      </c>
      <c r="K65">
        <v>3</v>
      </c>
      <c r="L65">
        <v>3</v>
      </c>
      <c r="M65" t="str">
        <f>IF((IF(E65="",0,COUNTIFS(Montagem_Vigas!$E:$E,E65,Montagem_Vigas!$F:$F,"SIM"))+IF(F65="",0,COUNTIFS(Montagem_Vigas!$E:$E,F65,Montagem_Vigas!$F:$F,"SIM"))+IF(G65="",0,COUNTIFS(Montagem_Vigas!$E:$E,G65,Montagem_Vigas!$F:$F,"SIM")))=K65,"OK","PENDENTE")</f>
        <v>PENDENTE</v>
      </c>
      <c r="N65" t="str">
        <f>IF((IF(H65="",0,COUNTIFS(Montagem_Vigas!$E:$E,H65,Montagem_Vigas!$F:$F,"SIM"))+IF(I65="",0,COUNTIFS(Montagem_Vigas!$E:$E,I65,Montagem_Vigas!$F:$F,"SIM"))+IF(J65="",0,COUNTIFS(Montagem_Vigas!$E:$E,J65,Montagem_Vigas!$F:$F,"SIM")))=L65,"OK","PENDENTE")</f>
        <v>PENDENTE</v>
      </c>
      <c r="O65" t="str">
        <f t="shared" si="14"/>
        <v>BLOQUEADO</v>
      </c>
      <c r="P65">
        <f>SUM(IF(E65="",0,COUNTIFS(Montagem_Vigas!$E:$E,E65,Montagem_Vigas!$F:$F,"SIM")),IF(F65="",0,COUNTIFS(Montagem_Vigas!$E:$E,F65,Montagem_Vigas!$F:$F,"SIM")),IF(G65="",0,COUNTIFS(Montagem_Vigas!$E:$E,G65,Montagem_Vigas!$F:$F,"SIM")),IF(H65="",0,COUNTIFS(Montagem_Vigas!$E:$E,H65,Montagem_Vigas!$F:$F,"SIM")),IF(I65="",0,COUNTIFS(Montagem_Vigas!$E:$E,I65,Montagem_Vigas!$F:$F,"SIM")),IF(J65="",0,COUNTIFS(Montagem_Vigas!$E:$E,J65,Montagem_Vigas!$F:$F,"SIM")))</f>
        <v>0</v>
      </c>
      <c r="Q65">
        <f t="shared" si="15"/>
        <v>0</v>
      </c>
      <c r="R65">
        <f t="shared" si="16"/>
        <v>0</v>
      </c>
      <c r="S65" t="str">
        <f t="shared" si="17"/>
        <v>AGUARDANDO ESTRUTURA</v>
      </c>
      <c r="T65" t="str">
        <f t="shared" si="18"/>
        <v>PENDENTE</v>
      </c>
      <c r="U65" t="s">
        <v>1998</v>
      </c>
      <c r="W65" t="s">
        <v>1942</v>
      </c>
      <c r="X65" s="284">
        <v>0</v>
      </c>
      <c r="Y65" s="284">
        <v>0</v>
      </c>
      <c r="Z65" s="284">
        <v>0</v>
      </c>
      <c r="AA65">
        <f t="shared" si="19"/>
        <v>0</v>
      </c>
      <c r="AB65">
        <f t="shared" si="20"/>
        <v>0</v>
      </c>
      <c r="AC65">
        <f t="shared" si="21"/>
        <v>0</v>
      </c>
      <c r="AD65">
        <f t="shared" si="22"/>
        <v>0</v>
      </c>
      <c r="AE65">
        <f t="shared" si="23"/>
        <v>0</v>
      </c>
      <c r="AF65" t="str">
        <f t="shared" si="24"/>
        <v>OK</v>
      </c>
    </row>
    <row r="66" spans="1:32" hidden="1" x14ac:dyDescent="0.25">
      <c r="A66" t="s">
        <v>2003</v>
      </c>
      <c r="B66">
        <v>18</v>
      </c>
      <c r="C66">
        <v>19</v>
      </c>
      <c r="D66" t="s">
        <v>1736</v>
      </c>
      <c r="E66" t="s">
        <v>1887</v>
      </c>
      <c r="F66" t="s">
        <v>1888</v>
      </c>
      <c r="G66" t="s">
        <v>1889</v>
      </c>
      <c r="H66" t="s">
        <v>1900</v>
      </c>
      <c r="I66" t="s">
        <v>1901</v>
      </c>
      <c r="J66" t="s">
        <v>1902</v>
      </c>
      <c r="K66">
        <v>3</v>
      </c>
      <c r="L66">
        <v>3</v>
      </c>
      <c r="M66" t="str">
        <f>IF((IF(E66="",0,COUNTIFS(Montagem_Vigas!$E:$E,E66,Montagem_Vigas!$F:$F,"SIM"))+IF(F66="",0,COUNTIFS(Montagem_Vigas!$E:$E,F66,Montagem_Vigas!$F:$F,"SIM"))+IF(G66="",0,COUNTIFS(Montagem_Vigas!$E:$E,G66,Montagem_Vigas!$F:$F,"SIM")))=K66,"OK","PENDENTE")</f>
        <v>PENDENTE</v>
      </c>
      <c r="N66" t="str">
        <f>IF((IF(H66="",0,COUNTIFS(Montagem_Vigas!$E:$E,H66,Montagem_Vigas!$F:$F,"SIM"))+IF(I66="",0,COUNTIFS(Montagem_Vigas!$E:$E,I66,Montagem_Vigas!$F:$F,"SIM"))+IF(J66="",0,COUNTIFS(Montagem_Vigas!$E:$E,J66,Montagem_Vigas!$F:$F,"SIM")))=L66,"OK","PENDENTE")</f>
        <v>PENDENTE</v>
      </c>
      <c r="O66" t="str">
        <f t="shared" si="14"/>
        <v>BLOQUEADO</v>
      </c>
      <c r="P66">
        <f>SUM(IF(E66="",0,COUNTIFS(Montagem_Vigas!$E:$E,E66,Montagem_Vigas!$F:$F,"SIM")),IF(F66="",0,COUNTIFS(Montagem_Vigas!$E:$E,F66,Montagem_Vigas!$F:$F,"SIM")),IF(G66="",0,COUNTIFS(Montagem_Vigas!$E:$E,G66,Montagem_Vigas!$F:$F,"SIM")),IF(H66="",0,COUNTIFS(Montagem_Vigas!$E:$E,H66,Montagem_Vigas!$F:$F,"SIM")),IF(I66="",0,COUNTIFS(Montagem_Vigas!$E:$E,I66,Montagem_Vigas!$F:$F,"SIM")),IF(J66="",0,COUNTIFS(Montagem_Vigas!$E:$E,J66,Montagem_Vigas!$F:$F,"SIM")))</f>
        <v>0</v>
      </c>
      <c r="Q66">
        <f t="shared" si="15"/>
        <v>0</v>
      </c>
      <c r="R66">
        <f t="shared" si="16"/>
        <v>0</v>
      </c>
      <c r="S66" t="str">
        <f t="shared" si="17"/>
        <v>AGUARDANDO ESTRUTURA</v>
      </c>
      <c r="T66" t="str">
        <f t="shared" si="18"/>
        <v>PENDENTE</v>
      </c>
      <c r="U66" t="s">
        <v>1998</v>
      </c>
      <c r="W66" t="s">
        <v>1942</v>
      </c>
      <c r="X66" s="284">
        <v>0</v>
      </c>
      <c r="Y66" s="284">
        <v>0</v>
      </c>
      <c r="Z66" s="284">
        <v>0</v>
      </c>
      <c r="AA66">
        <f t="shared" si="19"/>
        <v>0</v>
      </c>
      <c r="AB66">
        <f t="shared" si="20"/>
        <v>0</v>
      </c>
      <c r="AC66">
        <f t="shared" si="21"/>
        <v>0</v>
      </c>
      <c r="AD66">
        <f t="shared" si="22"/>
        <v>0</v>
      </c>
      <c r="AE66">
        <f t="shared" si="23"/>
        <v>0</v>
      </c>
      <c r="AF66" t="str">
        <f t="shared" si="24"/>
        <v>OK</v>
      </c>
    </row>
    <row r="67" spans="1:32" hidden="1" x14ac:dyDescent="0.25">
      <c r="A67" s="240" t="s">
        <v>2004</v>
      </c>
      <c r="B67" s="240">
        <v>18</v>
      </c>
      <c r="C67" s="240">
        <v>19</v>
      </c>
      <c r="D67" s="240" t="s">
        <v>1939</v>
      </c>
      <c r="E67" s="240" t="s">
        <v>1889</v>
      </c>
      <c r="F67" s="240" t="s">
        <v>1890</v>
      </c>
      <c r="G67" s="240"/>
      <c r="H67" s="240" t="s">
        <v>1902</v>
      </c>
      <c r="I67" s="240" t="s">
        <v>1903</v>
      </c>
      <c r="J67" s="240"/>
      <c r="K67" s="240">
        <v>2</v>
      </c>
      <c r="L67" s="240">
        <v>2</v>
      </c>
      <c r="M67" s="240" t="str">
        <f>IF((IF(E67="",0,COUNTIFS(Montagem_Vigas!$E:$E,E67,Montagem_Vigas!$F:$F,"SIM"))+IF(F67="",0,COUNTIFS(Montagem_Vigas!$E:$E,F67,Montagem_Vigas!$F:$F,"SIM"))+IF(G67="",0,COUNTIFS(Montagem_Vigas!$E:$E,G67,Montagem_Vigas!$F:$F,"SIM")))=K67,"OK","PENDENTE")</f>
        <v>PENDENTE</v>
      </c>
      <c r="N67" s="240" t="str">
        <f>IF((IF(H67="",0,COUNTIFS(Montagem_Vigas!$E:$E,H67,Montagem_Vigas!$F:$F,"SIM"))+IF(I67="",0,COUNTIFS(Montagem_Vigas!$E:$E,I67,Montagem_Vigas!$F:$F,"SIM"))+IF(J67="",0,COUNTIFS(Montagem_Vigas!$E:$E,J67,Montagem_Vigas!$F:$F,"SIM")))=L67,"OK","PENDENTE")</f>
        <v>PENDENTE</v>
      </c>
      <c r="O67" s="240" t="str">
        <f t="shared" si="14"/>
        <v>BLOQUEADO</v>
      </c>
      <c r="P67" s="240">
        <f>SUM(IF(E67="",0,COUNTIFS(Montagem_Vigas!$E:$E,E67,Montagem_Vigas!$F:$F,"SIM")),IF(F67="",0,COUNTIFS(Montagem_Vigas!$E:$E,F67,Montagem_Vigas!$F:$F,"SIM")),IF(G67="",0,COUNTIFS(Montagem_Vigas!$E:$E,G67,Montagem_Vigas!$F:$F,"SIM")),IF(H67="",0,COUNTIFS(Montagem_Vigas!$E:$E,H67,Montagem_Vigas!$F:$F,"SIM")),IF(I67="",0,COUNTIFS(Montagem_Vigas!$E:$E,I67,Montagem_Vigas!$F:$F,"SIM")),IF(J67="",0,COUNTIFS(Montagem_Vigas!$E:$E,J67,Montagem_Vigas!$F:$F,"SIM")))</f>
        <v>0</v>
      </c>
      <c r="Q67" s="240">
        <f t="shared" si="15"/>
        <v>0</v>
      </c>
      <c r="R67" s="240">
        <f t="shared" si="16"/>
        <v>0</v>
      </c>
      <c r="S67" s="240" t="str">
        <f t="shared" si="17"/>
        <v>AGUARDANDO ESTRUTURA</v>
      </c>
      <c r="T67" s="240" t="str">
        <f t="shared" si="18"/>
        <v>PENDENTE</v>
      </c>
      <c r="U67" s="240" t="s">
        <v>1998</v>
      </c>
      <c r="V67" s="240"/>
      <c r="W67" t="s">
        <v>1942</v>
      </c>
      <c r="X67" s="284">
        <v>0</v>
      </c>
      <c r="Y67" s="284">
        <v>0</v>
      </c>
      <c r="Z67" s="284">
        <v>0</v>
      </c>
      <c r="AA67">
        <f t="shared" si="19"/>
        <v>0</v>
      </c>
      <c r="AB67">
        <f t="shared" si="20"/>
        <v>0</v>
      </c>
      <c r="AC67">
        <f t="shared" si="21"/>
        <v>0</v>
      </c>
      <c r="AD67">
        <f t="shared" si="22"/>
        <v>0</v>
      </c>
      <c r="AE67">
        <f t="shared" si="23"/>
        <v>0</v>
      </c>
      <c r="AF67" t="str">
        <f t="shared" si="24"/>
        <v>OK</v>
      </c>
    </row>
  </sheetData>
  <autoFilter ref="A4:AF67" xr:uid="{00000000-0001-0000-1500-000000000000}">
    <filterColumn colId="1">
      <filters>
        <filter val="15"/>
        <filter val="16"/>
      </filters>
    </filterColumn>
  </autoFilter>
  <mergeCells count="2">
    <mergeCell ref="A1:U1"/>
    <mergeCell ref="A2:U2"/>
  </mergeCells>
  <conditionalFormatting sqref="M5:M49">
    <cfRule type="expression" dxfId="135" priority="1">
      <formula>M5="LIBERADO"</formula>
    </cfRule>
    <cfRule type="expression" dxfId="134" priority="2">
      <formula>M5="BLOQUEADO"</formula>
    </cfRule>
  </conditionalFormatting>
  <conditionalFormatting sqref="Q5:Q49">
    <cfRule type="expression" dxfId="133" priority="3">
      <formula>Q5="OK"</formula>
    </cfRule>
  </conditionalFormatting>
  <conditionalFormatting sqref="O5:O67">
    <cfRule type="expression" dxfId="132" priority="4">
      <formula>O5="LIBERADO"</formula>
    </cfRule>
    <cfRule type="expression" dxfId="131" priority="5">
      <formula>O5="BLOQUEADO"</formula>
    </cfRule>
  </conditionalFormatting>
  <dataValidations count="2">
    <dataValidation type="list" sqref="O5:O49" xr:uid="{00000000-0002-0000-1500-000000000000}">
      <formula1>"NÃO,SIM"</formula1>
    </dataValidation>
    <dataValidation type="list" sqref="X5:Z67" xr:uid="{00000000-0002-0000-1500-000001000000}">
      <formula1>"0,1,2,3"</formula1>
    </dataValidation>
  </dataValidations>
  <pageMargins left="0.7" right="0.7" top="0.75" bottom="0.75" header="0.3" footer="0.3"/>
  <ignoredErrors>
    <ignoredError sqref="U20:U22" twoDigitTextYea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8"/>
  <dimension ref="A1:R44"/>
  <sheetViews>
    <sheetView showGridLines="0" workbookViewId="0">
      <selection activeCell="C4" sqref="C4"/>
    </sheetView>
  </sheetViews>
  <sheetFormatPr defaultColWidth="8.5703125" defaultRowHeight="15" x14ac:dyDescent="0.25"/>
  <cols>
    <col min="1" max="1" width="42" customWidth="1"/>
    <col min="2" max="2" width="18" customWidth="1"/>
    <col min="3" max="3" width="15" customWidth="1"/>
    <col min="4" max="4" width="16" customWidth="1"/>
    <col min="5" max="5" width="15.140625" style="220" customWidth="1"/>
    <col min="6" max="6" width="21" customWidth="1"/>
    <col min="7" max="7" width="20" customWidth="1"/>
    <col min="8" max="8" width="17.7109375" style="220" customWidth="1"/>
    <col min="9" max="10" width="22.7109375" style="220" customWidth="1"/>
    <col min="11" max="11" width="18" customWidth="1"/>
    <col min="12" max="12" width="36" customWidth="1"/>
    <col min="13" max="13" width="53.7109375" customWidth="1"/>
    <col min="14" max="18" width="10" customWidth="1"/>
  </cols>
  <sheetData>
    <row r="1" spans="1:18" ht="27.95" customHeight="1" x14ac:dyDescent="0.25">
      <c r="A1" s="392" t="s">
        <v>42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</row>
    <row r="2" spans="1:18" ht="27.95" customHeight="1" x14ac:dyDescent="0.25">
      <c r="A2" s="143"/>
      <c r="B2" s="143"/>
      <c r="C2" s="143"/>
      <c r="D2" s="143"/>
      <c r="E2" s="213"/>
      <c r="F2" s="143"/>
      <c r="G2" s="143"/>
      <c r="H2" s="213"/>
      <c r="I2" s="213"/>
      <c r="J2" s="213"/>
      <c r="K2" s="143"/>
      <c r="L2" s="143"/>
      <c r="M2" s="143"/>
      <c r="N2" s="143"/>
      <c r="O2" s="143"/>
      <c r="P2" s="143"/>
      <c r="Q2" s="143"/>
      <c r="R2" s="143"/>
    </row>
    <row r="3" spans="1:18" ht="29.25" customHeight="1" x14ac:dyDescent="0.25">
      <c r="A3" s="151" t="s">
        <v>43</v>
      </c>
      <c r="B3" s="151" t="s">
        <v>44</v>
      </c>
      <c r="C3" s="151" t="s">
        <v>45</v>
      </c>
      <c r="D3" s="151" t="s">
        <v>46</v>
      </c>
      <c r="E3" s="214" t="s">
        <v>47</v>
      </c>
      <c r="F3" s="151" t="s">
        <v>48</v>
      </c>
      <c r="G3" s="151" t="s">
        <v>15</v>
      </c>
      <c r="H3" s="214" t="s">
        <v>49</v>
      </c>
      <c r="I3" s="214" t="s">
        <v>50</v>
      </c>
      <c r="J3" s="229" t="s">
        <v>51</v>
      </c>
      <c r="K3" s="151" t="s">
        <v>52</v>
      </c>
      <c r="L3" s="151" t="s">
        <v>16</v>
      </c>
      <c r="M3" s="151" t="s">
        <v>53</v>
      </c>
      <c r="N3" s="143"/>
      <c r="O3" s="143"/>
      <c r="P3" s="143"/>
      <c r="Q3" s="143"/>
      <c r="R3" s="143"/>
    </row>
    <row r="4" spans="1:18" ht="24" customHeight="1" x14ac:dyDescent="0.25">
      <c r="A4" s="1" t="s">
        <v>54</v>
      </c>
      <c r="B4" s="1"/>
      <c r="C4" s="1">
        <v>697</v>
      </c>
      <c r="D4" s="153">
        <v>291</v>
      </c>
      <c r="E4" s="153">
        <v>256</v>
      </c>
      <c r="F4" s="2">
        <f t="shared" ref="F4:F13" si="0">MAX(C4-D4,0)</f>
        <v>406</v>
      </c>
      <c r="G4" s="152">
        <f>IF(C4=0,0,D4/C4)</f>
        <v>0.41750358680057387</v>
      </c>
      <c r="H4" s="215">
        <f>MAX(D4-E4,0)</f>
        <v>35</v>
      </c>
      <c r="I4" s="234">
        <f>IF(C4=0,0,D4/C4)</f>
        <v>0.41750358680057387</v>
      </c>
      <c r="J4" s="222">
        <f t="shared" ref="J4:J13" si="1">IF(C4=0,0,E4/C4)</f>
        <v>0.36728837876614062</v>
      </c>
      <c r="K4" s="1">
        <v>0</v>
      </c>
      <c r="L4" s="1" t="str">
        <f t="shared" ref="L4:L13" si="2">IF(C4=0,"N/A",IF(D4&gt;=C4,"CONCLUÍDA",IF(D4&gt;0,"EM ANDAMENTO","NÃO INICIADA")))</f>
        <v>EM ANDAMENTO</v>
      </c>
      <c r="M4" s="1" t="s">
        <v>55</v>
      </c>
      <c r="N4" s="143"/>
      <c r="O4" s="143"/>
      <c r="P4" s="143"/>
      <c r="Q4" s="143"/>
      <c r="R4" s="143"/>
    </row>
    <row r="5" spans="1:18" ht="24" customHeight="1" x14ac:dyDescent="0.25">
      <c r="A5" s="1" t="s">
        <v>56</v>
      </c>
      <c r="B5" s="1"/>
      <c r="C5" s="1">
        <v>34</v>
      </c>
      <c r="D5" s="153">
        <v>8</v>
      </c>
      <c r="E5" s="153">
        <v>8</v>
      </c>
      <c r="F5" s="2">
        <f>MAX(C5-D5,0)</f>
        <v>26</v>
      </c>
      <c r="G5" s="152">
        <f t="shared" ref="G5:G13" si="3">IF(C5=0,0,D5/C5)</f>
        <v>0.23529411764705882</v>
      </c>
      <c r="H5" s="215">
        <f t="shared" ref="H5:H7" si="4">MAX(D5-E5,0)</f>
        <v>0</v>
      </c>
      <c r="I5" s="234">
        <f t="shared" ref="I5:I13" si="5">IF(D5=0,0,E5/D5)</f>
        <v>1</v>
      </c>
      <c r="J5" s="222">
        <f t="shared" si="1"/>
        <v>0.23529411764705882</v>
      </c>
      <c r="K5" s="1">
        <v>0</v>
      </c>
      <c r="L5" s="1" t="str">
        <f t="shared" si="2"/>
        <v>EM ANDAMENTO</v>
      </c>
      <c r="M5" s="1" t="s">
        <v>55</v>
      </c>
      <c r="N5" s="143"/>
      <c r="O5" s="143"/>
      <c r="P5" s="143"/>
      <c r="Q5" s="143"/>
      <c r="R5" s="143"/>
    </row>
    <row r="6" spans="1:18" ht="24" customHeight="1" x14ac:dyDescent="0.25">
      <c r="A6" s="1" t="s">
        <v>57</v>
      </c>
      <c r="B6" s="1"/>
      <c r="C6" s="1">
        <v>82</v>
      </c>
      <c r="D6" s="153">
        <v>0</v>
      </c>
      <c r="E6" s="153">
        <v>0</v>
      </c>
      <c r="F6" s="2">
        <f t="shared" si="0"/>
        <v>82</v>
      </c>
      <c r="G6" s="152">
        <f t="shared" si="3"/>
        <v>0</v>
      </c>
      <c r="H6" s="215">
        <f t="shared" si="4"/>
        <v>0</v>
      </c>
      <c r="I6" s="234">
        <f t="shared" si="5"/>
        <v>0</v>
      </c>
      <c r="J6" s="222">
        <f t="shared" si="1"/>
        <v>0</v>
      </c>
      <c r="K6" s="1">
        <v>0</v>
      </c>
      <c r="L6" s="1" t="str">
        <f t="shared" si="2"/>
        <v>NÃO INICIADA</v>
      </c>
      <c r="M6" s="1" t="s">
        <v>55</v>
      </c>
      <c r="N6" s="143"/>
      <c r="O6" s="143"/>
      <c r="P6" s="143"/>
      <c r="Q6" s="143"/>
      <c r="R6" s="143"/>
    </row>
    <row r="7" spans="1:18" ht="24" customHeight="1" x14ac:dyDescent="0.25">
      <c r="A7" s="1" t="s">
        <v>58</v>
      </c>
      <c r="B7" s="1"/>
      <c r="C7" s="1">
        <v>4</v>
      </c>
      <c r="D7" s="153">
        <v>0</v>
      </c>
      <c r="E7" s="153">
        <v>0</v>
      </c>
      <c r="F7" s="2">
        <f>MAX(C7-D7,0)</f>
        <v>4</v>
      </c>
      <c r="G7" s="152">
        <f t="shared" si="3"/>
        <v>0</v>
      </c>
      <c r="H7" s="215">
        <f t="shared" si="4"/>
        <v>0</v>
      </c>
      <c r="I7" s="234">
        <f t="shared" si="5"/>
        <v>0</v>
      </c>
      <c r="J7" s="222">
        <f t="shared" si="1"/>
        <v>0</v>
      </c>
      <c r="K7" s="1">
        <v>0</v>
      </c>
      <c r="L7" s="1" t="str">
        <f t="shared" si="2"/>
        <v>NÃO INICIADA</v>
      </c>
      <c r="M7" s="1" t="s">
        <v>55</v>
      </c>
      <c r="N7" s="143"/>
      <c r="O7" s="143"/>
      <c r="P7" s="143"/>
      <c r="Q7" s="143"/>
      <c r="R7" s="143"/>
    </row>
    <row r="8" spans="1:18" ht="24" hidden="1" customHeight="1" x14ac:dyDescent="0.25">
      <c r="A8" s="1" t="s">
        <v>59</v>
      </c>
      <c r="B8" s="1"/>
      <c r="C8" s="1">
        <v>0</v>
      </c>
      <c r="D8" s="153">
        <v>0</v>
      </c>
      <c r="E8" s="222">
        <v>0</v>
      </c>
      <c r="F8" s="2">
        <f t="shared" si="0"/>
        <v>0</v>
      </c>
      <c r="G8" s="152">
        <f t="shared" si="3"/>
        <v>0</v>
      </c>
      <c r="H8" s="215">
        <f t="shared" ref="H8:H13" si="6">MAX(D8-F8,0)</f>
        <v>0</v>
      </c>
      <c r="I8" s="234">
        <f t="shared" si="5"/>
        <v>0</v>
      </c>
      <c r="J8" s="224">
        <f t="shared" si="1"/>
        <v>0</v>
      </c>
      <c r="K8" s="1">
        <v>0</v>
      </c>
      <c r="L8" s="1" t="str">
        <f t="shared" si="2"/>
        <v>N/A</v>
      </c>
      <c r="M8" s="1" t="s">
        <v>55</v>
      </c>
      <c r="N8" s="143"/>
      <c r="O8" s="143"/>
      <c r="P8" s="143"/>
      <c r="Q8" s="143"/>
      <c r="R8" s="143"/>
    </row>
    <row r="9" spans="1:18" ht="24" hidden="1" customHeight="1" x14ac:dyDescent="0.25">
      <c r="A9" s="1" t="s">
        <v>60</v>
      </c>
      <c r="B9" s="1"/>
      <c r="C9" s="1">
        <v>0</v>
      </c>
      <c r="D9" s="153">
        <v>0</v>
      </c>
      <c r="E9" s="222">
        <v>0</v>
      </c>
      <c r="F9" s="2">
        <f t="shared" si="0"/>
        <v>0</v>
      </c>
      <c r="G9" s="152">
        <f t="shared" si="3"/>
        <v>0</v>
      </c>
      <c r="H9" s="215">
        <f t="shared" si="6"/>
        <v>0</v>
      </c>
      <c r="I9" s="234">
        <f t="shared" si="5"/>
        <v>0</v>
      </c>
      <c r="J9" s="224">
        <f t="shared" si="1"/>
        <v>0</v>
      </c>
      <c r="K9" s="1">
        <v>0</v>
      </c>
      <c r="L9" s="1" t="str">
        <f t="shared" si="2"/>
        <v>N/A</v>
      </c>
      <c r="M9" s="1" t="s">
        <v>55</v>
      </c>
      <c r="N9" s="143"/>
      <c r="O9" s="143"/>
      <c r="P9" s="143"/>
      <c r="Q9" s="143"/>
      <c r="R9" s="143"/>
    </row>
    <row r="10" spans="1:18" ht="24" hidden="1" customHeight="1" x14ac:dyDescent="0.25">
      <c r="A10" s="1" t="s">
        <v>61</v>
      </c>
      <c r="B10" s="1"/>
      <c r="C10" s="1">
        <v>0</v>
      </c>
      <c r="D10" s="153">
        <v>0</v>
      </c>
      <c r="E10" s="222">
        <v>0</v>
      </c>
      <c r="F10" s="2">
        <f t="shared" si="0"/>
        <v>0</v>
      </c>
      <c r="G10" s="152">
        <f t="shared" si="3"/>
        <v>0</v>
      </c>
      <c r="H10" s="215">
        <f t="shared" si="6"/>
        <v>0</v>
      </c>
      <c r="I10" s="234">
        <f t="shared" si="5"/>
        <v>0</v>
      </c>
      <c r="J10" s="224">
        <f t="shared" si="1"/>
        <v>0</v>
      </c>
      <c r="K10" s="1">
        <v>0</v>
      </c>
      <c r="L10" s="1" t="str">
        <f t="shared" si="2"/>
        <v>N/A</v>
      </c>
      <c r="M10" s="1" t="s">
        <v>55</v>
      </c>
      <c r="N10" s="143"/>
      <c r="O10" s="143"/>
      <c r="P10" s="143"/>
      <c r="Q10" s="143"/>
      <c r="R10" s="143"/>
    </row>
    <row r="11" spans="1:18" ht="24" hidden="1" customHeight="1" x14ac:dyDescent="0.25">
      <c r="A11" s="1" t="s">
        <v>62</v>
      </c>
      <c r="B11" s="1"/>
      <c r="C11" s="1">
        <v>0</v>
      </c>
      <c r="D11" s="153">
        <v>0</v>
      </c>
      <c r="E11" s="222">
        <v>0</v>
      </c>
      <c r="F11" s="2">
        <f t="shared" si="0"/>
        <v>0</v>
      </c>
      <c r="G11" s="152">
        <f t="shared" si="3"/>
        <v>0</v>
      </c>
      <c r="H11" s="215">
        <f t="shared" si="6"/>
        <v>0</v>
      </c>
      <c r="I11" s="234">
        <f t="shared" si="5"/>
        <v>0</v>
      </c>
      <c r="J11" s="224">
        <f t="shared" si="1"/>
        <v>0</v>
      </c>
      <c r="K11" s="1">
        <v>0</v>
      </c>
      <c r="L11" s="1" t="str">
        <f t="shared" si="2"/>
        <v>N/A</v>
      </c>
      <c r="M11" s="1" t="s">
        <v>55</v>
      </c>
      <c r="N11" s="143"/>
      <c r="O11" s="143"/>
      <c r="P11" s="143"/>
      <c r="Q11" s="143"/>
      <c r="R11" s="143"/>
    </row>
    <row r="12" spans="1:18" hidden="1" x14ac:dyDescent="0.25">
      <c r="A12" s="1" t="s">
        <v>63</v>
      </c>
      <c r="B12" s="1"/>
      <c r="C12" s="1">
        <v>0</v>
      </c>
      <c r="D12" s="153">
        <v>0</v>
      </c>
      <c r="E12" s="222">
        <v>0</v>
      </c>
      <c r="F12" s="2">
        <f t="shared" si="0"/>
        <v>0</v>
      </c>
      <c r="G12" s="152">
        <f t="shared" si="3"/>
        <v>0</v>
      </c>
      <c r="H12" s="215">
        <f t="shared" si="6"/>
        <v>0</v>
      </c>
      <c r="I12" s="234">
        <f t="shared" si="5"/>
        <v>0</v>
      </c>
      <c r="J12" s="224">
        <f t="shared" si="1"/>
        <v>0</v>
      </c>
      <c r="K12" s="1">
        <v>0</v>
      </c>
      <c r="L12" s="1" t="str">
        <f t="shared" si="2"/>
        <v>N/A</v>
      </c>
      <c r="M12" s="1" t="s">
        <v>55</v>
      </c>
      <c r="N12" s="143"/>
      <c r="O12" s="143"/>
      <c r="P12" s="143"/>
      <c r="Q12" s="143"/>
      <c r="R12" s="143"/>
    </row>
    <row r="13" spans="1:18" hidden="1" x14ac:dyDescent="0.25">
      <c r="A13" s="1" t="s">
        <v>64</v>
      </c>
      <c r="B13" s="1"/>
      <c r="C13" s="1">
        <v>0</v>
      </c>
      <c r="D13" s="153">
        <v>0</v>
      </c>
      <c r="E13" s="223">
        <v>0</v>
      </c>
      <c r="F13" s="2">
        <f t="shared" si="0"/>
        <v>0</v>
      </c>
      <c r="G13" s="152">
        <f t="shared" si="3"/>
        <v>0</v>
      </c>
      <c r="H13" s="216">
        <f t="shared" si="6"/>
        <v>0</v>
      </c>
      <c r="I13" s="235">
        <f t="shared" si="5"/>
        <v>0</v>
      </c>
      <c r="J13" s="230">
        <f t="shared" si="1"/>
        <v>0</v>
      </c>
      <c r="K13" s="1">
        <v>0</v>
      </c>
      <c r="L13" s="1" t="str">
        <f t="shared" si="2"/>
        <v>N/A</v>
      </c>
      <c r="M13" s="1" t="s">
        <v>55</v>
      </c>
      <c r="N13" s="143"/>
      <c r="O13" s="143"/>
      <c r="P13" s="143"/>
      <c r="Q13" s="143"/>
      <c r="R13" s="143"/>
    </row>
    <row r="14" spans="1:18" ht="24" customHeight="1" x14ac:dyDescent="0.25">
      <c r="A14" s="143"/>
      <c r="B14" s="143"/>
      <c r="C14" s="143"/>
      <c r="D14" s="143"/>
      <c r="E14" s="224"/>
      <c r="F14" s="4"/>
      <c r="G14" s="5"/>
      <c r="H14" s="213"/>
      <c r="I14" s="213"/>
      <c r="J14" s="213"/>
      <c r="K14" s="143"/>
      <c r="L14" s="143"/>
      <c r="M14" s="143"/>
      <c r="N14" s="143"/>
      <c r="O14" s="143"/>
      <c r="P14" s="143"/>
      <c r="Q14" s="143"/>
      <c r="R14" s="143"/>
    </row>
    <row r="15" spans="1:18" ht="24" customHeight="1" x14ac:dyDescent="0.25">
      <c r="A15" s="141"/>
      <c r="B15" s="141"/>
      <c r="C15" s="141">
        <f>SUM(C4:C13)</f>
        <v>817</v>
      </c>
      <c r="D15" s="141">
        <f>SUM(D4:D13)</f>
        <v>299</v>
      </c>
      <c r="E15" s="217">
        <f>SUM(E4:E13)</f>
        <v>264</v>
      </c>
      <c r="F15" s="141">
        <f>SUM(F4:F13)</f>
        <v>518</v>
      </c>
      <c r="G15" s="236">
        <f>IF(C15=0,0,D15/C15)</f>
        <v>0.3659730722154223</v>
      </c>
      <c r="H15" s="217">
        <f>SUM(H4:H13)</f>
        <v>35</v>
      </c>
      <c r="I15" s="236">
        <f>IF(C15=0,0,D15/C15)</f>
        <v>0.3659730722154223</v>
      </c>
      <c r="J15" s="231">
        <f>IF(C15=0,0,E15/C15)</f>
        <v>0.32313341493268055</v>
      </c>
      <c r="K15" s="175"/>
      <c r="L15" s="141"/>
      <c r="M15" s="141"/>
      <c r="N15" s="143"/>
      <c r="O15" s="143"/>
      <c r="P15" s="143"/>
      <c r="Q15" s="143"/>
      <c r="R15" s="143"/>
    </row>
    <row r="16" spans="1:18" x14ac:dyDescent="0.25">
      <c r="D16" s="143"/>
      <c r="E16" s="224"/>
      <c r="F16" s="4"/>
      <c r="G16" s="5"/>
      <c r="H16" s="213"/>
      <c r="I16" s="213"/>
      <c r="J16" s="213"/>
      <c r="K16" s="143"/>
      <c r="L16" s="143"/>
      <c r="M16" s="143"/>
      <c r="N16" s="143"/>
      <c r="O16" s="143"/>
      <c r="P16" s="143"/>
      <c r="Q16" s="143"/>
      <c r="R16" s="143"/>
    </row>
    <row r="17" spans="1:18" ht="24" hidden="1" customHeight="1" x14ac:dyDescent="0.25">
      <c r="A17" s="389" t="s">
        <v>65</v>
      </c>
      <c r="B17" s="390"/>
      <c r="C17" s="390"/>
      <c r="D17" s="390"/>
      <c r="E17" s="390"/>
      <c r="F17" s="390"/>
      <c r="G17" s="390"/>
      <c r="H17" s="390"/>
      <c r="I17" s="390"/>
      <c r="J17" s="390"/>
      <c r="K17" s="390"/>
      <c r="L17" s="391"/>
      <c r="M17" s="390"/>
      <c r="N17" s="390"/>
      <c r="O17" s="390"/>
      <c r="P17" s="390"/>
      <c r="Q17" s="390"/>
      <c r="R17" s="391"/>
    </row>
    <row r="18" spans="1:18" ht="30" hidden="1" customHeight="1" x14ac:dyDescent="0.25">
      <c r="A18" s="154" t="s">
        <v>44</v>
      </c>
      <c r="B18" s="154" t="s">
        <v>66</v>
      </c>
      <c r="C18" s="154" t="s">
        <v>67</v>
      </c>
      <c r="D18" s="154" t="s">
        <v>68</v>
      </c>
      <c r="E18" s="225" t="s">
        <v>15</v>
      </c>
      <c r="F18" s="155" t="s">
        <v>15</v>
      </c>
      <c r="G18" s="156" t="s">
        <v>69</v>
      </c>
      <c r="H18" s="218" t="s">
        <v>70</v>
      </c>
      <c r="I18" s="237" t="s">
        <v>71</v>
      </c>
      <c r="J18" s="229" t="s">
        <v>72</v>
      </c>
      <c r="K18" s="154" t="s">
        <v>73</v>
      </c>
      <c r="L18" s="154" t="s">
        <v>16</v>
      </c>
      <c r="M18" s="157" t="s">
        <v>53</v>
      </c>
      <c r="N18" s="143"/>
      <c r="O18" s="143"/>
      <c r="P18" s="143"/>
      <c r="Q18" s="143"/>
      <c r="R18" s="143"/>
    </row>
    <row r="19" spans="1:18" ht="24" hidden="1" customHeight="1" x14ac:dyDescent="0.25">
      <c r="A19" s="64" t="s">
        <v>74</v>
      </c>
      <c r="B19" s="64"/>
      <c r="C19" s="64" t="s">
        <v>75</v>
      </c>
      <c r="D19" s="158" t="s">
        <v>76</v>
      </c>
      <c r="E19" s="226">
        <v>0</v>
      </c>
      <c r="F19" s="65">
        <v>0</v>
      </c>
      <c r="G19" s="82">
        <v>0</v>
      </c>
      <c r="H19" s="219">
        <v>0</v>
      </c>
      <c r="I19" s="238">
        <v>0</v>
      </c>
      <c r="J19" s="232">
        <v>0</v>
      </c>
      <c r="K19" s="64">
        <v>0</v>
      </c>
      <c r="L19" s="64" t="s">
        <v>77</v>
      </c>
      <c r="M19" s="83" t="s">
        <v>78</v>
      </c>
      <c r="N19" s="143"/>
      <c r="O19" s="143"/>
      <c r="P19" s="143"/>
      <c r="Q19" s="143"/>
      <c r="R19" s="143"/>
    </row>
    <row r="20" spans="1:18" ht="24" hidden="1" customHeight="1" x14ac:dyDescent="0.25">
      <c r="A20" s="64" t="s">
        <v>79</v>
      </c>
      <c r="B20" s="64"/>
      <c r="C20" s="64" t="s">
        <v>80</v>
      </c>
      <c r="D20" s="158" t="s">
        <v>76</v>
      </c>
      <c r="E20" s="226">
        <v>0</v>
      </c>
      <c r="F20" s="65">
        <v>0</v>
      </c>
      <c r="G20" s="82">
        <v>0</v>
      </c>
      <c r="H20" s="219">
        <v>0</v>
      </c>
      <c r="I20" s="233">
        <v>0</v>
      </c>
      <c r="J20" s="213">
        <v>0</v>
      </c>
      <c r="K20" s="64">
        <v>0</v>
      </c>
      <c r="L20" s="64" t="s">
        <v>77</v>
      </c>
      <c r="M20" s="83" t="s">
        <v>78</v>
      </c>
      <c r="N20" s="143"/>
      <c r="O20" s="143"/>
      <c r="P20" s="143"/>
      <c r="Q20" s="143"/>
      <c r="R20" s="143"/>
    </row>
    <row r="21" spans="1:18" ht="24.75" hidden="1" customHeight="1" x14ac:dyDescent="0.25">
      <c r="A21" s="64" t="s">
        <v>81</v>
      </c>
      <c r="B21" s="64"/>
      <c r="C21" s="64" t="s">
        <v>82</v>
      </c>
      <c r="D21" s="158" t="s">
        <v>76</v>
      </c>
      <c r="E21" s="226">
        <v>0</v>
      </c>
      <c r="F21" s="65">
        <v>0</v>
      </c>
      <c r="G21" s="82">
        <v>0</v>
      </c>
      <c r="H21" s="219">
        <v>0</v>
      </c>
      <c r="I21" s="233">
        <v>0</v>
      </c>
      <c r="J21" s="213">
        <v>0</v>
      </c>
      <c r="K21" s="64">
        <v>0</v>
      </c>
      <c r="L21" s="64" t="s">
        <v>77</v>
      </c>
      <c r="M21" s="83" t="s">
        <v>78</v>
      </c>
      <c r="N21" s="143"/>
      <c r="O21" s="143"/>
      <c r="P21" s="143"/>
      <c r="Q21" s="143"/>
      <c r="R21" s="143"/>
    </row>
    <row r="22" spans="1:18" ht="24" hidden="1" customHeight="1" x14ac:dyDescent="0.25">
      <c r="A22" s="64" t="s">
        <v>83</v>
      </c>
      <c r="B22" s="64"/>
      <c r="C22" s="64" t="s">
        <v>84</v>
      </c>
      <c r="D22" s="158" t="s">
        <v>76</v>
      </c>
      <c r="E22" s="226">
        <v>0</v>
      </c>
      <c r="F22" s="65">
        <v>0</v>
      </c>
      <c r="G22" s="82">
        <v>0</v>
      </c>
      <c r="H22" s="219">
        <v>0</v>
      </c>
      <c r="I22" s="233">
        <v>0</v>
      </c>
      <c r="J22" s="213">
        <v>0</v>
      </c>
      <c r="K22" s="64">
        <v>0</v>
      </c>
      <c r="L22" s="64" t="s">
        <v>77</v>
      </c>
      <c r="M22" s="83" t="s">
        <v>78</v>
      </c>
      <c r="N22" s="143"/>
      <c r="O22" s="143"/>
      <c r="P22" s="143"/>
      <c r="Q22" s="143"/>
      <c r="R22" s="143"/>
    </row>
    <row r="23" spans="1:18" ht="24" hidden="1" customHeight="1" x14ac:dyDescent="0.25">
      <c r="A23" s="64" t="s">
        <v>85</v>
      </c>
      <c r="B23" s="64"/>
      <c r="C23" s="64" t="s">
        <v>86</v>
      </c>
      <c r="D23" s="158" t="s">
        <v>76</v>
      </c>
      <c r="E23" s="226">
        <v>0</v>
      </c>
      <c r="F23" s="65">
        <v>0</v>
      </c>
      <c r="G23" s="82">
        <v>0</v>
      </c>
      <c r="H23" s="219">
        <v>0</v>
      </c>
      <c r="I23" s="233">
        <v>0</v>
      </c>
      <c r="J23" s="213">
        <v>0</v>
      </c>
      <c r="K23" s="64">
        <v>0</v>
      </c>
      <c r="L23" s="64" t="s">
        <v>77</v>
      </c>
      <c r="M23" s="83" t="s">
        <v>78</v>
      </c>
      <c r="N23" s="143"/>
      <c r="O23" s="143"/>
      <c r="P23" s="143"/>
      <c r="Q23" s="143"/>
      <c r="R23" s="143"/>
    </row>
    <row r="24" spans="1:18" ht="24" hidden="1" customHeight="1" x14ac:dyDescent="0.25">
      <c r="A24" s="143" t="s">
        <v>87</v>
      </c>
      <c r="B24" s="143"/>
      <c r="C24" s="143" t="s">
        <v>88</v>
      </c>
      <c r="D24" s="159" t="s">
        <v>76</v>
      </c>
      <c r="E24" s="224">
        <v>0</v>
      </c>
      <c r="F24" s="143">
        <v>0</v>
      </c>
      <c r="G24" s="143">
        <v>0</v>
      </c>
      <c r="H24" s="213">
        <v>0</v>
      </c>
      <c r="I24" s="213">
        <v>0</v>
      </c>
      <c r="J24" s="213">
        <v>0</v>
      </c>
      <c r="K24" s="143">
        <v>0</v>
      </c>
      <c r="L24" s="143" t="s">
        <v>77</v>
      </c>
      <c r="M24" s="143" t="s">
        <v>78</v>
      </c>
      <c r="N24" s="143"/>
      <c r="O24" s="143"/>
      <c r="P24" s="143"/>
      <c r="Q24" s="143"/>
      <c r="R24" s="143"/>
    </row>
    <row r="25" spans="1:18" ht="24" hidden="1" customHeight="1" x14ac:dyDescent="0.25">
      <c r="A25" s="143" t="s">
        <v>89</v>
      </c>
      <c r="B25" s="143"/>
      <c r="C25" s="143" t="s">
        <v>90</v>
      </c>
      <c r="D25" s="159" t="s">
        <v>76</v>
      </c>
      <c r="E25" s="224">
        <v>0</v>
      </c>
      <c r="F25" s="143">
        <v>0</v>
      </c>
      <c r="G25" s="143">
        <v>0</v>
      </c>
      <c r="H25" s="213">
        <v>0</v>
      </c>
      <c r="I25" s="213">
        <v>0</v>
      </c>
      <c r="J25" s="213">
        <v>0</v>
      </c>
      <c r="K25" s="143">
        <v>0</v>
      </c>
      <c r="L25" s="143" t="s">
        <v>77</v>
      </c>
      <c r="M25" s="143" t="s">
        <v>78</v>
      </c>
      <c r="N25" s="143"/>
      <c r="O25" s="143"/>
      <c r="P25" s="143"/>
      <c r="Q25" s="143"/>
      <c r="R25" s="143"/>
    </row>
    <row r="26" spans="1:18" ht="24" hidden="1" customHeight="1" x14ac:dyDescent="0.25">
      <c r="A26" s="109" t="s">
        <v>91</v>
      </c>
      <c r="B26" s="143"/>
      <c r="C26" s="143" t="s">
        <v>92</v>
      </c>
      <c r="D26" s="159" t="s">
        <v>76</v>
      </c>
      <c r="E26" s="224">
        <v>0</v>
      </c>
      <c r="F26" s="143">
        <v>0</v>
      </c>
      <c r="G26" s="143">
        <v>0</v>
      </c>
      <c r="H26" s="213">
        <v>0</v>
      </c>
      <c r="I26" s="213">
        <v>0</v>
      </c>
      <c r="J26" s="213">
        <v>0</v>
      </c>
      <c r="K26" s="143">
        <v>0</v>
      </c>
      <c r="L26" s="143" t="s">
        <v>77</v>
      </c>
      <c r="M26" s="143" t="s">
        <v>78</v>
      </c>
      <c r="N26" s="143"/>
      <c r="O26" s="143"/>
      <c r="P26" s="143"/>
      <c r="Q26" s="143"/>
      <c r="R26" s="143"/>
    </row>
    <row r="27" spans="1:18" ht="24" hidden="1" customHeight="1" x14ac:dyDescent="0.25">
      <c r="A27" s="6" t="s">
        <v>93</v>
      </c>
      <c r="B27" s="110"/>
      <c r="C27" s="143" t="s">
        <v>94</v>
      </c>
      <c r="D27" s="159" t="s">
        <v>76</v>
      </c>
      <c r="E27" s="224">
        <v>0</v>
      </c>
      <c r="F27" s="143">
        <v>0</v>
      </c>
      <c r="G27" s="143">
        <v>0</v>
      </c>
      <c r="H27" s="213">
        <v>0</v>
      </c>
      <c r="I27" s="213">
        <v>0</v>
      </c>
      <c r="J27" s="213">
        <v>0</v>
      </c>
      <c r="K27" s="143">
        <v>0</v>
      </c>
      <c r="L27" s="143" t="s">
        <v>77</v>
      </c>
      <c r="M27" s="143" t="s">
        <v>78</v>
      </c>
      <c r="N27" s="143"/>
      <c r="O27" s="143"/>
      <c r="P27" s="143"/>
      <c r="Q27" s="143"/>
      <c r="R27" s="143"/>
    </row>
    <row r="28" spans="1:18" ht="24" hidden="1" customHeight="1" x14ac:dyDescent="0.25">
      <c r="A28" s="6" t="s">
        <v>95</v>
      </c>
      <c r="B28" s="110"/>
      <c r="C28" s="143" t="s">
        <v>96</v>
      </c>
      <c r="D28" s="159" t="s">
        <v>76</v>
      </c>
      <c r="E28" s="224">
        <v>0</v>
      </c>
      <c r="F28" s="143">
        <v>0</v>
      </c>
      <c r="G28" s="143">
        <v>0</v>
      </c>
      <c r="H28" s="213">
        <v>0</v>
      </c>
      <c r="I28" s="213">
        <v>0</v>
      </c>
      <c r="J28" s="213">
        <v>0</v>
      </c>
      <c r="K28" s="143">
        <v>0</v>
      </c>
      <c r="L28" s="143" t="s">
        <v>77</v>
      </c>
      <c r="M28" s="143" t="s">
        <v>78</v>
      </c>
      <c r="N28" s="143"/>
      <c r="O28" s="143"/>
      <c r="P28" s="143"/>
      <c r="Q28" s="143"/>
      <c r="R28" s="143"/>
    </row>
    <row r="29" spans="1:18" ht="24" hidden="1" customHeight="1" x14ac:dyDescent="0.25">
      <c r="A29" s="6"/>
      <c r="B29" s="110"/>
      <c r="C29" s="143"/>
      <c r="D29" s="143"/>
      <c r="E29" s="224">
        <v>0</v>
      </c>
      <c r="F29" s="143"/>
      <c r="G29" s="143"/>
      <c r="H29" s="213">
        <v>0</v>
      </c>
      <c r="I29" s="213">
        <v>0</v>
      </c>
      <c r="J29" s="213">
        <v>0</v>
      </c>
      <c r="K29" s="143"/>
      <c r="L29" s="143"/>
      <c r="M29" s="143"/>
      <c r="N29" s="143"/>
      <c r="O29" s="143"/>
      <c r="P29" s="143"/>
      <c r="Q29" s="143"/>
      <c r="R29" s="143"/>
    </row>
    <row r="30" spans="1:18" ht="24" hidden="1" customHeight="1" x14ac:dyDescent="0.25">
      <c r="A30" s="6"/>
      <c r="B30" s="110"/>
      <c r="C30" s="143"/>
      <c r="D30" s="143"/>
      <c r="E30" s="224">
        <v>0</v>
      </c>
      <c r="F30" s="143"/>
      <c r="G30" s="143"/>
      <c r="H30" s="213">
        <v>0</v>
      </c>
      <c r="I30" s="213">
        <v>0</v>
      </c>
      <c r="J30" s="213">
        <v>0</v>
      </c>
      <c r="K30" s="143"/>
      <c r="L30" s="143"/>
      <c r="M30" s="143"/>
      <c r="N30" s="143"/>
      <c r="O30" s="143"/>
      <c r="P30" s="143"/>
      <c r="Q30" s="143"/>
      <c r="R30" s="143"/>
    </row>
    <row r="31" spans="1:18" hidden="1" x14ac:dyDescent="0.25">
      <c r="A31" s="6"/>
      <c r="B31" s="110"/>
      <c r="C31" s="143"/>
      <c r="D31" s="143"/>
      <c r="E31" s="224">
        <v>0</v>
      </c>
      <c r="F31" s="143"/>
      <c r="G31" s="143"/>
      <c r="H31" s="213">
        <v>0</v>
      </c>
      <c r="I31" s="213">
        <v>0</v>
      </c>
      <c r="J31" s="213">
        <v>0</v>
      </c>
      <c r="K31" s="143"/>
      <c r="L31" s="143"/>
      <c r="M31" s="143"/>
      <c r="N31" s="143"/>
      <c r="O31" s="143"/>
      <c r="P31" s="143"/>
      <c r="Q31" s="143"/>
      <c r="R31" s="143"/>
    </row>
    <row r="32" spans="1:18" x14ac:dyDescent="0.25">
      <c r="E32" s="227"/>
    </row>
    <row r="33" spans="1:10" x14ac:dyDescent="0.25">
      <c r="A33" t="s">
        <v>97</v>
      </c>
      <c r="C33">
        <v>144</v>
      </c>
      <c r="D33">
        <v>35</v>
      </c>
      <c r="E33" s="227"/>
    </row>
    <row r="34" spans="1:10" x14ac:dyDescent="0.25">
      <c r="A34" t="s">
        <v>98</v>
      </c>
      <c r="C34">
        <v>90</v>
      </c>
      <c r="D34">
        <v>25</v>
      </c>
      <c r="E34" s="227"/>
    </row>
    <row r="35" spans="1:10" x14ac:dyDescent="0.25">
      <c r="A35" t="s">
        <v>2053</v>
      </c>
      <c r="C35">
        <f>86*18</f>
        <v>1548</v>
      </c>
      <c r="D35">
        <v>50</v>
      </c>
      <c r="E35" s="227"/>
    </row>
    <row r="36" spans="1:10" x14ac:dyDescent="0.25">
      <c r="A36" t="s">
        <v>2073</v>
      </c>
      <c r="C36">
        <f>4*18</f>
        <v>72</v>
      </c>
      <c r="D36">
        <v>0</v>
      </c>
      <c r="E36" s="227"/>
    </row>
    <row r="37" spans="1:10" x14ac:dyDescent="0.25">
      <c r="E37" s="227"/>
    </row>
    <row r="38" spans="1:10" x14ac:dyDescent="0.25">
      <c r="E38" s="228"/>
      <c r="H38" s="221"/>
      <c r="I38" s="221">
        <v>37</v>
      </c>
      <c r="J38" s="221"/>
    </row>
    <row r="39" spans="1:10" x14ac:dyDescent="0.25">
      <c r="B39">
        <f>C35/18</f>
        <v>86</v>
      </c>
      <c r="F39">
        <f>C36/2*4</f>
        <v>144</v>
      </c>
      <c r="I39" s="220">
        <v>37</v>
      </c>
    </row>
    <row r="40" spans="1:10" x14ac:dyDescent="0.25">
      <c r="B40">
        <f>B39/13</f>
        <v>6.615384615384615</v>
      </c>
      <c r="E40" s="220">
        <f>72*18</f>
        <v>1296</v>
      </c>
      <c r="I40" s="220">
        <v>37</v>
      </c>
    </row>
    <row r="41" spans="1:10" x14ac:dyDescent="0.25">
      <c r="I41" s="336">
        <v>43</v>
      </c>
    </row>
    <row r="42" spans="1:10" x14ac:dyDescent="0.25">
      <c r="I42" s="336">
        <v>43</v>
      </c>
    </row>
    <row r="43" spans="1:10" x14ac:dyDescent="0.25">
      <c r="I43" s="336">
        <v>35</v>
      </c>
    </row>
    <row r="44" spans="1:10" x14ac:dyDescent="0.25">
      <c r="I44" s="336">
        <v>15</v>
      </c>
    </row>
  </sheetData>
  <mergeCells count="2">
    <mergeCell ref="A17:R17"/>
    <mergeCell ref="A1:R1"/>
  </mergeCells>
  <conditionalFormatting sqref="L4:L13">
    <cfRule type="expression" dxfId="130" priority="15">
      <formula>ISNUMBER(SEARCH("CRÍTICO",L4))</formula>
    </cfRule>
    <cfRule type="expression" dxfId="129" priority="16">
      <formula>ISNUMBER(SEARCH("ATENÇÃO",L4))</formula>
    </cfRule>
    <cfRule type="expression" dxfId="128" priority="17">
      <formula>ISNUMBER(SEARCH("OK",L4))</formula>
    </cfRule>
  </conditionalFormatting>
  <conditionalFormatting sqref="L19:L23">
    <cfRule type="expression" dxfId="127" priority="18">
      <formula>ISNUMBER(SEARCH("CRÍTICO",L19))</formula>
    </cfRule>
    <cfRule type="expression" dxfId="126" priority="19">
      <formula>ISNUMBER(SEARCH("ATENÇÃO",L19))</formula>
    </cfRule>
    <cfRule type="expression" dxfId="125" priority="20">
      <formula>ISNUMBER(SEARCH("OK",L19))</formula>
    </cfRule>
    <cfRule type="expression" dxfId="124" priority="20">
      <formula>ISNUMBER(SEARCH("BAIXADA",L19))</formula>
    </cfRule>
    <cfRule type="expression" dxfId="123" priority="21">
      <formula>ISNUMBER(SEARCH("CONFIRMAR",L19))</formula>
    </cfRule>
  </conditionalFormatting>
  <conditionalFormatting sqref="G4:G13">
    <cfRule type="colorScale" priority="11">
      <colorScale>
        <cfvo type="percent" val="0"/>
        <cfvo type="percent" val="100"/>
        <color rgb="FFFFFF00"/>
        <color rgb="FF00B050"/>
      </colorScale>
    </cfRule>
  </conditionalFormatting>
  <conditionalFormatting sqref="F19:F23">
    <cfRule type="colorScale" priority="10">
      <colorScale>
        <cfvo type="percent" val="0"/>
        <cfvo type="percent" val="100"/>
        <color rgb="FFFFFF00"/>
        <color rgb="FF00B050"/>
      </colorScale>
    </cfRule>
  </conditionalFormatting>
  <conditionalFormatting sqref="H4:H13">
    <cfRule type="expression" dxfId="122" priority="3">
      <formula>ISNUMBER(SEARCH("CRÍTICO",H4))</formula>
    </cfRule>
    <cfRule type="expression" dxfId="121" priority="4">
      <formula>ISNUMBER(SEARCH("ATENÇÃO",H4))</formula>
    </cfRule>
    <cfRule type="expression" dxfId="120" priority="5">
      <formula>ISNUMBER(SEARCH("OK",H4))</formula>
    </cfRule>
  </conditionalFormatting>
  <conditionalFormatting sqref="H19:H23">
    <cfRule type="expression" dxfId="119" priority="6">
      <formula>ISNUMBER(SEARCH("CRÍTICO",H19))</formula>
    </cfRule>
    <cfRule type="expression" dxfId="118" priority="7">
      <formula>ISNUMBER(SEARCH("ATENÇÃO",H19))</formula>
    </cfRule>
    <cfRule type="expression" dxfId="117" priority="8">
      <formula>ISNUMBER(SEARCH("BAIXADA",H19))</formula>
    </cfRule>
    <cfRule type="expression" dxfId="116" priority="9">
      <formula>ISNUMBER(SEARCH("CONFIRMAR",H19))</formula>
    </cfRule>
  </conditionalFormatting>
  <conditionalFormatting sqref="E8:E13">
    <cfRule type="colorScale" priority="2">
      <colorScale>
        <cfvo type="percent" val="0"/>
        <cfvo type="percent" val="100"/>
        <color rgb="FFFFFF00"/>
        <color rgb="FF00B050"/>
      </colorScale>
    </cfRule>
  </conditionalFormatting>
  <conditionalFormatting sqref="J4:J7">
    <cfRule type="colorScale" priority="1">
      <colorScale>
        <cfvo type="percent" val="0"/>
        <cfvo type="percent" val="100"/>
        <color rgb="FFFFFF00"/>
        <color rgb="FF00B050"/>
      </colorScale>
    </cfRule>
  </conditionalFormatting>
  <dataValidations disablePrompts="1" count="2">
    <dataValidation type="list" sqref="D19:D23" xr:uid="{00000000-0002-0000-0200-000000000000}">
      <formula1>"SIM,NÃO"</formula1>
    </dataValidation>
    <dataValidation type="list" sqref="D19:D28" xr:uid="{00000000-0002-0000-0200-000001000000}">
      <formula1>"NÃO,SIM,OK"</formula1>
    </dataValidation>
  </dataValidations>
  <pageMargins left="0.7" right="0.7" top="0.75" bottom="0.75" header="0.3" footer="0.3"/>
  <ignoredErrors>
    <ignoredError sqref="G1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9"/>
  <dimension ref="A1:Y408"/>
  <sheetViews>
    <sheetView showGridLines="0" topLeftCell="A40" workbookViewId="0">
      <selection activeCell="Q15" sqref="Q15"/>
    </sheetView>
  </sheetViews>
  <sheetFormatPr defaultColWidth="8.5703125" defaultRowHeight="15" x14ac:dyDescent="0.25"/>
  <cols>
    <col min="1" max="1" width="30" customWidth="1"/>
    <col min="2" max="2" width="32.28515625" customWidth="1"/>
    <col min="3" max="3" width="23.28515625" customWidth="1"/>
    <col min="4" max="4" width="21.28515625" customWidth="1"/>
    <col min="5" max="5" width="25" hidden="1" customWidth="1"/>
    <col min="6" max="6" width="15.140625" hidden="1" customWidth="1"/>
    <col min="7" max="7" width="16.7109375" hidden="1" customWidth="1"/>
    <col min="8" max="8" width="17.28515625" hidden="1" customWidth="1"/>
    <col min="9" max="9" width="25.140625" hidden="1" customWidth="1"/>
    <col min="10" max="11" width="21.7109375" hidden="1" customWidth="1"/>
    <col min="12" max="13" width="19.5703125" hidden="1" customWidth="1"/>
    <col min="14" max="14" width="22.7109375" hidden="1" customWidth="1"/>
    <col min="15" max="15" width="24.28515625" hidden="1" customWidth="1"/>
    <col min="16" max="22" width="24.7109375" customWidth="1"/>
    <col min="23" max="23" width="17" customWidth="1"/>
    <col min="24" max="24" width="21" customWidth="1"/>
    <col min="25" max="25" width="19" style="138" customWidth="1"/>
  </cols>
  <sheetData>
    <row r="1" spans="1:25" x14ac:dyDescent="0.25">
      <c r="A1" s="394" t="s">
        <v>99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95"/>
    </row>
    <row r="2" spans="1:25" ht="30" x14ac:dyDescent="0.25">
      <c r="A2" s="111" t="s">
        <v>100</v>
      </c>
      <c r="B2" s="111" t="s">
        <v>101</v>
      </c>
      <c r="C2" s="111" t="s">
        <v>102</v>
      </c>
      <c r="D2" s="112" t="s">
        <v>103</v>
      </c>
      <c r="E2" s="112" t="s">
        <v>2050</v>
      </c>
      <c r="F2" s="112" t="s">
        <v>2051</v>
      </c>
      <c r="G2" s="112" t="s">
        <v>105</v>
      </c>
      <c r="H2" s="112" t="s">
        <v>106</v>
      </c>
      <c r="I2" s="112" t="s">
        <v>107</v>
      </c>
      <c r="J2" s="112" t="s">
        <v>2067</v>
      </c>
      <c r="K2" s="112" t="s">
        <v>2068</v>
      </c>
      <c r="L2" s="112" t="s">
        <v>2069</v>
      </c>
      <c r="M2" s="112" t="s">
        <v>2070</v>
      </c>
      <c r="N2" s="112" t="s">
        <v>2072</v>
      </c>
      <c r="O2" s="112" t="s">
        <v>2071</v>
      </c>
      <c r="P2" s="112" t="s">
        <v>2077</v>
      </c>
      <c r="Q2" s="112" t="s">
        <v>2087</v>
      </c>
      <c r="R2" s="112" t="s">
        <v>2088</v>
      </c>
      <c r="S2" s="112" t="s">
        <v>2101</v>
      </c>
      <c r="T2" s="112" t="s">
        <v>2129</v>
      </c>
      <c r="U2" s="112" t="s">
        <v>2242</v>
      </c>
      <c r="V2" s="112"/>
      <c r="W2" s="112" t="s">
        <v>108</v>
      </c>
      <c r="X2" s="112" t="s">
        <v>109</v>
      </c>
      <c r="Y2" s="112" t="s">
        <v>110</v>
      </c>
    </row>
    <row r="3" spans="1:25" ht="20.100000000000001" customHeight="1" x14ac:dyDescent="0.25">
      <c r="A3" s="90" t="s">
        <v>111</v>
      </c>
      <c r="B3" s="90" t="s">
        <v>112</v>
      </c>
      <c r="C3" s="90" t="s">
        <v>113</v>
      </c>
      <c r="D3" s="139" t="s">
        <v>114</v>
      </c>
      <c r="E3" s="81">
        <v>100</v>
      </c>
      <c r="F3" s="81">
        <v>50</v>
      </c>
      <c r="G3" s="81">
        <v>0</v>
      </c>
      <c r="H3" s="81">
        <v>100</v>
      </c>
      <c r="I3" s="81">
        <v>34</v>
      </c>
      <c r="J3" s="81">
        <v>50</v>
      </c>
      <c r="K3" s="81">
        <v>0</v>
      </c>
      <c r="L3" s="81">
        <v>50</v>
      </c>
      <c r="M3" s="81">
        <v>50</v>
      </c>
      <c r="N3" s="81"/>
      <c r="O3" s="81">
        <v>50</v>
      </c>
      <c r="P3" s="81">
        <v>50</v>
      </c>
      <c r="Q3" s="81"/>
      <c r="R3" s="81">
        <v>100</v>
      </c>
      <c r="S3" s="81"/>
      <c r="T3" s="81"/>
      <c r="U3" s="81">
        <v>30</v>
      </c>
      <c r="V3" s="81"/>
      <c r="W3" s="81">
        <f>SUM(E3:V3)</f>
        <v>664</v>
      </c>
      <c r="X3" s="81">
        <v>1462</v>
      </c>
      <c r="Y3" s="150">
        <f t="shared" ref="Y3:Y35" si="0">MAX(0,X3-W3)</f>
        <v>798</v>
      </c>
    </row>
    <row r="4" spans="1:25" ht="20.100000000000001" customHeight="1" x14ac:dyDescent="0.25">
      <c r="A4" s="90" t="s">
        <v>115</v>
      </c>
      <c r="B4" s="90" t="s">
        <v>112</v>
      </c>
      <c r="C4" s="90" t="s">
        <v>116</v>
      </c>
      <c r="D4" s="139" t="s">
        <v>114</v>
      </c>
      <c r="E4" s="81">
        <v>100</v>
      </c>
      <c r="F4" s="81">
        <v>150</v>
      </c>
      <c r="G4" s="81">
        <v>0</v>
      </c>
      <c r="H4" s="81">
        <v>0</v>
      </c>
      <c r="I4" s="81">
        <v>34</v>
      </c>
      <c r="J4" s="81">
        <v>50</v>
      </c>
      <c r="K4" s="81">
        <v>0</v>
      </c>
      <c r="L4" s="81">
        <v>50</v>
      </c>
      <c r="M4" s="81">
        <v>50</v>
      </c>
      <c r="N4" s="81"/>
      <c r="O4" s="81">
        <v>50</v>
      </c>
      <c r="P4" s="81">
        <v>50</v>
      </c>
      <c r="Q4" s="81"/>
      <c r="R4" s="81"/>
      <c r="S4" s="81">
        <v>120</v>
      </c>
      <c r="T4" s="81"/>
      <c r="U4" s="81">
        <v>90</v>
      </c>
      <c r="V4" s="81"/>
      <c r="W4" s="81">
        <f t="shared" ref="W4:W68" si="1">SUM(E4:V4)</f>
        <v>744</v>
      </c>
      <c r="X4" s="81">
        <v>1634</v>
      </c>
      <c r="Y4" s="150">
        <f t="shared" si="0"/>
        <v>890</v>
      </c>
    </row>
    <row r="5" spans="1:25" ht="20.100000000000001" customHeight="1" x14ac:dyDescent="0.25">
      <c r="A5" s="90" t="s">
        <v>111</v>
      </c>
      <c r="B5" s="90" t="s">
        <v>112</v>
      </c>
      <c r="C5" s="90" t="s">
        <v>117</v>
      </c>
      <c r="D5" s="139" t="s">
        <v>114</v>
      </c>
      <c r="E5" s="81">
        <v>0</v>
      </c>
      <c r="F5" s="81">
        <v>0</v>
      </c>
      <c r="G5" s="81">
        <v>0</v>
      </c>
      <c r="H5" s="81">
        <v>0</v>
      </c>
      <c r="I5" s="81">
        <v>0</v>
      </c>
      <c r="J5" s="81">
        <v>0</v>
      </c>
      <c r="K5" s="81">
        <v>0</v>
      </c>
      <c r="L5" s="81"/>
      <c r="M5" s="81"/>
      <c r="N5" s="81"/>
      <c r="O5" s="81"/>
      <c r="P5" s="81">
        <v>0</v>
      </c>
      <c r="Q5" s="81"/>
      <c r="R5" s="81"/>
      <c r="S5" s="81"/>
      <c r="T5" s="81"/>
      <c r="U5" s="81"/>
      <c r="V5" s="81">
        <v>86</v>
      </c>
      <c r="W5" s="81">
        <f>SUM(E5:V5)</f>
        <v>86</v>
      </c>
      <c r="X5" s="81">
        <v>172</v>
      </c>
      <c r="Y5" s="150">
        <f t="shared" si="0"/>
        <v>86</v>
      </c>
    </row>
    <row r="6" spans="1:25" ht="20.100000000000001" customHeight="1" x14ac:dyDescent="0.25">
      <c r="A6" s="90" t="s">
        <v>118</v>
      </c>
      <c r="B6" s="90" t="s">
        <v>119</v>
      </c>
      <c r="C6" s="90" t="s">
        <v>120</v>
      </c>
      <c r="D6" s="139" t="s">
        <v>114</v>
      </c>
      <c r="E6" s="81">
        <v>1092</v>
      </c>
      <c r="F6" s="81">
        <v>0</v>
      </c>
      <c r="G6" s="81">
        <v>624</v>
      </c>
      <c r="H6" s="81">
        <v>0</v>
      </c>
      <c r="I6" s="81">
        <v>0</v>
      </c>
      <c r="J6" s="81">
        <v>0</v>
      </c>
      <c r="K6" s="81">
        <v>462</v>
      </c>
      <c r="L6" s="81"/>
      <c r="M6" s="81"/>
      <c r="N6" s="81">
        <v>468</v>
      </c>
      <c r="O6" s="81"/>
      <c r="P6" s="81">
        <v>0</v>
      </c>
      <c r="Q6" s="81"/>
      <c r="R6" s="81"/>
      <c r="S6" s="81"/>
      <c r="T6" s="81">
        <v>152</v>
      </c>
      <c r="U6" s="81"/>
      <c r="V6" s="81"/>
      <c r="W6" s="81">
        <f t="shared" si="1"/>
        <v>2798</v>
      </c>
      <c r="X6" s="81">
        <v>3268</v>
      </c>
      <c r="Y6" s="150">
        <f t="shared" si="0"/>
        <v>470</v>
      </c>
    </row>
    <row r="7" spans="1:25" ht="20.100000000000001" customHeight="1" x14ac:dyDescent="0.25">
      <c r="A7" s="90" t="s">
        <v>118</v>
      </c>
      <c r="B7" s="90" t="s">
        <v>119</v>
      </c>
      <c r="C7" s="90" t="s">
        <v>121</v>
      </c>
      <c r="D7" s="139" t="s">
        <v>114</v>
      </c>
      <c r="E7" s="81">
        <v>1092</v>
      </c>
      <c r="F7" s="81">
        <v>0</v>
      </c>
      <c r="G7" s="81">
        <v>624</v>
      </c>
      <c r="H7" s="81">
        <v>0</v>
      </c>
      <c r="I7" s="81">
        <v>0</v>
      </c>
      <c r="J7" s="81">
        <v>0</v>
      </c>
      <c r="K7" s="81">
        <v>156</v>
      </c>
      <c r="L7" s="81"/>
      <c r="M7" s="81"/>
      <c r="N7" s="81">
        <v>616</v>
      </c>
      <c r="O7" s="81"/>
      <c r="P7" s="81">
        <v>0</v>
      </c>
      <c r="Q7" s="81"/>
      <c r="R7" s="81"/>
      <c r="S7" s="81"/>
      <c r="T7" s="81">
        <v>312</v>
      </c>
      <c r="U7" s="81"/>
      <c r="V7" s="81"/>
      <c r="W7" s="81">
        <f t="shared" si="1"/>
        <v>2800</v>
      </c>
      <c r="X7" s="81">
        <v>3268</v>
      </c>
      <c r="Y7" s="150">
        <f t="shared" si="0"/>
        <v>468</v>
      </c>
    </row>
    <row r="8" spans="1:25" ht="20.100000000000001" customHeight="1" x14ac:dyDescent="0.25">
      <c r="A8" s="90" t="s">
        <v>122</v>
      </c>
      <c r="B8" s="90" t="s">
        <v>119</v>
      </c>
      <c r="C8" s="90" t="s">
        <v>123</v>
      </c>
      <c r="D8" s="139" t="s">
        <v>114</v>
      </c>
      <c r="E8" s="81">
        <v>1092</v>
      </c>
      <c r="F8" s="81">
        <v>0</v>
      </c>
      <c r="G8" s="81">
        <v>3744</v>
      </c>
      <c r="H8" s="81">
        <v>0</v>
      </c>
      <c r="I8" s="81">
        <v>0</v>
      </c>
      <c r="J8" s="81">
        <v>0</v>
      </c>
      <c r="K8" s="81">
        <v>3744</v>
      </c>
      <c r="L8" s="81"/>
      <c r="M8" s="81"/>
      <c r="N8" s="81">
        <v>3900</v>
      </c>
      <c r="O8" s="81"/>
      <c r="P8" s="81">
        <v>0</v>
      </c>
      <c r="Q8" s="81">
        <v>1872</v>
      </c>
      <c r="R8" s="81"/>
      <c r="S8" s="81"/>
      <c r="T8" s="81">
        <v>3900</v>
      </c>
      <c r="U8" s="81"/>
      <c r="V8" s="81"/>
      <c r="W8" s="81">
        <f t="shared" si="1"/>
        <v>18252</v>
      </c>
      <c r="X8" s="81">
        <v>42484</v>
      </c>
      <c r="Y8" s="150">
        <f t="shared" si="0"/>
        <v>24232</v>
      </c>
    </row>
    <row r="9" spans="1:25" ht="20.100000000000001" customHeight="1" x14ac:dyDescent="0.25">
      <c r="A9" s="90" t="s">
        <v>124</v>
      </c>
      <c r="B9" s="90" t="s">
        <v>125</v>
      </c>
      <c r="C9" s="90" t="s">
        <v>126</v>
      </c>
      <c r="D9" s="139" t="s">
        <v>114</v>
      </c>
      <c r="E9" s="81">
        <v>2000</v>
      </c>
      <c r="F9" s="81">
        <v>0</v>
      </c>
      <c r="G9" s="81">
        <v>4400</v>
      </c>
      <c r="H9" s="81">
        <v>0</v>
      </c>
      <c r="I9" s="81">
        <v>0</v>
      </c>
      <c r="J9" s="81">
        <v>0</v>
      </c>
      <c r="K9" s="81">
        <v>8000</v>
      </c>
      <c r="L9" s="81"/>
      <c r="M9" s="81"/>
      <c r="N9" s="81"/>
      <c r="O9" s="81"/>
      <c r="P9" s="81">
        <v>0</v>
      </c>
      <c r="Q9" s="81">
        <v>10000</v>
      </c>
      <c r="R9" s="81"/>
      <c r="S9" s="81"/>
      <c r="T9" s="81">
        <v>4000</v>
      </c>
      <c r="U9" s="81"/>
      <c r="V9" s="81"/>
      <c r="W9" s="81">
        <f t="shared" si="1"/>
        <v>28400</v>
      </c>
      <c r="X9" s="81">
        <v>52288</v>
      </c>
      <c r="Y9" s="150">
        <f t="shared" si="0"/>
        <v>23888</v>
      </c>
    </row>
    <row r="10" spans="1:25" ht="20.100000000000001" customHeight="1" x14ac:dyDescent="0.25">
      <c r="A10" s="90" t="s">
        <v>127</v>
      </c>
      <c r="B10" s="90" t="s">
        <v>125</v>
      </c>
      <c r="C10" s="90" t="s">
        <v>128</v>
      </c>
      <c r="D10" s="139" t="s">
        <v>114</v>
      </c>
      <c r="E10" s="81">
        <v>1000</v>
      </c>
      <c r="F10" s="81">
        <v>0</v>
      </c>
      <c r="G10" s="81">
        <v>2400</v>
      </c>
      <c r="H10" s="81">
        <v>0</v>
      </c>
      <c r="I10" s="81">
        <v>0</v>
      </c>
      <c r="J10" s="81">
        <v>0</v>
      </c>
      <c r="K10" s="81">
        <v>0</v>
      </c>
      <c r="L10" s="81"/>
      <c r="M10" s="81"/>
      <c r="N10" s="81"/>
      <c r="O10" s="81"/>
      <c r="P10" s="81">
        <v>0</v>
      </c>
      <c r="Q10" s="81"/>
      <c r="R10" s="81"/>
      <c r="S10" s="81"/>
      <c r="T10" s="81">
        <v>1200</v>
      </c>
      <c r="U10" s="81"/>
      <c r="V10" s="81"/>
      <c r="W10" s="81">
        <f t="shared" si="1"/>
        <v>4600</v>
      </c>
      <c r="X10" s="81">
        <v>6536</v>
      </c>
      <c r="Y10" s="150">
        <f t="shared" si="0"/>
        <v>1936</v>
      </c>
    </row>
    <row r="11" spans="1:25" ht="20.100000000000001" customHeight="1" x14ac:dyDescent="0.25">
      <c r="A11" s="90" t="s">
        <v>129</v>
      </c>
      <c r="B11" s="90" t="s">
        <v>130</v>
      </c>
      <c r="C11" s="90" t="s">
        <v>131</v>
      </c>
      <c r="D11" s="139" t="s">
        <v>114</v>
      </c>
      <c r="E11" s="81">
        <v>500</v>
      </c>
      <c r="F11" s="81">
        <v>0</v>
      </c>
      <c r="G11" s="81">
        <v>1100</v>
      </c>
      <c r="H11" s="81">
        <v>1400</v>
      </c>
      <c r="I11" s="81">
        <v>400</v>
      </c>
      <c r="J11" s="81">
        <v>1000</v>
      </c>
      <c r="K11" s="81">
        <v>700</v>
      </c>
      <c r="L11" s="81">
        <v>600</v>
      </c>
      <c r="M11" s="81">
        <v>600</v>
      </c>
      <c r="N11" s="81"/>
      <c r="O11" s="81">
        <v>600</v>
      </c>
      <c r="P11" s="81">
        <v>0</v>
      </c>
      <c r="Q11" s="81">
        <v>400</v>
      </c>
      <c r="R11" s="81"/>
      <c r="S11" s="81"/>
      <c r="T11" s="81">
        <v>600</v>
      </c>
      <c r="U11" s="81"/>
      <c r="V11" s="81"/>
      <c r="W11" s="81">
        <f t="shared" si="1"/>
        <v>7900</v>
      </c>
      <c r="X11" s="81">
        <v>12255</v>
      </c>
      <c r="Y11" s="150">
        <f t="shared" si="0"/>
        <v>4355</v>
      </c>
    </row>
    <row r="12" spans="1:25" ht="20.100000000000001" customHeight="1" x14ac:dyDescent="0.25">
      <c r="A12" s="90" t="s">
        <v>129</v>
      </c>
      <c r="B12" s="90" t="s">
        <v>130</v>
      </c>
      <c r="C12" s="90" t="s">
        <v>132</v>
      </c>
      <c r="D12" s="139" t="s">
        <v>114</v>
      </c>
      <c r="E12" s="81">
        <v>500</v>
      </c>
      <c r="F12" s="81">
        <v>0</v>
      </c>
      <c r="G12" s="81">
        <v>1300</v>
      </c>
      <c r="H12" s="81">
        <v>0</v>
      </c>
      <c r="I12" s="81">
        <v>1000</v>
      </c>
      <c r="J12" s="81">
        <v>400</v>
      </c>
      <c r="K12" s="81">
        <v>700</v>
      </c>
      <c r="L12" s="81">
        <v>600</v>
      </c>
      <c r="M12" s="81">
        <v>600</v>
      </c>
      <c r="N12" s="81"/>
      <c r="O12" s="81">
        <v>600</v>
      </c>
      <c r="P12" s="81">
        <v>0</v>
      </c>
      <c r="Q12" s="81">
        <v>800</v>
      </c>
      <c r="R12" s="81"/>
      <c r="S12" s="81"/>
      <c r="T12" s="81">
        <v>600</v>
      </c>
      <c r="U12" s="81"/>
      <c r="V12" s="81"/>
      <c r="W12" s="81">
        <f t="shared" si="1"/>
        <v>7100</v>
      </c>
      <c r="X12" s="81">
        <v>12255</v>
      </c>
      <c r="Y12" s="150">
        <f t="shared" si="0"/>
        <v>5155</v>
      </c>
    </row>
    <row r="13" spans="1:25" ht="20.100000000000001" customHeight="1" x14ac:dyDescent="0.25">
      <c r="A13" s="90" t="s">
        <v>133</v>
      </c>
      <c r="B13" s="90" t="s">
        <v>130</v>
      </c>
      <c r="C13" s="90" t="s">
        <v>134</v>
      </c>
      <c r="D13" s="139" t="s">
        <v>114</v>
      </c>
      <c r="E13" s="81">
        <v>1000</v>
      </c>
      <c r="F13" s="81">
        <v>0</v>
      </c>
      <c r="G13" s="81">
        <v>4000</v>
      </c>
      <c r="H13" s="81">
        <v>0</v>
      </c>
      <c r="I13" s="81">
        <v>0</v>
      </c>
      <c r="J13" s="81">
        <v>2000</v>
      </c>
      <c r="K13" s="81">
        <v>4000</v>
      </c>
      <c r="L13" s="81"/>
      <c r="M13" s="81"/>
      <c r="N13" s="81">
        <v>8000</v>
      </c>
      <c r="O13" s="81"/>
      <c r="P13" s="81">
        <v>0</v>
      </c>
      <c r="Q13" s="81">
        <v>5000</v>
      </c>
      <c r="R13" s="81"/>
      <c r="S13" s="81"/>
      <c r="T13" s="81">
        <v>4000</v>
      </c>
      <c r="U13" s="81"/>
      <c r="V13" s="81"/>
      <c r="W13" s="81">
        <f t="shared" si="1"/>
        <v>28000</v>
      </c>
      <c r="X13" s="81">
        <v>49020</v>
      </c>
      <c r="Y13" s="150">
        <f t="shared" si="0"/>
        <v>21020</v>
      </c>
    </row>
    <row r="14" spans="1:25" ht="20.100000000000001" customHeight="1" x14ac:dyDescent="0.25">
      <c r="A14" s="90" t="s">
        <v>135</v>
      </c>
      <c r="B14" s="90" t="s">
        <v>136</v>
      </c>
      <c r="C14" s="90" t="s">
        <v>137</v>
      </c>
      <c r="D14" s="139" t="s">
        <v>114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1">
        <v>0</v>
      </c>
      <c r="K14" s="81">
        <v>0</v>
      </c>
      <c r="L14" s="81"/>
      <c r="M14" s="81"/>
      <c r="N14" s="81"/>
      <c r="O14" s="81"/>
      <c r="P14" s="81">
        <v>0</v>
      </c>
      <c r="Q14" s="81">
        <v>45</v>
      </c>
      <c r="R14" s="81"/>
      <c r="S14" s="81"/>
      <c r="T14" s="81"/>
      <c r="U14" s="81">
        <v>41</v>
      </c>
      <c r="V14" s="81"/>
      <c r="W14" s="81">
        <f t="shared" si="1"/>
        <v>86</v>
      </c>
      <c r="X14" s="81">
        <v>570</v>
      </c>
      <c r="Y14" s="150">
        <f t="shared" si="0"/>
        <v>484</v>
      </c>
    </row>
    <row r="15" spans="1:25" ht="20.100000000000001" customHeight="1" x14ac:dyDescent="0.25">
      <c r="A15" s="90" t="s">
        <v>138</v>
      </c>
      <c r="B15" s="90" t="s">
        <v>139</v>
      </c>
      <c r="C15" s="90" t="s">
        <v>140</v>
      </c>
      <c r="D15" s="139" t="s">
        <v>141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/>
      <c r="M15" s="81"/>
      <c r="N15" s="81"/>
      <c r="O15" s="81"/>
      <c r="P15" s="81">
        <v>0</v>
      </c>
      <c r="Q15" s="81"/>
      <c r="R15" s="81"/>
      <c r="S15" s="81"/>
      <c r="T15" s="81"/>
      <c r="U15" s="81"/>
      <c r="V15" s="81"/>
      <c r="W15" s="81">
        <f t="shared" si="1"/>
        <v>0</v>
      </c>
      <c r="X15" s="81">
        <v>173</v>
      </c>
      <c r="Y15" s="150">
        <f t="shared" si="0"/>
        <v>173</v>
      </c>
    </row>
    <row r="16" spans="1:25" ht="20.100000000000001" customHeight="1" x14ac:dyDescent="0.25">
      <c r="A16" s="90" t="s">
        <v>142</v>
      </c>
      <c r="B16" s="90" t="s">
        <v>143</v>
      </c>
      <c r="C16" s="90" t="s">
        <v>144</v>
      </c>
      <c r="D16" s="139" t="s">
        <v>141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81">
        <v>0</v>
      </c>
      <c r="L16" s="81"/>
      <c r="M16" s="81"/>
      <c r="N16" s="81"/>
      <c r="O16" s="81"/>
      <c r="P16" s="81">
        <v>0</v>
      </c>
      <c r="Q16" s="81"/>
      <c r="R16" s="81"/>
      <c r="S16" s="81"/>
      <c r="T16" s="81"/>
      <c r="U16" s="81"/>
      <c r="V16" s="81"/>
      <c r="W16" s="81">
        <f t="shared" si="1"/>
        <v>0</v>
      </c>
      <c r="X16" s="81">
        <v>124</v>
      </c>
      <c r="Y16" s="150">
        <f t="shared" si="0"/>
        <v>124</v>
      </c>
    </row>
    <row r="17" spans="1:25" ht="20.100000000000001" customHeight="1" x14ac:dyDescent="0.25">
      <c r="A17" s="90" t="s">
        <v>145</v>
      </c>
      <c r="B17" s="90" t="s">
        <v>146</v>
      </c>
      <c r="C17" s="90" t="s">
        <v>147</v>
      </c>
      <c r="D17" s="139" t="s">
        <v>141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81">
        <v>0</v>
      </c>
      <c r="L17" s="81"/>
      <c r="M17" s="81"/>
      <c r="N17" s="81"/>
      <c r="O17" s="81"/>
      <c r="P17" s="81">
        <v>0</v>
      </c>
      <c r="Q17" s="81"/>
      <c r="R17" s="81"/>
      <c r="S17" s="81"/>
      <c r="T17" s="81"/>
      <c r="U17" s="81"/>
      <c r="V17" s="81"/>
      <c r="W17" s="81">
        <f t="shared" si="1"/>
        <v>0</v>
      </c>
      <c r="X17" s="81">
        <v>16</v>
      </c>
      <c r="Y17" s="150">
        <f t="shared" si="0"/>
        <v>16</v>
      </c>
    </row>
    <row r="18" spans="1:25" ht="20.100000000000001" customHeight="1" x14ac:dyDescent="0.25">
      <c r="A18" s="90" t="s">
        <v>148</v>
      </c>
      <c r="B18" s="90" t="s">
        <v>146</v>
      </c>
      <c r="C18" s="90" t="s">
        <v>149</v>
      </c>
      <c r="D18" s="139" t="s">
        <v>141</v>
      </c>
      <c r="E18" s="81">
        <v>0</v>
      </c>
      <c r="F18">
        <v>0</v>
      </c>
      <c r="G18" s="81">
        <v>0</v>
      </c>
      <c r="H18" s="81">
        <v>0</v>
      </c>
      <c r="I18" s="81">
        <v>0</v>
      </c>
      <c r="J18" s="81">
        <v>0</v>
      </c>
      <c r="K18" s="81">
        <v>0</v>
      </c>
      <c r="L18" s="81"/>
      <c r="M18" s="81"/>
      <c r="N18" s="81"/>
      <c r="O18" s="81"/>
      <c r="P18" s="81">
        <v>0</v>
      </c>
      <c r="Q18" s="81"/>
      <c r="R18" s="81"/>
      <c r="S18" s="81"/>
      <c r="T18" s="81"/>
      <c r="U18" s="81"/>
      <c r="V18" s="81"/>
      <c r="W18" s="81">
        <f t="shared" si="1"/>
        <v>0</v>
      </c>
      <c r="X18" s="81">
        <v>8</v>
      </c>
      <c r="Y18" s="150">
        <f t="shared" si="0"/>
        <v>8</v>
      </c>
    </row>
    <row r="19" spans="1:25" ht="20.100000000000001" customHeight="1" x14ac:dyDescent="0.25">
      <c r="A19" s="90" t="s">
        <v>150</v>
      </c>
      <c r="B19" s="90" t="s">
        <v>151</v>
      </c>
      <c r="C19" s="90" t="s">
        <v>152</v>
      </c>
      <c r="D19" s="139" t="s">
        <v>141</v>
      </c>
      <c r="E19" s="81">
        <v>0</v>
      </c>
      <c r="F19" s="81">
        <v>0</v>
      </c>
      <c r="G19" s="81">
        <v>0</v>
      </c>
      <c r="H19" s="81">
        <v>0</v>
      </c>
      <c r="I19" s="81">
        <v>0</v>
      </c>
      <c r="J19" s="81">
        <v>0</v>
      </c>
      <c r="K19" s="81">
        <v>0</v>
      </c>
      <c r="L19" s="81"/>
      <c r="M19" s="81"/>
      <c r="N19" s="81"/>
      <c r="O19" s="81"/>
      <c r="P19" s="81">
        <v>0</v>
      </c>
      <c r="Q19" s="81"/>
      <c r="R19" s="81"/>
      <c r="S19" s="81"/>
      <c r="T19" s="81"/>
      <c r="U19" s="81"/>
      <c r="V19" s="81"/>
      <c r="W19" s="81">
        <f t="shared" si="1"/>
        <v>0</v>
      </c>
      <c r="X19" s="81">
        <v>122</v>
      </c>
      <c r="Y19" s="150">
        <f t="shared" si="0"/>
        <v>122</v>
      </c>
    </row>
    <row r="20" spans="1:25" ht="20.100000000000001" customHeight="1" x14ac:dyDescent="0.25">
      <c r="A20" s="90" t="s">
        <v>150</v>
      </c>
      <c r="B20" s="90" t="s">
        <v>151</v>
      </c>
      <c r="C20" s="90" t="s">
        <v>153</v>
      </c>
      <c r="D20" s="139" t="s">
        <v>141</v>
      </c>
      <c r="E20" s="81">
        <v>0</v>
      </c>
      <c r="F20" s="81">
        <v>0</v>
      </c>
      <c r="G20" s="81">
        <v>0</v>
      </c>
      <c r="H20" s="81">
        <v>0</v>
      </c>
      <c r="I20" s="81">
        <v>0</v>
      </c>
      <c r="J20" s="81">
        <v>0</v>
      </c>
      <c r="K20" s="81">
        <v>0</v>
      </c>
      <c r="L20" s="81"/>
      <c r="M20" s="81"/>
      <c r="N20" s="81"/>
      <c r="O20" s="81"/>
      <c r="P20" s="81">
        <v>0</v>
      </c>
      <c r="Q20" s="81"/>
      <c r="R20" s="81"/>
      <c r="S20" s="81"/>
      <c r="T20" s="81"/>
      <c r="U20" s="81"/>
      <c r="V20" s="81"/>
      <c r="W20" s="81">
        <f t="shared" si="1"/>
        <v>0</v>
      </c>
      <c r="X20" s="81">
        <v>2</v>
      </c>
      <c r="Y20" s="150">
        <f t="shared" si="0"/>
        <v>2</v>
      </c>
    </row>
    <row r="21" spans="1:25" ht="20.100000000000001" customHeight="1" x14ac:dyDescent="0.25">
      <c r="A21" s="90" t="s">
        <v>154</v>
      </c>
      <c r="B21" s="90" t="s">
        <v>155</v>
      </c>
      <c r="C21" s="90" t="s">
        <v>156</v>
      </c>
      <c r="D21" s="139" t="s">
        <v>141</v>
      </c>
      <c r="E21" s="81">
        <v>0</v>
      </c>
      <c r="F21" s="81">
        <v>0</v>
      </c>
      <c r="G21" s="81">
        <v>0</v>
      </c>
      <c r="H21" s="81">
        <v>0</v>
      </c>
      <c r="I21" s="81">
        <v>0</v>
      </c>
      <c r="J21" s="81">
        <v>0</v>
      </c>
      <c r="K21" s="81">
        <v>0</v>
      </c>
      <c r="L21" s="81"/>
      <c r="M21" s="81"/>
      <c r="N21" s="81"/>
      <c r="O21" s="81"/>
      <c r="P21" s="81">
        <v>0</v>
      </c>
      <c r="Q21" s="81"/>
      <c r="R21" s="81"/>
      <c r="S21" s="81"/>
      <c r="T21" s="81"/>
      <c r="U21" s="81"/>
      <c r="V21" s="81"/>
      <c r="W21" s="81">
        <f t="shared" si="1"/>
        <v>0</v>
      </c>
      <c r="X21" s="81">
        <v>258</v>
      </c>
      <c r="Y21" s="150">
        <f t="shared" si="0"/>
        <v>258</v>
      </c>
    </row>
    <row r="22" spans="1:25" ht="20.100000000000001" customHeight="1" x14ac:dyDescent="0.25">
      <c r="A22" s="90" t="s">
        <v>157</v>
      </c>
      <c r="B22" s="90" t="s">
        <v>158</v>
      </c>
      <c r="C22" s="90" t="s">
        <v>159</v>
      </c>
      <c r="D22" s="139" t="s">
        <v>141</v>
      </c>
      <c r="E22" s="98">
        <v>0</v>
      </c>
      <c r="F22" s="81">
        <v>0</v>
      </c>
      <c r="G22" s="81">
        <v>0</v>
      </c>
      <c r="H22" s="81">
        <v>0</v>
      </c>
      <c r="I22" s="81">
        <v>0</v>
      </c>
      <c r="J22" s="81">
        <v>0</v>
      </c>
      <c r="K22" s="81">
        <v>0</v>
      </c>
      <c r="L22" s="81"/>
      <c r="M22" s="81"/>
      <c r="N22" s="81"/>
      <c r="O22" s="81"/>
      <c r="P22" s="81">
        <v>0</v>
      </c>
      <c r="Q22" s="81"/>
      <c r="R22" s="81"/>
      <c r="S22" s="81"/>
      <c r="T22" s="81"/>
      <c r="U22" s="81"/>
      <c r="V22" s="81"/>
      <c r="W22" s="81">
        <f t="shared" si="1"/>
        <v>0</v>
      </c>
      <c r="X22" s="81">
        <v>292</v>
      </c>
      <c r="Y22" s="150">
        <f t="shared" si="0"/>
        <v>292</v>
      </c>
    </row>
    <row r="23" spans="1:25" ht="20.100000000000001" customHeight="1" x14ac:dyDescent="0.25">
      <c r="A23" s="90" t="s">
        <v>160</v>
      </c>
      <c r="B23" s="90" t="s">
        <v>161</v>
      </c>
      <c r="C23" s="90" t="s">
        <v>162</v>
      </c>
      <c r="D23" s="139" t="s">
        <v>141</v>
      </c>
      <c r="E23" s="81">
        <v>0</v>
      </c>
      <c r="F23" s="81">
        <v>0</v>
      </c>
      <c r="G23" s="81">
        <v>0</v>
      </c>
      <c r="H23" s="81">
        <v>0</v>
      </c>
      <c r="I23" s="81">
        <v>0</v>
      </c>
      <c r="J23" s="81">
        <v>0</v>
      </c>
      <c r="K23" s="81">
        <v>0</v>
      </c>
      <c r="L23" s="81"/>
      <c r="M23" s="81"/>
      <c r="N23" s="81"/>
      <c r="O23" s="81"/>
      <c r="P23" s="81">
        <v>0</v>
      </c>
      <c r="Q23" s="81"/>
      <c r="R23" s="81"/>
      <c r="S23" s="81"/>
      <c r="T23" s="81"/>
      <c r="U23" s="81"/>
      <c r="V23" s="81"/>
      <c r="W23" s="81">
        <f t="shared" si="1"/>
        <v>0</v>
      </c>
      <c r="X23" s="81">
        <v>205</v>
      </c>
      <c r="Y23" s="150">
        <f t="shared" si="0"/>
        <v>205</v>
      </c>
    </row>
    <row r="24" spans="1:25" ht="20.100000000000001" customHeight="1" x14ac:dyDescent="0.25">
      <c r="A24" s="90" t="s">
        <v>160</v>
      </c>
      <c r="B24" s="90" t="s">
        <v>161</v>
      </c>
      <c r="C24" s="90" t="s">
        <v>163</v>
      </c>
      <c r="D24" s="139" t="s">
        <v>141</v>
      </c>
      <c r="E24" s="81">
        <v>0</v>
      </c>
      <c r="F24" s="81">
        <v>0</v>
      </c>
      <c r="G24" s="81">
        <v>0</v>
      </c>
      <c r="H24" s="81">
        <v>0</v>
      </c>
      <c r="I24" s="81">
        <v>0</v>
      </c>
      <c r="J24" s="81">
        <v>0</v>
      </c>
      <c r="K24" s="81">
        <v>0</v>
      </c>
      <c r="L24" s="81"/>
      <c r="M24" s="81"/>
      <c r="N24" s="81"/>
      <c r="O24" s="81"/>
      <c r="P24" s="81">
        <v>0</v>
      </c>
      <c r="Q24" s="81"/>
      <c r="R24" s="81"/>
      <c r="S24" s="81"/>
      <c r="T24" s="81"/>
      <c r="U24" s="81"/>
      <c r="V24" s="81"/>
      <c r="W24" s="81">
        <f t="shared" si="1"/>
        <v>0</v>
      </c>
      <c r="X24" s="81">
        <v>16</v>
      </c>
      <c r="Y24" s="150">
        <f t="shared" si="0"/>
        <v>16</v>
      </c>
    </row>
    <row r="25" spans="1:25" ht="20.100000000000001" customHeight="1" x14ac:dyDescent="0.25">
      <c r="A25" s="90" t="s">
        <v>164</v>
      </c>
      <c r="B25" s="90" t="s">
        <v>165</v>
      </c>
      <c r="C25" s="90" t="s">
        <v>166</v>
      </c>
      <c r="D25" s="139" t="s">
        <v>141</v>
      </c>
      <c r="E25" s="81">
        <v>0</v>
      </c>
      <c r="F25" s="81">
        <v>0</v>
      </c>
      <c r="G25" s="81">
        <v>0</v>
      </c>
      <c r="H25" s="81">
        <v>0</v>
      </c>
      <c r="I25" s="81">
        <v>0</v>
      </c>
      <c r="J25" s="81">
        <v>0</v>
      </c>
      <c r="K25" s="81">
        <v>0</v>
      </c>
      <c r="L25" s="81"/>
      <c r="M25" s="81"/>
      <c r="N25" s="81"/>
      <c r="O25" s="81"/>
      <c r="P25" s="81">
        <v>0</v>
      </c>
      <c r="Q25" s="81"/>
      <c r="R25" s="81"/>
      <c r="S25" s="81"/>
      <c r="T25" s="81"/>
      <c r="U25" s="81"/>
      <c r="V25" s="81"/>
      <c r="W25" s="81">
        <f t="shared" si="1"/>
        <v>0</v>
      </c>
      <c r="X25" s="81">
        <v>1555</v>
      </c>
      <c r="Y25" s="150">
        <f t="shared" si="0"/>
        <v>1555</v>
      </c>
    </row>
    <row r="26" spans="1:25" ht="20.100000000000001" customHeight="1" x14ac:dyDescent="0.25">
      <c r="A26" s="90" t="s">
        <v>167</v>
      </c>
      <c r="B26" s="90" t="s">
        <v>168</v>
      </c>
      <c r="C26" s="90" t="s">
        <v>169</v>
      </c>
      <c r="D26" s="139" t="s">
        <v>141</v>
      </c>
      <c r="E26" s="81">
        <v>0</v>
      </c>
      <c r="F26" s="81">
        <v>0</v>
      </c>
      <c r="G26" s="81">
        <v>0</v>
      </c>
      <c r="H26" s="81">
        <v>0</v>
      </c>
      <c r="I26" s="81">
        <v>0</v>
      </c>
      <c r="J26" s="81">
        <v>0</v>
      </c>
      <c r="K26" s="81">
        <v>0</v>
      </c>
      <c r="L26" s="81"/>
      <c r="M26" s="81"/>
      <c r="N26" s="81">
        <v>4</v>
      </c>
      <c r="O26" s="81"/>
      <c r="P26" s="81">
        <v>0</v>
      </c>
      <c r="Q26" s="81"/>
      <c r="R26" s="81"/>
      <c r="S26" s="81"/>
      <c r="T26" s="81"/>
      <c r="U26" s="81"/>
      <c r="V26" s="81"/>
      <c r="W26" s="81">
        <f t="shared" si="1"/>
        <v>4</v>
      </c>
      <c r="X26" s="81">
        <v>4</v>
      </c>
      <c r="Y26" s="150">
        <f t="shared" si="0"/>
        <v>0</v>
      </c>
    </row>
    <row r="27" spans="1:25" ht="20.100000000000001" customHeight="1" x14ac:dyDescent="0.25">
      <c r="A27" s="90" t="s">
        <v>167</v>
      </c>
      <c r="B27" s="90" t="s">
        <v>168</v>
      </c>
      <c r="C27" s="90" t="s">
        <v>170</v>
      </c>
      <c r="D27" s="139" t="s">
        <v>141</v>
      </c>
      <c r="E27" s="81">
        <v>0</v>
      </c>
      <c r="F27" s="81">
        <v>0</v>
      </c>
      <c r="G27" s="81">
        <v>0</v>
      </c>
      <c r="H27" s="81">
        <v>0</v>
      </c>
      <c r="I27" s="81">
        <v>0</v>
      </c>
      <c r="J27" s="81">
        <v>0</v>
      </c>
      <c r="K27" s="81">
        <v>0</v>
      </c>
      <c r="L27" s="81"/>
      <c r="M27" s="81"/>
      <c r="N27" s="81">
        <v>4</v>
      </c>
      <c r="O27" s="81"/>
      <c r="P27" s="81">
        <v>0</v>
      </c>
      <c r="Q27" s="81"/>
      <c r="R27" s="81"/>
      <c r="S27" s="81"/>
      <c r="T27" s="81"/>
      <c r="U27" s="81"/>
      <c r="V27" s="81"/>
      <c r="W27" s="81">
        <f t="shared" si="1"/>
        <v>4</v>
      </c>
      <c r="X27" s="81">
        <v>4</v>
      </c>
      <c r="Y27" s="150">
        <f t="shared" si="0"/>
        <v>0</v>
      </c>
    </row>
    <row r="28" spans="1:25" ht="20.100000000000001" customHeight="1" x14ac:dyDescent="0.25">
      <c r="A28" s="90" t="s">
        <v>167</v>
      </c>
      <c r="B28" s="90" t="s">
        <v>168</v>
      </c>
      <c r="C28" s="90" t="s">
        <v>171</v>
      </c>
      <c r="D28" s="139" t="s">
        <v>141</v>
      </c>
      <c r="E28" s="81">
        <v>0</v>
      </c>
      <c r="F28" s="81">
        <v>0</v>
      </c>
      <c r="G28" s="81">
        <v>0</v>
      </c>
      <c r="H28" s="81">
        <v>0</v>
      </c>
      <c r="I28" s="81">
        <v>0</v>
      </c>
      <c r="J28" s="81">
        <v>0</v>
      </c>
      <c r="K28" s="81">
        <v>0</v>
      </c>
      <c r="L28" s="81"/>
      <c r="M28" s="81"/>
      <c r="N28" s="81"/>
      <c r="O28" s="81"/>
      <c r="P28" s="81">
        <v>0</v>
      </c>
      <c r="Q28" s="81"/>
      <c r="R28" s="81"/>
      <c r="S28" s="81"/>
      <c r="T28" s="81"/>
      <c r="U28" s="81"/>
      <c r="V28" s="81"/>
      <c r="W28" s="81">
        <f t="shared" si="1"/>
        <v>0</v>
      </c>
      <c r="X28" s="81">
        <v>132</v>
      </c>
      <c r="Y28" s="150">
        <f t="shared" si="0"/>
        <v>132</v>
      </c>
    </row>
    <row r="29" spans="1:25" ht="20.100000000000001" customHeight="1" x14ac:dyDescent="0.25">
      <c r="A29" s="90" t="s">
        <v>167</v>
      </c>
      <c r="B29" s="90" t="s">
        <v>168</v>
      </c>
      <c r="C29" s="90" t="s">
        <v>172</v>
      </c>
      <c r="D29" s="139" t="s">
        <v>141</v>
      </c>
      <c r="E29" s="81">
        <v>0</v>
      </c>
      <c r="F29" s="81">
        <v>0</v>
      </c>
      <c r="G29" s="81">
        <v>0</v>
      </c>
      <c r="H29" s="81">
        <v>0</v>
      </c>
      <c r="I29" s="81">
        <v>0</v>
      </c>
      <c r="J29" s="81">
        <v>0</v>
      </c>
      <c r="K29" s="81">
        <v>0</v>
      </c>
      <c r="L29" s="81"/>
      <c r="M29" s="81"/>
      <c r="N29" s="81">
        <v>4</v>
      </c>
      <c r="O29" s="81"/>
      <c r="P29" s="81">
        <v>0</v>
      </c>
      <c r="Q29" s="81"/>
      <c r="R29" s="81"/>
      <c r="S29" s="81"/>
      <c r="T29" s="81"/>
      <c r="U29" s="81"/>
      <c r="V29" s="81"/>
      <c r="W29" s="81">
        <f t="shared" si="1"/>
        <v>4</v>
      </c>
      <c r="X29" s="81">
        <v>4</v>
      </c>
      <c r="Y29" s="150">
        <f t="shared" si="0"/>
        <v>0</v>
      </c>
    </row>
    <row r="30" spans="1:25" ht="20.100000000000001" customHeight="1" x14ac:dyDescent="0.25">
      <c r="A30" s="90" t="s">
        <v>167</v>
      </c>
      <c r="B30" s="90" t="s">
        <v>168</v>
      </c>
      <c r="C30" s="90" t="s">
        <v>173</v>
      </c>
      <c r="D30" s="139" t="s">
        <v>141</v>
      </c>
      <c r="E30" s="81">
        <v>0</v>
      </c>
      <c r="F30" s="81">
        <v>0</v>
      </c>
      <c r="G30" s="81">
        <v>0</v>
      </c>
      <c r="H30" s="81">
        <v>0</v>
      </c>
      <c r="I30" s="81">
        <v>0</v>
      </c>
      <c r="J30" s="81">
        <v>0</v>
      </c>
      <c r="K30" s="81">
        <v>0</v>
      </c>
      <c r="L30" s="81"/>
      <c r="M30" s="81"/>
      <c r="N30" s="81">
        <v>16</v>
      </c>
      <c r="O30" s="81"/>
      <c r="P30" s="81">
        <v>0</v>
      </c>
      <c r="Q30" s="81"/>
      <c r="R30" s="81"/>
      <c r="S30" s="81"/>
      <c r="T30" s="81"/>
      <c r="U30" s="81"/>
      <c r="V30" s="81"/>
      <c r="W30" s="81">
        <f t="shared" si="1"/>
        <v>16</v>
      </c>
      <c r="X30" s="81">
        <v>16</v>
      </c>
      <c r="Y30" s="150">
        <f t="shared" si="0"/>
        <v>0</v>
      </c>
    </row>
    <row r="31" spans="1:25" ht="20.100000000000001" customHeight="1" x14ac:dyDescent="0.25">
      <c r="A31" s="90" t="s">
        <v>167</v>
      </c>
      <c r="B31" s="90" t="s">
        <v>168</v>
      </c>
      <c r="C31" s="90" t="s">
        <v>174</v>
      </c>
      <c r="D31" s="139" t="s">
        <v>141</v>
      </c>
      <c r="E31" s="81">
        <v>0</v>
      </c>
      <c r="F31" s="81">
        <v>0</v>
      </c>
      <c r="G31" s="81">
        <v>0</v>
      </c>
      <c r="H31" s="81">
        <v>0</v>
      </c>
      <c r="I31" s="81">
        <v>0</v>
      </c>
      <c r="J31" s="81">
        <v>0</v>
      </c>
      <c r="K31" s="81">
        <v>0</v>
      </c>
      <c r="L31" s="81"/>
      <c r="M31" s="81"/>
      <c r="N31" s="81">
        <v>4</v>
      </c>
      <c r="O31" s="81"/>
      <c r="P31" s="81">
        <v>0</v>
      </c>
      <c r="Q31" s="81"/>
      <c r="R31" s="81"/>
      <c r="S31" s="81"/>
      <c r="T31" s="81"/>
      <c r="U31" s="81"/>
      <c r="V31" s="81"/>
      <c r="W31" s="81">
        <f t="shared" si="1"/>
        <v>4</v>
      </c>
      <c r="X31" s="81">
        <v>4</v>
      </c>
      <c r="Y31" s="150">
        <f t="shared" si="0"/>
        <v>0</v>
      </c>
    </row>
    <row r="32" spans="1:25" ht="20.100000000000001" customHeight="1" x14ac:dyDescent="0.25">
      <c r="A32" s="90" t="s">
        <v>167</v>
      </c>
      <c r="B32" s="90" t="s">
        <v>168</v>
      </c>
      <c r="C32" s="90" t="s">
        <v>175</v>
      </c>
      <c r="D32" s="139" t="s">
        <v>141</v>
      </c>
      <c r="E32" s="81">
        <v>0</v>
      </c>
      <c r="F32" s="81">
        <v>0</v>
      </c>
      <c r="G32" s="81">
        <v>0</v>
      </c>
      <c r="H32" s="81">
        <v>0</v>
      </c>
      <c r="I32" s="81">
        <v>0</v>
      </c>
      <c r="J32" s="81">
        <v>0</v>
      </c>
      <c r="K32" s="81">
        <v>0</v>
      </c>
      <c r="L32" s="81"/>
      <c r="M32" s="81"/>
      <c r="N32" s="81">
        <v>4</v>
      </c>
      <c r="O32" s="81"/>
      <c r="P32" s="81">
        <v>0</v>
      </c>
      <c r="Q32" s="81"/>
      <c r="R32" s="81"/>
      <c r="S32" s="81"/>
      <c r="T32" s="81"/>
      <c r="U32" s="81"/>
      <c r="V32" s="81"/>
      <c r="W32" s="81">
        <f t="shared" si="1"/>
        <v>4</v>
      </c>
      <c r="X32" s="81">
        <v>4</v>
      </c>
      <c r="Y32" s="150">
        <f t="shared" si="0"/>
        <v>0</v>
      </c>
    </row>
    <row r="33" spans="1:25" ht="20.100000000000001" customHeight="1" x14ac:dyDescent="0.25">
      <c r="A33" s="90" t="s">
        <v>2243</v>
      </c>
      <c r="B33" s="90" t="s">
        <v>168</v>
      </c>
      <c r="C33" s="90" t="s">
        <v>2244</v>
      </c>
      <c r="D33" s="139" t="s">
        <v>141</v>
      </c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>
        <v>250</v>
      </c>
      <c r="V33" s="81"/>
      <c r="W33" s="81"/>
      <c r="X33" s="81"/>
      <c r="Y33" s="150"/>
    </row>
    <row r="34" spans="1:25" ht="20.100000000000001" customHeight="1" x14ac:dyDescent="0.25">
      <c r="A34" s="90" t="s">
        <v>176</v>
      </c>
      <c r="B34" s="90" t="s">
        <v>177</v>
      </c>
      <c r="C34" s="90" t="s">
        <v>178</v>
      </c>
      <c r="D34" s="139" t="s">
        <v>141</v>
      </c>
      <c r="E34" s="81">
        <v>0</v>
      </c>
      <c r="F34" s="81">
        <v>0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/>
      <c r="M34" s="81"/>
      <c r="N34" s="81"/>
      <c r="O34" s="81"/>
      <c r="P34" s="81">
        <v>0</v>
      </c>
      <c r="Q34" s="81"/>
      <c r="R34" s="81"/>
      <c r="S34" s="81"/>
      <c r="T34" s="81"/>
      <c r="U34" s="81"/>
      <c r="V34" s="81"/>
      <c r="W34" s="81">
        <f t="shared" si="1"/>
        <v>0</v>
      </c>
      <c r="X34" s="81">
        <v>108</v>
      </c>
      <c r="Y34" s="150">
        <f t="shared" si="0"/>
        <v>108</v>
      </c>
    </row>
    <row r="35" spans="1:25" ht="20.100000000000001" customHeight="1" x14ac:dyDescent="0.25">
      <c r="A35" s="90" t="s">
        <v>179</v>
      </c>
      <c r="B35" s="90" t="s">
        <v>177</v>
      </c>
      <c r="C35" s="90" t="s">
        <v>180</v>
      </c>
      <c r="D35" s="139" t="s">
        <v>141</v>
      </c>
      <c r="E35" s="81">
        <v>0</v>
      </c>
      <c r="F35" s="81">
        <v>0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/>
      <c r="M35" s="81"/>
      <c r="N35" s="81"/>
      <c r="O35" s="81"/>
      <c r="P35" s="81">
        <v>0</v>
      </c>
      <c r="Q35" s="81"/>
      <c r="R35" s="81"/>
      <c r="S35" s="81"/>
      <c r="T35" s="81"/>
      <c r="U35" s="81"/>
      <c r="V35" s="81"/>
      <c r="W35" s="81">
        <f t="shared" si="1"/>
        <v>0</v>
      </c>
      <c r="X35" s="81">
        <v>36</v>
      </c>
      <c r="Y35" s="150">
        <f t="shared" si="0"/>
        <v>36</v>
      </c>
    </row>
    <row r="36" spans="1:25" ht="20.100000000000001" customHeight="1" x14ac:dyDescent="0.25">
      <c r="A36" s="90" t="s">
        <v>179</v>
      </c>
      <c r="B36" s="90" t="s">
        <v>177</v>
      </c>
      <c r="C36" s="90" t="s">
        <v>181</v>
      </c>
      <c r="D36" s="139" t="s">
        <v>141</v>
      </c>
      <c r="E36" s="81">
        <v>0</v>
      </c>
      <c r="F36" s="81">
        <v>0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/>
      <c r="M36" s="81"/>
      <c r="N36" s="81"/>
      <c r="O36" s="81"/>
      <c r="P36" s="81">
        <v>0</v>
      </c>
      <c r="Q36" s="81"/>
      <c r="R36" s="81"/>
      <c r="S36" s="81"/>
      <c r="T36" s="81"/>
      <c r="U36" s="81"/>
      <c r="V36" s="81"/>
      <c r="W36" s="81">
        <f t="shared" si="1"/>
        <v>0</v>
      </c>
      <c r="X36" s="81">
        <v>44</v>
      </c>
      <c r="Y36" s="150">
        <f t="shared" ref="Y36:Y67" si="2">MAX(0,X36-W36)</f>
        <v>44</v>
      </c>
    </row>
    <row r="37" spans="1:25" ht="20.100000000000001" customHeight="1" x14ac:dyDescent="0.25">
      <c r="A37" s="90" t="s">
        <v>182</v>
      </c>
      <c r="B37" s="90" t="s">
        <v>177</v>
      </c>
      <c r="C37" s="90" t="s">
        <v>183</v>
      </c>
      <c r="D37" s="139" t="s">
        <v>141</v>
      </c>
      <c r="E37" s="81">
        <v>0</v>
      </c>
      <c r="F37" s="81">
        <v>0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/>
      <c r="M37" s="81"/>
      <c r="N37" s="81"/>
      <c r="O37" s="81"/>
      <c r="P37" s="81">
        <v>0</v>
      </c>
      <c r="Q37" s="81"/>
      <c r="R37" s="81"/>
      <c r="S37" s="81"/>
      <c r="T37" s="81"/>
      <c r="U37" s="81"/>
      <c r="V37" s="81"/>
      <c r="W37" s="81">
        <f t="shared" si="1"/>
        <v>0</v>
      </c>
      <c r="X37" s="81">
        <v>73</v>
      </c>
      <c r="Y37" s="150">
        <f t="shared" si="2"/>
        <v>73</v>
      </c>
    </row>
    <row r="38" spans="1:25" ht="20.100000000000001" customHeight="1" x14ac:dyDescent="0.25">
      <c r="A38" s="90" t="s">
        <v>184</v>
      </c>
      <c r="B38" s="90" t="s">
        <v>185</v>
      </c>
      <c r="C38" s="90" t="s">
        <v>186</v>
      </c>
      <c r="D38" s="139" t="s">
        <v>141</v>
      </c>
      <c r="E38" s="81">
        <v>0</v>
      </c>
      <c r="F38" s="81">
        <v>0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/>
      <c r="M38" s="81"/>
      <c r="N38" s="81"/>
      <c r="O38" s="81"/>
      <c r="P38" s="81">
        <v>0</v>
      </c>
      <c r="Q38" s="81">
        <v>100</v>
      </c>
      <c r="R38" s="81"/>
      <c r="S38" s="81"/>
      <c r="T38" s="81"/>
      <c r="U38" s="81"/>
      <c r="V38" s="81"/>
      <c r="W38" s="81">
        <f t="shared" si="1"/>
        <v>100</v>
      </c>
      <c r="X38" s="81">
        <v>288</v>
      </c>
      <c r="Y38" s="150">
        <f t="shared" si="2"/>
        <v>188</v>
      </c>
    </row>
    <row r="39" spans="1:25" ht="20.100000000000001" customHeight="1" x14ac:dyDescent="0.25">
      <c r="A39" s="90" t="s">
        <v>187</v>
      </c>
      <c r="B39" s="90" t="s">
        <v>188</v>
      </c>
      <c r="C39" s="90" t="s">
        <v>189</v>
      </c>
      <c r="D39" s="139" t="s">
        <v>141</v>
      </c>
      <c r="E39" s="81">
        <v>0</v>
      </c>
      <c r="F39" s="81">
        <v>0</v>
      </c>
      <c r="G39" s="81">
        <v>0</v>
      </c>
      <c r="H39" s="81">
        <v>0</v>
      </c>
      <c r="I39" s="81">
        <v>8</v>
      </c>
      <c r="J39" s="81">
        <v>0</v>
      </c>
      <c r="K39" s="81">
        <v>0</v>
      </c>
      <c r="L39" s="81"/>
      <c r="M39" s="81"/>
      <c r="N39" s="81"/>
      <c r="O39" s="81"/>
      <c r="P39" s="81">
        <v>0</v>
      </c>
      <c r="Q39" s="81"/>
      <c r="R39" s="81"/>
      <c r="S39" s="81"/>
      <c r="T39" s="81"/>
      <c r="U39" s="81"/>
      <c r="V39" s="81"/>
      <c r="W39" s="81">
        <f t="shared" si="1"/>
        <v>8</v>
      </c>
      <c r="X39" s="81">
        <v>8</v>
      </c>
      <c r="Y39" s="150">
        <f t="shared" si="2"/>
        <v>0</v>
      </c>
    </row>
    <row r="40" spans="1:25" ht="19.899999999999999" customHeight="1" x14ac:dyDescent="0.25">
      <c r="A40" s="90" t="s">
        <v>187</v>
      </c>
      <c r="B40" s="90" t="s">
        <v>188</v>
      </c>
      <c r="C40" s="90" t="s">
        <v>190</v>
      </c>
      <c r="D40" s="139" t="s">
        <v>141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60</v>
      </c>
      <c r="M40" s="81"/>
      <c r="N40" s="81">
        <v>30</v>
      </c>
      <c r="O40" s="81"/>
      <c r="P40" s="81">
        <v>0</v>
      </c>
      <c r="Q40" s="81"/>
      <c r="R40" s="81"/>
      <c r="S40" s="81"/>
      <c r="T40" s="81"/>
      <c r="U40" s="81"/>
      <c r="V40" s="81"/>
      <c r="W40" s="81">
        <f t="shared" si="1"/>
        <v>90</v>
      </c>
      <c r="X40" s="81">
        <v>160</v>
      </c>
      <c r="Y40" s="150">
        <f t="shared" si="2"/>
        <v>70</v>
      </c>
    </row>
    <row r="41" spans="1:25" ht="20.100000000000001" customHeight="1" x14ac:dyDescent="0.25">
      <c r="A41" s="90" t="s">
        <v>187</v>
      </c>
      <c r="B41" s="90" t="s">
        <v>188</v>
      </c>
      <c r="C41" s="90" t="s">
        <v>191</v>
      </c>
      <c r="D41" s="139" t="s">
        <v>141</v>
      </c>
      <c r="E41" s="81">
        <v>0</v>
      </c>
      <c r="F41" s="81">
        <v>0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25</v>
      </c>
      <c r="M41" s="81"/>
      <c r="N41" s="81"/>
      <c r="O41" s="81"/>
      <c r="P41" s="81">
        <v>0</v>
      </c>
      <c r="Q41" s="81"/>
      <c r="R41" s="81"/>
      <c r="S41" s="81"/>
      <c r="T41" s="81"/>
      <c r="U41" s="81"/>
      <c r="V41" s="81"/>
      <c r="W41" s="81">
        <f t="shared" si="1"/>
        <v>25</v>
      </c>
      <c r="X41" s="81">
        <v>24</v>
      </c>
      <c r="Y41" s="150">
        <f t="shared" si="2"/>
        <v>0</v>
      </c>
    </row>
    <row r="42" spans="1:25" ht="20.100000000000001" customHeight="1" x14ac:dyDescent="0.25">
      <c r="A42" s="90" t="s">
        <v>187</v>
      </c>
      <c r="B42" s="90" t="s">
        <v>188</v>
      </c>
      <c r="C42" s="90" t="s">
        <v>192</v>
      </c>
      <c r="D42" s="139" t="s">
        <v>141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/>
      <c r="M42" s="81">
        <v>30</v>
      </c>
      <c r="N42" s="81">
        <v>50</v>
      </c>
      <c r="O42" s="81"/>
      <c r="P42" s="81">
        <v>0</v>
      </c>
      <c r="Q42" s="81"/>
      <c r="R42" s="81"/>
      <c r="S42" s="81"/>
      <c r="T42" s="81"/>
      <c r="U42" s="81"/>
      <c r="V42" s="81"/>
      <c r="W42" s="81">
        <f t="shared" si="1"/>
        <v>80</v>
      </c>
      <c r="X42" s="81">
        <v>192</v>
      </c>
      <c r="Y42" s="150">
        <f t="shared" si="2"/>
        <v>112</v>
      </c>
    </row>
    <row r="43" spans="1:25" ht="20.100000000000001" customHeight="1" x14ac:dyDescent="0.25">
      <c r="A43" s="90" t="s">
        <v>187</v>
      </c>
      <c r="B43" s="90" t="s">
        <v>188</v>
      </c>
      <c r="C43" s="90" t="s">
        <v>193</v>
      </c>
      <c r="D43" s="139" t="s">
        <v>141</v>
      </c>
      <c r="E43" s="81">
        <v>0</v>
      </c>
      <c r="F43" s="81">
        <v>0</v>
      </c>
      <c r="G43" s="81">
        <v>0</v>
      </c>
      <c r="H43" s="81">
        <v>0</v>
      </c>
      <c r="I43" s="81">
        <v>24</v>
      </c>
      <c r="J43" s="81">
        <v>0</v>
      </c>
      <c r="K43" s="81">
        <v>0</v>
      </c>
      <c r="L43" s="81"/>
      <c r="M43" s="81"/>
      <c r="N43" s="81"/>
      <c r="O43" s="81"/>
      <c r="P43" s="81">
        <v>0</v>
      </c>
      <c r="Q43" s="81"/>
      <c r="R43" s="81"/>
      <c r="S43" s="81"/>
      <c r="T43" s="81"/>
      <c r="U43" s="81"/>
      <c r="V43" s="81"/>
      <c r="W43" s="81">
        <f t="shared" si="1"/>
        <v>24</v>
      </c>
      <c r="X43" s="81">
        <v>24</v>
      </c>
      <c r="Y43" s="150">
        <f t="shared" si="2"/>
        <v>0</v>
      </c>
    </row>
    <row r="44" spans="1:25" ht="20.100000000000001" customHeight="1" x14ac:dyDescent="0.25">
      <c r="A44" s="90" t="s">
        <v>187</v>
      </c>
      <c r="B44" s="90" t="s">
        <v>188</v>
      </c>
      <c r="C44" s="90" t="s">
        <v>194</v>
      </c>
      <c r="D44" s="139" t="s">
        <v>141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/>
      <c r="M44" s="81"/>
      <c r="N44" s="81"/>
      <c r="O44" s="81"/>
      <c r="P44" s="81">
        <v>0</v>
      </c>
      <c r="Q44" s="81"/>
      <c r="R44" s="81"/>
      <c r="S44" s="81"/>
      <c r="T44" s="81"/>
      <c r="U44" s="81"/>
      <c r="V44" s="81"/>
      <c r="W44" s="81">
        <f t="shared" si="1"/>
        <v>0</v>
      </c>
      <c r="X44" s="81">
        <v>40</v>
      </c>
      <c r="Y44" s="150">
        <f t="shared" si="2"/>
        <v>40</v>
      </c>
    </row>
    <row r="45" spans="1:25" ht="20.100000000000001" customHeight="1" x14ac:dyDescent="0.25">
      <c r="A45" s="90" t="s">
        <v>195</v>
      </c>
      <c r="B45" s="90" t="s">
        <v>196</v>
      </c>
      <c r="C45" s="90" t="s">
        <v>197</v>
      </c>
      <c r="D45" s="139" t="s">
        <v>141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/>
      <c r="M45" s="81"/>
      <c r="N45" s="81"/>
      <c r="O45" s="81"/>
      <c r="P45" s="81">
        <v>0</v>
      </c>
      <c r="Q45" s="81">
        <v>100</v>
      </c>
      <c r="R45" s="81"/>
      <c r="S45" s="81"/>
      <c r="T45" s="81"/>
      <c r="U45" s="81"/>
      <c r="V45" s="81"/>
      <c r="W45" s="81">
        <f t="shared" si="1"/>
        <v>100</v>
      </c>
      <c r="X45" s="81">
        <v>576</v>
      </c>
      <c r="Y45" s="150">
        <f t="shared" si="2"/>
        <v>476</v>
      </c>
    </row>
    <row r="46" spans="1:25" ht="20.100000000000001" customHeight="1" x14ac:dyDescent="0.25">
      <c r="A46" s="90" t="s">
        <v>198</v>
      </c>
      <c r="B46" s="90" t="s">
        <v>199</v>
      </c>
      <c r="C46" s="90" t="s">
        <v>200</v>
      </c>
      <c r="D46" s="139" t="s">
        <v>141</v>
      </c>
      <c r="E46" s="81">
        <v>0</v>
      </c>
      <c r="F46" s="81">
        <v>0</v>
      </c>
      <c r="G46" s="81">
        <v>0</v>
      </c>
      <c r="H46" s="81">
        <v>16</v>
      </c>
      <c r="I46" s="81">
        <v>0</v>
      </c>
      <c r="J46" s="81">
        <v>0</v>
      </c>
      <c r="K46" s="81">
        <v>0</v>
      </c>
      <c r="L46" s="81"/>
      <c r="M46" s="81"/>
      <c r="N46" s="81"/>
      <c r="O46" s="81"/>
      <c r="P46" s="81">
        <v>0</v>
      </c>
      <c r="Q46" s="81">
        <v>45</v>
      </c>
      <c r="R46" s="81"/>
      <c r="S46" s="81"/>
      <c r="T46" s="81">
        <v>21</v>
      </c>
      <c r="U46" s="81"/>
      <c r="V46" s="81"/>
      <c r="W46" s="81">
        <f t="shared" si="1"/>
        <v>82</v>
      </c>
      <c r="X46" s="81">
        <v>144</v>
      </c>
      <c r="Y46" s="150">
        <f t="shared" si="2"/>
        <v>62</v>
      </c>
    </row>
    <row r="47" spans="1:25" ht="20.100000000000001" customHeight="1" x14ac:dyDescent="0.25">
      <c r="A47" s="90" t="s">
        <v>201</v>
      </c>
      <c r="B47" s="90" t="s">
        <v>202</v>
      </c>
      <c r="C47" s="90" t="s">
        <v>203</v>
      </c>
      <c r="D47" s="139" t="s">
        <v>141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81">
        <v>0</v>
      </c>
      <c r="L47" s="81"/>
      <c r="M47" s="81"/>
      <c r="N47" s="81"/>
      <c r="O47" s="81"/>
      <c r="P47" s="81">
        <v>0</v>
      </c>
      <c r="Q47" s="81"/>
      <c r="R47" s="81"/>
      <c r="S47" s="81"/>
      <c r="T47" s="81"/>
      <c r="U47" s="81"/>
      <c r="V47" s="81"/>
      <c r="W47" s="81">
        <f t="shared" si="1"/>
        <v>0</v>
      </c>
      <c r="X47" s="81">
        <v>2</v>
      </c>
      <c r="Y47" s="150">
        <f t="shared" si="2"/>
        <v>2</v>
      </c>
    </row>
    <row r="48" spans="1:25" ht="20.100000000000001" customHeight="1" x14ac:dyDescent="0.25">
      <c r="A48" s="90" t="s">
        <v>201</v>
      </c>
      <c r="B48" s="90" t="s">
        <v>202</v>
      </c>
      <c r="C48" s="90" t="s">
        <v>204</v>
      </c>
      <c r="D48" s="139" t="s">
        <v>141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81">
        <v>0</v>
      </c>
      <c r="L48" s="81"/>
      <c r="M48" s="81"/>
      <c r="N48" s="81"/>
      <c r="O48" s="81"/>
      <c r="P48" s="81">
        <v>0</v>
      </c>
      <c r="Q48" s="81"/>
      <c r="R48" s="81"/>
      <c r="S48" s="81"/>
      <c r="T48" s="81"/>
      <c r="U48" s="81"/>
      <c r="V48" s="81"/>
      <c r="W48" s="81">
        <f t="shared" si="1"/>
        <v>0</v>
      </c>
      <c r="X48" s="81">
        <v>4</v>
      </c>
      <c r="Y48" s="150">
        <f t="shared" si="2"/>
        <v>4</v>
      </c>
    </row>
    <row r="49" spans="1:25" ht="20.100000000000001" customHeight="1" x14ac:dyDescent="0.25">
      <c r="A49" s="90" t="s">
        <v>201</v>
      </c>
      <c r="B49" s="90" t="s">
        <v>202</v>
      </c>
      <c r="C49" s="90" t="s">
        <v>205</v>
      </c>
      <c r="D49" s="139" t="s">
        <v>141</v>
      </c>
      <c r="E49" s="81">
        <v>0</v>
      </c>
      <c r="F49" s="81">
        <v>0</v>
      </c>
      <c r="G49" s="81">
        <v>0</v>
      </c>
      <c r="H49" s="81">
        <v>0</v>
      </c>
      <c r="I49" s="81">
        <v>0</v>
      </c>
      <c r="J49" s="81">
        <v>0</v>
      </c>
      <c r="K49" s="81">
        <v>0</v>
      </c>
      <c r="L49" s="81"/>
      <c r="M49" s="81"/>
      <c r="N49" s="81"/>
      <c r="O49" s="81"/>
      <c r="P49" s="81">
        <v>0</v>
      </c>
      <c r="Q49" s="81"/>
      <c r="R49" s="81"/>
      <c r="S49" s="81"/>
      <c r="T49" s="81"/>
      <c r="U49" s="81"/>
      <c r="V49" s="81"/>
      <c r="W49" s="81">
        <f t="shared" si="1"/>
        <v>0</v>
      </c>
      <c r="X49" s="81">
        <v>12</v>
      </c>
      <c r="Y49" s="150">
        <f t="shared" si="2"/>
        <v>12</v>
      </c>
    </row>
    <row r="50" spans="1:25" ht="20.100000000000001" customHeight="1" x14ac:dyDescent="0.25">
      <c r="A50" s="90" t="s">
        <v>201</v>
      </c>
      <c r="B50" s="90" t="s">
        <v>202</v>
      </c>
      <c r="C50" s="90" t="s">
        <v>206</v>
      </c>
      <c r="D50" s="139" t="s">
        <v>141</v>
      </c>
      <c r="E50" s="81">
        <v>0</v>
      </c>
      <c r="F50" s="81">
        <v>0</v>
      </c>
      <c r="G50" s="81">
        <v>0</v>
      </c>
      <c r="H50" s="81">
        <v>0</v>
      </c>
      <c r="I50" s="81">
        <v>0</v>
      </c>
      <c r="J50" s="81">
        <v>0</v>
      </c>
      <c r="K50" s="81">
        <v>0</v>
      </c>
      <c r="L50" s="81"/>
      <c r="M50" s="81"/>
      <c r="N50" s="81"/>
      <c r="O50" s="81"/>
      <c r="P50" s="81">
        <v>0</v>
      </c>
      <c r="Q50" s="81"/>
      <c r="R50" s="81"/>
      <c r="S50" s="81"/>
      <c r="T50" s="81"/>
      <c r="U50" s="81"/>
      <c r="V50" s="81"/>
      <c r="W50" s="81">
        <f t="shared" si="1"/>
        <v>0</v>
      </c>
      <c r="X50" s="81">
        <v>12</v>
      </c>
      <c r="Y50" s="150">
        <f t="shared" si="2"/>
        <v>12</v>
      </c>
    </row>
    <row r="51" spans="1:25" ht="20.100000000000001" customHeight="1" x14ac:dyDescent="0.25">
      <c r="A51" s="90" t="s">
        <v>201</v>
      </c>
      <c r="B51" s="90" t="s">
        <v>202</v>
      </c>
      <c r="C51" s="90" t="s">
        <v>207</v>
      </c>
      <c r="D51" s="139" t="s">
        <v>141</v>
      </c>
      <c r="E51" s="81">
        <v>0</v>
      </c>
      <c r="F51" s="81">
        <v>0</v>
      </c>
      <c r="G51" s="81">
        <v>0</v>
      </c>
      <c r="H51" s="81">
        <v>0</v>
      </c>
      <c r="I51" s="81">
        <v>0</v>
      </c>
      <c r="J51" s="81">
        <v>0</v>
      </c>
      <c r="K51" s="81">
        <v>0</v>
      </c>
      <c r="L51" s="81"/>
      <c r="M51" s="81"/>
      <c r="N51" s="81"/>
      <c r="O51" s="81"/>
      <c r="P51" s="81">
        <v>0</v>
      </c>
      <c r="Q51" s="81"/>
      <c r="R51" s="81"/>
      <c r="S51" s="81"/>
      <c r="T51" s="81"/>
      <c r="U51" s="81"/>
      <c r="V51" s="81"/>
      <c r="W51" s="81">
        <f t="shared" si="1"/>
        <v>0</v>
      </c>
      <c r="X51" s="81">
        <v>12</v>
      </c>
      <c r="Y51" s="150">
        <f t="shared" si="2"/>
        <v>12</v>
      </c>
    </row>
    <row r="52" spans="1:25" ht="20.100000000000001" customHeight="1" x14ac:dyDescent="0.25">
      <c r="A52" s="90" t="s">
        <v>201</v>
      </c>
      <c r="B52" s="90" t="s">
        <v>202</v>
      </c>
      <c r="C52" s="90" t="s">
        <v>208</v>
      </c>
      <c r="D52" s="139" t="s">
        <v>141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81">
        <v>0</v>
      </c>
      <c r="L52" s="81"/>
      <c r="M52" s="81"/>
      <c r="N52" s="81"/>
      <c r="O52" s="81"/>
      <c r="P52" s="81">
        <v>0</v>
      </c>
      <c r="Q52" s="81"/>
      <c r="R52" s="81"/>
      <c r="S52" s="81"/>
      <c r="T52" s="81"/>
      <c r="U52" s="81"/>
      <c r="V52" s="81"/>
      <c r="W52" s="81">
        <f t="shared" si="1"/>
        <v>0</v>
      </c>
      <c r="X52" s="81">
        <v>2</v>
      </c>
      <c r="Y52" s="150">
        <f t="shared" si="2"/>
        <v>2</v>
      </c>
    </row>
    <row r="53" spans="1:25" ht="20.100000000000001" customHeight="1" x14ac:dyDescent="0.25">
      <c r="A53" s="90" t="s">
        <v>209</v>
      </c>
      <c r="B53" s="90" t="s">
        <v>210</v>
      </c>
      <c r="C53" s="90" t="s">
        <v>211</v>
      </c>
      <c r="D53" s="139" t="s">
        <v>141</v>
      </c>
      <c r="E53" s="81">
        <v>450</v>
      </c>
      <c r="F53" s="81">
        <v>0</v>
      </c>
      <c r="G53" s="81">
        <v>0</v>
      </c>
      <c r="H53" s="81">
        <v>150</v>
      </c>
      <c r="I53" s="81">
        <v>0</v>
      </c>
      <c r="J53" s="81">
        <v>150</v>
      </c>
      <c r="K53" s="81">
        <v>150</v>
      </c>
      <c r="L53" s="81"/>
      <c r="M53" s="81"/>
      <c r="N53" s="81"/>
      <c r="O53" s="81">
        <v>100</v>
      </c>
      <c r="P53" s="81">
        <v>0</v>
      </c>
      <c r="Q53" s="81"/>
      <c r="R53" s="81"/>
      <c r="S53" s="81"/>
      <c r="T53" s="81">
        <v>400</v>
      </c>
      <c r="U53" s="81"/>
      <c r="V53" s="81"/>
      <c r="W53" s="81">
        <f t="shared" si="1"/>
        <v>1400</v>
      </c>
      <c r="X53" s="81">
        <v>3116</v>
      </c>
      <c r="Y53" s="150">
        <f t="shared" si="2"/>
        <v>1716</v>
      </c>
    </row>
    <row r="54" spans="1:25" ht="20.100000000000001" customHeight="1" x14ac:dyDescent="0.25">
      <c r="A54" s="90" t="s">
        <v>209</v>
      </c>
      <c r="B54" s="90" t="s">
        <v>210</v>
      </c>
      <c r="C54" s="90" t="s">
        <v>212</v>
      </c>
      <c r="D54" s="139" t="s">
        <v>141</v>
      </c>
      <c r="E54" s="81">
        <v>450</v>
      </c>
      <c r="F54" s="81">
        <v>0</v>
      </c>
      <c r="G54" s="81">
        <v>0</v>
      </c>
      <c r="H54" s="81">
        <v>150</v>
      </c>
      <c r="I54" s="81">
        <v>0</v>
      </c>
      <c r="J54" s="81">
        <v>150</v>
      </c>
      <c r="K54" s="81">
        <v>150</v>
      </c>
      <c r="L54" s="81"/>
      <c r="M54" s="81"/>
      <c r="N54" s="81"/>
      <c r="O54" s="81">
        <v>100</v>
      </c>
      <c r="P54" s="81">
        <v>0</v>
      </c>
      <c r="Q54" s="81"/>
      <c r="R54" s="81"/>
      <c r="S54" s="81"/>
      <c r="T54" s="81">
        <v>400</v>
      </c>
      <c r="U54" s="81"/>
      <c r="V54" s="81"/>
      <c r="W54" s="81">
        <f t="shared" si="1"/>
        <v>1400</v>
      </c>
      <c r="X54" s="81">
        <v>3116</v>
      </c>
      <c r="Y54" s="150">
        <f t="shared" si="2"/>
        <v>1716</v>
      </c>
    </row>
    <row r="55" spans="1:25" ht="20.100000000000001" customHeight="1" x14ac:dyDescent="0.25">
      <c r="A55" s="90" t="s">
        <v>209</v>
      </c>
      <c r="B55" s="90" t="s">
        <v>210</v>
      </c>
      <c r="C55" s="90" t="s">
        <v>213</v>
      </c>
      <c r="D55" s="139" t="s">
        <v>141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81">
        <v>0</v>
      </c>
      <c r="L55" s="81"/>
      <c r="M55" s="81"/>
      <c r="N55" s="81"/>
      <c r="O55" s="81"/>
      <c r="P55" s="81">
        <v>0</v>
      </c>
      <c r="Q55" s="81"/>
      <c r="R55" s="81"/>
      <c r="S55" s="81"/>
      <c r="T55" s="81">
        <v>100</v>
      </c>
      <c r="U55" s="81"/>
      <c r="V55" s="81"/>
      <c r="W55" s="81">
        <f t="shared" si="1"/>
        <v>100</v>
      </c>
      <c r="X55" s="81">
        <v>152</v>
      </c>
      <c r="Y55" s="150">
        <f t="shared" si="2"/>
        <v>52</v>
      </c>
    </row>
    <row r="56" spans="1:25" ht="20.100000000000001" customHeight="1" x14ac:dyDescent="0.25">
      <c r="A56" s="90" t="s">
        <v>214</v>
      </c>
      <c r="B56" s="90" t="s">
        <v>215</v>
      </c>
      <c r="C56" s="90" t="s">
        <v>216</v>
      </c>
      <c r="D56" s="139" t="s">
        <v>141</v>
      </c>
      <c r="E56" s="81">
        <v>0</v>
      </c>
      <c r="F56" s="81">
        <v>0</v>
      </c>
      <c r="G56" s="81">
        <v>0</v>
      </c>
      <c r="H56" s="81">
        <v>0</v>
      </c>
      <c r="I56" s="81">
        <v>0</v>
      </c>
      <c r="J56" s="81">
        <v>0</v>
      </c>
      <c r="K56" s="81">
        <v>0</v>
      </c>
      <c r="L56" s="81"/>
      <c r="M56" s="81"/>
      <c r="N56" s="81"/>
      <c r="O56" s="81"/>
      <c r="P56" s="81">
        <v>0</v>
      </c>
      <c r="Q56" s="81"/>
      <c r="R56" s="81"/>
      <c r="S56" s="81"/>
      <c r="T56" s="81"/>
      <c r="U56" s="81"/>
      <c r="V56" s="81"/>
      <c r="W56" s="81">
        <f t="shared" si="1"/>
        <v>0</v>
      </c>
      <c r="X56" s="81">
        <v>80</v>
      </c>
      <c r="Y56" s="150">
        <f t="shared" si="2"/>
        <v>80</v>
      </c>
    </row>
    <row r="57" spans="1:25" ht="20.100000000000001" customHeight="1" x14ac:dyDescent="0.25">
      <c r="A57" s="90" t="s">
        <v>217</v>
      </c>
      <c r="B57" s="90" t="s">
        <v>218</v>
      </c>
      <c r="C57" s="90" t="s">
        <v>219</v>
      </c>
      <c r="D57" s="139" t="s">
        <v>141</v>
      </c>
      <c r="E57" s="81">
        <v>0</v>
      </c>
      <c r="F57" s="81">
        <v>0</v>
      </c>
      <c r="G57" s="81">
        <v>0</v>
      </c>
      <c r="H57" s="81">
        <v>0</v>
      </c>
      <c r="I57" s="81">
        <v>0</v>
      </c>
      <c r="J57" s="81">
        <v>0</v>
      </c>
      <c r="K57" s="81">
        <v>150</v>
      </c>
      <c r="L57" s="81"/>
      <c r="M57" s="81"/>
      <c r="N57" s="81">
        <v>66</v>
      </c>
      <c r="O57" s="81"/>
      <c r="P57" s="81">
        <v>0</v>
      </c>
      <c r="Q57" s="81"/>
      <c r="R57" s="81"/>
      <c r="S57" s="81"/>
      <c r="T57" s="81"/>
      <c r="U57" s="81"/>
      <c r="V57" s="81"/>
      <c r="W57" s="81">
        <f t="shared" si="1"/>
        <v>216</v>
      </c>
      <c r="X57" s="81">
        <v>816</v>
      </c>
      <c r="Y57" s="150">
        <f t="shared" si="2"/>
        <v>600</v>
      </c>
    </row>
    <row r="58" spans="1:25" ht="20.100000000000001" customHeight="1" x14ac:dyDescent="0.25">
      <c r="A58" s="90" t="s">
        <v>187</v>
      </c>
      <c r="B58" s="90" t="s">
        <v>215</v>
      </c>
      <c r="C58" s="90" t="s">
        <v>220</v>
      </c>
      <c r="D58" s="139" t="s">
        <v>141</v>
      </c>
      <c r="E58" s="81">
        <v>0</v>
      </c>
      <c r="F58" s="81">
        <v>0</v>
      </c>
      <c r="G58" s="81">
        <v>0</v>
      </c>
      <c r="H58" s="81">
        <v>334</v>
      </c>
      <c r="I58" s="81">
        <v>0</v>
      </c>
      <c r="J58" s="81">
        <v>0</v>
      </c>
      <c r="K58" s="81">
        <v>0</v>
      </c>
      <c r="L58" s="81"/>
      <c r="M58" s="81"/>
      <c r="N58" s="81"/>
      <c r="O58" s="81"/>
      <c r="P58" s="81">
        <v>0</v>
      </c>
      <c r="Q58" s="81"/>
      <c r="R58" s="81"/>
      <c r="S58" s="81"/>
      <c r="T58" s="81"/>
      <c r="U58" s="81"/>
      <c r="V58" s="81"/>
      <c r="W58" s="81">
        <f t="shared" si="1"/>
        <v>334</v>
      </c>
      <c r="X58" s="81">
        <v>324</v>
      </c>
      <c r="Y58" s="150">
        <f t="shared" si="2"/>
        <v>0</v>
      </c>
    </row>
    <row r="59" spans="1:25" ht="20.100000000000001" customHeight="1" x14ac:dyDescent="0.25">
      <c r="A59" s="90" t="s">
        <v>115</v>
      </c>
      <c r="B59" s="90" t="s">
        <v>221</v>
      </c>
      <c r="C59" s="90" t="s">
        <v>222</v>
      </c>
      <c r="D59" s="139" t="s">
        <v>141</v>
      </c>
      <c r="E59" s="81">
        <v>0</v>
      </c>
      <c r="F59" s="81">
        <v>324</v>
      </c>
      <c r="G59" s="81">
        <v>0</v>
      </c>
      <c r="H59" s="81">
        <v>0</v>
      </c>
      <c r="I59" s="81">
        <v>0</v>
      </c>
      <c r="J59" s="81">
        <v>0</v>
      </c>
      <c r="K59" s="81">
        <v>0</v>
      </c>
      <c r="L59" s="81"/>
      <c r="M59" s="81"/>
      <c r="N59" s="81"/>
      <c r="O59" s="81"/>
      <c r="P59" s="81">
        <v>0</v>
      </c>
      <c r="Q59" s="81"/>
      <c r="R59" s="81"/>
      <c r="S59" s="81"/>
      <c r="T59" s="81"/>
      <c r="U59" s="81"/>
      <c r="V59" s="81"/>
      <c r="W59" s="81">
        <f t="shared" si="1"/>
        <v>324</v>
      </c>
      <c r="X59" s="81">
        <v>18</v>
      </c>
      <c r="Y59" s="150">
        <f t="shared" si="2"/>
        <v>0</v>
      </c>
    </row>
    <row r="60" spans="1:25" ht="20.100000000000001" customHeight="1" x14ac:dyDescent="0.25">
      <c r="A60" s="90" t="s">
        <v>115</v>
      </c>
      <c r="B60" s="90" t="s">
        <v>221</v>
      </c>
      <c r="C60" s="90" t="s">
        <v>223</v>
      </c>
      <c r="D60" s="139" t="s">
        <v>141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81">
        <v>0</v>
      </c>
      <c r="L60" s="81"/>
      <c r="M60" s="81"/>
      <c r="N60" s="81"/>
      <c r="O60" s="81"/>
      <c r="P60" s="81">
        <v>0</v>
      </c>
      <c r="Q60" s="81"/>
      <c r="R60" s="81"/>
      <c r="S60" s="81"/>
      <c r="T60" s="81"/>
      <c r="U60" s="81"/>
      <c r="V60" s="81"/>
      <c r="W60" s="81">
        <f t="shared" si="1"/>
        <v>0</v>
      </c>
      <c r="X60" s="81">
        <v>18</v>
      </c>
      <c r="Y60" s="150">
        <f t="shared" si="2"/>
        <v>18</v>
      </c>
    </row>
    <row r="61" spans="1:25" ht="20.100000000000001" customHeight="1" x14ac:dyDescent="0.25">
      <c r="A61" s="90" t="s">
        <v>115</v>
      </c>
      <c r="B61" s="90" t="s">
        <v>221</v>
      </c>
      <c r="C61" s="90" t="s">
        <v>224</v>
      </c>
      <c r="D61" s="139" t="s">
        <v>141</v>
      </c>
      <c r="E61" s="81">
        <v>0</v>
      </c>
      <c r="F61" s="81">
        <v>0</v>
      </c>
      <c r="G61" s="81">
        <v>0</v>
      </c>
      <c r="H61" s="81">
        <v>0</v>
      </c>
      <c r="I61" s="81">
        <v>0</v>
      </c>
      <c r="J61" s="81">
        <v>0</v>
      </c>
      <c r="K61" s="81">
        <v>0</v>
      </c>
      <c r="L61" s="81"/>
      <c r="M61" s="81"/>
      <c r="N61" s="81"/>
      <c r="O61" s="81"/>
      <c r="P61" s="81">
        <v>0</v>
      </c>
      <c r="Q61" s="81"/>
      <c r="R61" s="81"/>
      <c r="S61" s="81"/>
      <c r="T61" s="81"/>
      <c r="U61" s="81"/>
      <c r="V61" s="81"/>
      <c r="W61" s="81">
        <f t="shared" si="1"/>
        <v>0</v>
      </c>
      <c r="X61" s="81">
        <v>18</v>
      </c>
      <c r="Y61" s="150">
        <f t="shared" si="2"/>
        <v>18</v>
      </c>
    </row>
    <row r="62" spans="1:25" ht="20.100000000000001" customHeight="1" x14ac:dyDescent="0.25">
      <c r="A62" s="90" t="s">
        <v>115</v>
      </c>
      <c r="B62" s="90" t="s">
        <v>221</v>
      </c>
      <c r="C62" s="90" t="s">
        <v>225</v>
      </c>
      <c r="D62" s="139" t="s">
        <v>141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81">
        <v>0</v>
      </c>
      <c r="L62" s="81"/>
      <c r="M62" s="81"/>
      <c r="N62" s="81"/>
      <c r="O62" s="81"/>
      <c r="P62" s="81">
        <v>0</v>
      </c>
      <c r="Q62" s="81"/>
      <c r="R62" s="81"/>
      <c r="S62" s="81"/>
      <c r="T62" s="81"/>
      <c r="U62" s="81"/>
      <c r="V62" s="81"/>
      <c r="W62" s="81">
        <f t="shared" si="1"/>
        <v>0</v>
      </c>
      <c r="X62" s="81">
        <v>18</v>
      </c>
      <c r="Y62" s="150">
        <f t="shared" si="2"/>
        <v>18</v>
      </c>
    </row>
    <row r="63" spans="1:25" ht="20.100000000000001" customHeight="1" x14ac:dyDescent="0.25">
      <c r="A63" s="90" t="s">
        <v>115</v>
      </c>
      <c r="B63" s="90" t="s">
        <v>221</v>
      </c>
      <c r="C63" s="90" t="s">
        <v>226</v>
      </c>
      <c r="D63" s="139" t="s">
        <v>141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81">
        <v>0</v>
      </c>
      <c r="L63" s="81"/>
      <c r="M63" s="81"/>
      <c r="N63" s="81"/>
      <c r="O63" s="81"/>
      <c r="P63" s="81">
        <v>0</v>
      </c>
      <c r="Q63" s="81"/>
      <c r="R63" s="81"/>
      <c r="S63" s="81"/>
      <c r="T63" s="81"/>
      <c r="U63" s="81"/>
      <c r="V63" s="81"/>
      <c r="W63" s="81">
        <f t="shared" si="1"/>
        <v>0</v>
      </c>
      <c r="X63" s="81">
        <v>1</v>
      </c>
      <c r="Y63" s="150">
        <f t="shared" si="2"/>
        <v>1</v>
      </c>
    </row>
    <row r="64" spans="1:25" ht="20.100000000000001" customHeight="1" x14ac:dyDescent="0.25">
      <c r="A64" s="90" t="s">
        <v>115</v>
      </c>
      <c r="B64" s="90" t="s">
        <v>221</v>
      </c>
      <c r="C64" s="90" t="s">
        <v>227</v>
      </c>
      <c r="D64" s="139" t="s">
        <v>141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81">
        <v>0</v>
      </c>
      <c r="L64" s="81"/>
      <c r="M64" s="81"/>
      <c r="N64" s="81"/>
      <c r="O64" s="81"/>
      <c r="P64" s="81">
        <v>0</v>
      </c>
      <c r="Q64" s="81"/>
      <c r="R64" s="81"/>
      <c r="S64" s="81"/>
      <c r="T64" s="81"/>
      <c r="U64" s="81"/>
      <c r="V64" s="81"/>
      <c r="W64" s="81">
        <f t="shared" si="1"/>
        <v>0</v>
      </c>
      <c r="X64" s="81">
        <v>1</v>
      </c>
      <c r="Y64" s="150">
        <f t="shared" si="2"/>
        <v>1</v>
      </c>
    </row>
    <row r="65" spans="1:25" ht="20.100000000000001" customHeight="1" x14ac:dyDescent="0.25">
      <c r="A65" s="90" t="s">
        <v>115</v>
      </c>
      <c r="B65" s="90" t="s">
        <v>221</v>
      </c>
      <c r="C65" s="90" t="s">
        <v>228</v>
      </c>
      <c r="D65" s="139" t="s">
        <v>141</v>
      </c>
      <c r="E65" s="81">
        <v>0</v>
      </c>
      <c r="F65" s="81">
        <v>0</v>
      </c>
      <c r="G65" s="81">
        <v>0</v>
      </c>
      <c r="H65" s="81">
        <v>0</v>
      </c>
      <c r="I65" s="81">
        <v>0</v>
      </c>
      <c r="J65" s="81">
        <v>0</v>
      </c>
      <c r="K65" s="81">
        <v>0</v>
      </c>
      <c r="L65" s="81"/>
      <c r="M65" s="81"/>
      <c r="N65" s="81"/>
      <c r="O65" s="81"/>
      <c r="P65" s="81">
        <v>0</v>
      </c>
      <c r="Q65" s="81"/>
      <c r="R65" s="81"/>
      <c r="S65" s="81"/>
      <c r="T65" s="81"/>
      <c r="U65" s="81"/>
      <c r="V65" s="81"/>
      <c r="W65" s="81">
        <f t="shared" si="1"/>
        <v>0</v>
      </c>
      <c r="X65" s="81">
        <v>1</v>
      </c>
      <c r="Y65" s="150">
        <f t="shared" si="2"/>
        <v>1</v>
      </c>
    </row>
    <row r="66" spans="1:25" ht="20.100000000000001" customHeight="1" x14ac:dyDescent="0.25">
      <c r="A66" s="90" t="s">
        <v>115</v>
      </c>
      <c r="B66" s="90" t="s">
        <v>221</v>
      </c>
      <c r="C66" s="90" t="s">
        <v>229</v>
      </c>
      <c r="D66" s="139" t="s">
        <v>141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81">
        <v>0</v>
      </c>
      <c r="L66" s="81"/>
      <c r="M66" s="81"/>
      <c r="N66" s="81"/>
      <c r="O66" s="81"/>
      <c r="P66" s="81">
        <v>0</v>
      </c>
      <c r="Q66" s="81"/>
      <c r="R66" s="81"/>
      <c r="S66" s="81"/>
      <c r="T66" s="81"/>
      <c r="U66" s="81"/>
      <c r="V66" s="81"/>
      <c r="W66" s="81">
        <f t="shared" si="1"/>
        <v>0</v>
      </c>
      <c r="X66" s="81">
        <v>1</v>
      </c>
      <c r="Y66" s="150">
        <f t="shared" si="2"/>
        <v>1</v>
      </c>
    </row>
    <row r="67" spans="1:25" ht="20.100000000000001" customHeight="1" x14ac:dyDescent="0.25">
      <c r="A67" s="90" t="s">
        <v>118</v>
      </c>
      <c r="B67" s="90" t="s">
        <v>230</v>
      </c>
      <c r="C67" s="90" t="s">
        <v>231</v>
      </c>
      <c r="D67" s="139" t="s">
        <v>141</v>
      </c>
      <c r="E67" s="81">
        <v>0</v>
      </c>
      <c r="F67" s="81">
        <v>0</v>
      </c>
      <c r="G67" s="81">
        <v>0</v>
      </c>
      <c r="H67" s="81">
        <v>240</v>
      </c>
      <c r="I67" s="81">
        <v>0</v>
      </c>
      <c r="J67" s="81">
        <v>0</v>
      </c>
      <c r="K67" s="81">
        <v>0</v>
      </c>
      <c r="L67" s="81"/>
      <c r="M67" s="81"/>
      <c r="N67" s="81"/>
      <c r="O67" s="81"/>
      <c r="P67" s="81">
        <v>0</v>
      </c>
      <c r="Q67" s="81"/>
      <c r="R67" s="81"/>
      <c r="S67" s="81"/>
      <c r="T67" s="81"/>
      <c r="U67" s="81"/>
      <c r="V67" s="81"/>
      <c r="W67" s="81">
        <f t="shared" si="1"/>
        <v>240</v>
      </c>
      <c r="X67" s="81">
        <v>324</v>
      </c>
      <c r="Y67" s="150">
        <f t="shared" si="2"/>
        <v>84</v>
      </c>
    </row>
    <row r="68" spans="1:25" ht="20.100000000000001" customHeight="1" x14ac:dyDescent="0.25">
      <c r="A68" s="90" t="s">
        <v>118</v>
      </c>
      <c r="B68" s="90" t="s">
        <v>230</v>
      </c>
      <c r="C68" s="90" t="s">
        <v>232</v>
      </c>
      <c r="D68" s="139" t="s">
        <v>141</v>
      </c>
      <c r="E68" s="81">
        <v>0</v>
      </c>
      <c r="F68" s="81">
        <v>0</v>
      </c>
      <c r="G68" s="81">
        <v>0</v>
      </c>
      <c r="H68" s="81">
        <v>105</v>
      </c>
      <c r="I68" s="81">
        <v>0</v>
      </c>
      <c r="J68" s="81">
        <v>0</v>
      </c>
      <c r="K68" s="81">
        <v>0</v>
      </c>
      <c r="L68" s="81"/>
      <c r="M68" s="81"/>
      <c r="N68" s="81"/>
      <c r="O68" s="81"/>
      <c r="P68" s="81">
        <v>0</v>
      </c>
      <c r="Q68" s="81"/>
      <c r="R68" s="81"/>
      <c r="S68" s="81"/>
      <c r="T68" s="81"/>
      <c r="U68" s="81"/>
      <c r="V68" s="81"/>
      <c r="W68" s="81">
        <f t="shared" si="1"/>
        <v>105</v>
      </c>
      <c r="X68" s="81">
        <v>108</v>
      </c>
      <c r="Y68" s="150">
        <f t="shared" ref="Y68:Y99" si="3">MAX(0,X68-W68)</f>
        <v>3</v>
      </c>
    </row>
    <row r="69" spans="1:25" ht="20.100000000000001" customHeight="1" x14ac:dyDescent="0.25">
      <c r="A69" s="90" t="s">
        <v>118</v>
      </c>
      <c r="B69" s="90" t="s">
        <v>230</v>
      </c>
      <c r="C69" s="90" t="s">
        <v>233</v>
      </c>
      <c r="D69" s="139" t="s">
        <v>141</v>
      </c>
      <c r="E69" s="81">
        <v>0</v>
      </c>
      <c r="F69" s="81">
        <v>0</v>
      </c>
      <c r="G69" s="81">
        <v>0</v>
      </c>
      <c r="H69" s="81">
        <v>108</v>
      </c>
      <c r="I69" s="81">
        <v>0</v>
      </c>
      <c r="J69" s="81">
        <v>0</v>
      </c>
      <c r="K69" s="81">
        <v>0</v>
      </c>
      <c r="L69" s="81"/>
      <c r="M69" s="81"/>
      <c r="N69" s="81"/>
      <c r="O69" s="81"/>
      <c r="P69" s="81">
        <v>0</v>
      </c>
      <c r="Q69" s="81"/>
      <c r="R69" s="81"/>
      <c r="S69" s="81"/>
      <c r="T69" s="81"/>
      <c r="U69" s="81"/>
      <c r="V69" s="81"/>
      <c r="W69" s="81">
        <f t="shared" ref="W69:W132" si="4">SUM(E69:V69)</f>
        <v>108</v>
      </c>
      <c r="X69" s="81">
        <v>108</v>
      </c>
      <c r="Y69" s="150">
        <f t="shared" si="3"/>
        <v>0</v>
      </c>
    </row>
    <row r="70" spans="1:25" ht="20.100000000000001" customHeight="1" x14ac:dyDescent="0.25">
      <c r="A70" s="90" t="s">
        <v>118</v>
      </c>
      <c r="B70" s="90" t="s">
        <v>230</v>
      </c>
      <c r="C70" s="90" t="s">
        <v>234</v>
      </c>
      <c r="D70" s="139" t="s">
        <v>141</v>
      </c>
      <c r="E70" s="81">
        <v>0</v>
      </c>
      <c r="F70" s="81">
        <v>0</v>
      </c>
      <c r="G70" s="81">
        <v>0</v>
      </c>
      <c r="H70" s="81">
        <v>0</v>
      </c>
      <c r="I70" s="81">
        <v>0</v>
      </c>
      <c r="J70" s="81">
        <v>0</v>
      </c>
      <c r="K70" s="81">
        <v>0</v>
      </c>
      <c r="L70" s="81"/>
      <c r="M70" s="81"/>
      <c r="N70" s="81">
        <v>108</v>
      </c>
      <c r="O70" s="81"/>
      <c r="P70" s="81">
        <v>0</v>
      </c>
      <c r="Q70" s="81"/>
      <c r="R70" s="81"/>
      <c r="S70" s="81"/>
      <c r="T70" s="81"/>
      <c r="U70" s="81"/>
      <c r="V70" s="81"/>
      <c r="W70" s="81">
        <f t="shared" si="4"/>
        <v>108</v>
      </c>
      <c r="X70" s="81">
        <v>108</v>
      </c>
      <c r="Y70" s="150">
        <f t="shared" si="3"/>
        <v>0</v>
      </c>
    </row>
    <row r="71" spans="1:25" ht="20.100000000000001" customHeight="1" x14ac:dyDescent="0.25">
      <c r="A71" s="90" t="s">
        <v>118</v>
      </c>
      <c r="B71" s="90" t="s">
        <v>230</v>
      </c>
      <c r="C71" s="90" t="s">
        <v>235</v>
      </c>
      <c r="D71" s="139" t="s">
        <v>141</v>
      </c>
      <c r="E71" s="81">
        <v>0</v>
      </c>
      <c r="F71" s="81">
        <v>0</v>
      </c>
      <c r="G71" s="81">
        <v>0</v>
      </c>
      <c r="H71" s="81">
        <v>0</v>
      </c>
      <c r="I71" s="81">
        <v>0</v>
      </c>
      <c r="J71" s="81">
        <v>0</v>
      </c>
      <c r="K71" s="81">
        <v>0</v>
      </c>
      <c r="L71" s="81"/>
      <c r="M71" s="81"/>
      <c r="N71" s="81">
        <v>100</v>
      </c>
      <c r="O71" s="81"/>
      <c r="P71" s="81">
        <v>0</v>
      </c>
      <c r="Q71" s="81"/>
      <c r="R71" s="81"/>
      <c r="S71" s="81"/>
      <c r="T71" s="81"/>
      <c r="U71" s="81"/>
      <c r="V71" s="81"/>
      <c r="W71" s="81">
        <f t="shared" si="4"/>
        <v>100</v>
      </c>
      <c r="X71" s="81">
        <v>168</v>
      </c>
      <c r="Y71" s="150">
        <f t="shared" si="3"/>
        <v>68</v>
      </c>
    </row>
    <row r="72" spans="1:25" ht="20.100000000000001" customHeight="1" x14ac:dyDescent="0.25">
      <c r="A72" s="90" t="s">
        <v>118</v>
      </c>
      <c r="B72" s="90" t="s">
        <v>230</v>
      </c>
      <c r="C72" s="90" t="s">
        <v>236</v>
      </c>
      <c r="D72" s="139" t="s">
        <v>141</v>
      </c>
      <c r="E72" s="81">
        <v>0</v>
      </c>
      <c r="F72" s="81">
        <v>0</v>
      </c>
      <c r="G72" s="81">
        <v>0</v>
      </c>
      <c r="H72" s="81">
        <v>0</v>
      </c>
      <c r="I72" s="81">
        <v>0</v>
      </c>
      <c r="J72" s="81">
        <v>0</v>
      </c>
      <c r="K72" s="81">
        <v>0</v>
      </c>
      <c r="L72" s="81"/>
      <c r="M72" s="81"/>
      <c r="N72" s="81">
        <v>464</v>
      </c>
      <c r="O72" s="81"/>
      <c r="P72" s="81">
        <v>0</v>
      </c>
      <c r="Q72" s="81"/>
      <c r="R72" s="81"/>
      <c r="S72" s="81"/>
      <c r="T72" s="81"/>
      <c r="U72" s="81"/>
      <c r="V72" s="81"/>
      <c r="W72" s="81">
        <f t="shared" si="4"/>
        <v>464</v>
      </c>
      <c r="X72" s="81">
        <v>864</v>
      </c>
      <c r="Y72" s="150">
        <f t="shared" si="3"/>
        <v>400</v>
      </c>
    </row>
    <row r="73" spans="1:25" ht="20.100000000000001" customHeight="1" x14ac:dyDescent="0.25">
      <c r="A73" s="90" t="s">
        <v>237</v>
      </c>
      <c r="B73" s="90" t="s">
        <v>240</v>
      </c>
      <c r="C73" s="90" t="s">
        <v>238</v>
      </c>
      <c r="D73" s="139" t="s">
        <v>141</v>
      </c>
      <c r="E73" s="81">
        <v>0</v>
      </c>
      <c r="F73" s="81">
        <v>0</v>
      </c>
      <c r="G73" s="81">
        <v>0</v>
      </c>
      <c r="H73" s="81">
        <v>0</v>
      </c>
      <c r="I73" s="81">
        <v>0</v>
      </c>
      <c r="J73" s="81">
        <v>0</v>
      </c>
      <c r="K73" s="81">
        <v>0</v>
      </c>
      <c r="L73" s="81"/>
      <c r="M73" s="81"/>
      <c r="N73" s="81"/>
      <c r="O73" s="81"/>
      <c r="P73" s="81">
        <v>2</v>
      </c>
      <c r="Q73" s="81"/>
      <c r="R73" s="81">
        <v>4</v>
      </c>
      <c r="S73" s="81">
        <v>4</v>
      </c>
      <c r="T73" s="81"/>
      <c r="U73" s="81">
        <v>5</v>
      </c>
      <c r="V73" s="81"/>
      <c r="W73" s="81">
        <f t="shared" si="4"/>
        <v>15</v>
      </c>
      <c r="X73" s="81">
        <v>36</v>
      </c>
      <c r="Y73" s="150">
        <f t="shared" si="3"/>
        <v>21</v>
      </c>
    </row>
    <row r="74" spans="1:25" ht="20.100000000000001" customHeight="1" x14ac:dyDescent="0.25">
      <c r="A74" s="90" t="s">
        <v>239</v>
      </c>
      <c r="B74" s="90" t="s">
        <v>240</v>
      </c>
      <c r="C74" s="90" t="s">
        <v>241</v>
      </c>
      <c r="D74" s="139" t="s">
        <v>141</v>
      </c>
      <c r="E74" s="81">
        <v>2</v>
      </c>
      <c r="F74" s="81">
        <v>0</v>
      </c>
      <c r="G74" s="81">
        <v>0</v>
      </c>
      <c r="H74" s="81">
        <v>1</v>
      </c>
      <c r="I74" s="81">
        <v>3</v>
      </c>
      <c r="J74" s="81">
        <v>0</v>
      </c>
      <c r="K74" s="81">
        <v>0</v>
      </c>
      <c r="L74" s="81"/>
      <c r="M74" s="81">
        <v>3</v>
      </c>
      <c r="N74" s="81"/>
      <c r="O74" s="81">
        <v>3</v>
      </c>
      <c r="P74" s="81">
        <v>2</v>
      </c>
      <c r="Q74" s="81"/>
      <c r="R74" s="81">
        <v>1</v>
      </c>
      <c r="S74" s="81"/>
      <c r="T74" s="81"/>
      <c r="U74" s="81">
        <v>1</v>
      </c>
      <c r="V74" s="81"/>
      <c r="W74" s="81">
        <f t="shared" si="4"/>
        <v>16</v>
      </c>
      <c r="X74" s="81">
        <v>34</v>
      </c>
      <c r="Y74" s="150">
        <f t="shared" si="3"/>
        <v>18</v>
      </c>
    </row>
    <row r="75" spans="1:25" ht="20.100000000000001" customHeight="1" x14ac:dyDescent="0.25">
      <c r="A75" s="90" t="s">
        <v>242</v>
      </c>
      <c r="B75" s="90" t="s">
        <v>240</v>
      </c>
      <c r="C75" s="90" t="s">
        <v>243</v>
      </c>
      <c r="D75" s="139" t="s">
        <v>141</v>
      </c>
      <c r="E75" s="81">
        <v>1</v>
      </c>
      <c r="F75" s="81">
        <v>0</v>
      </c>
      <c r="G75" s="81">
        <v>0</v>
      </c>
      <c r="H75" s="81">
        <v>1</v>
      </c>
      <c r="I75" s="81">
        <v>3</v>
      </c>
      <c r="J75" s="81">
        <v>0</v>
      </c>
      <c r="K75" s="81">
        <v>0</v>
      </c>
      <c r="L75" s="81"/>
      <c r="M75" s="81">
        <v>3</v>
      </c>
      <c r="N75" s="81"/>
      <c r="O75" s="81">
        <v>3</v>
      </c>
      <c r="P75" s="81">
        <v>2</v>
      </c>
      <c r="Q75" s="81"/>
      <c r="R75" s="81">
        <v>1</v>
      </c>
      <c r="S75" s="81"/>
      <c r="T75" s="81"/>
      <c r="U75" s="81">
        <v>1</v>
      </c>
      <c r="V75" s="81"/>
      <c r="W75" s="81">
        <f t="shared" si="4"/>
        <v>15</v>
      </c>
      <c r="X75" s="81">
        <v>36</v>
      </c>
      <c r="Y75" s="150">
        <f t="shared" si="3"/>
        <v>21</v>
      </c>
    </row>
    <row r="76" spans="1:25" ht="20.100000000000001" customHeight="1" x14ac:dyDescent="0.25">
      <c r="A76" s="90" t="s">
        <v>239</v>
      </c>
      <c r="B76" s="90" t="s">
        <v>240</v>
      </c>
      <c r="C76" s="90" t="s">
        <v>244</v>
      </c>
      <c r="D76" s="139" t="s">
        <v>141</v>
      </c>
      <c r="E76" s="81">
        <v>1</v>
      </c>
      <c r="F76" s="81">
        <v>1</v>
      </c>
      <c r="G76" s="81">
        <v>0</v>
      </c>
      <c r="H76" s="81">
        <v>1</v>
      </c>
      <c r="I76" s="81">
        <v>3</v>
      </c>
      <c r="J76" s="81">
        <v>2</v>
      </c>
      <c r="K76" s="81">
        <v>0</v>
      </c>
      <c r="L76" s="81">
        <v>5</v>
      </c>
      <c r="M76" s="81"/>
      <c r="N76" s="81"/>
      <c r="O76" s="81">
        <v>1</v>
      </c>
      <c r="P76" s="81">
        <v>0</v>
      </c>
      <c r="Q76" s="81"/>
      <c r="R76" s="81">
        <v>1</v>
      </c>
      <c r="S76" s="81"/>
      <c r="T76" s="81"/>
      <c r="U76" s="81">
        <v>1</v>
      </c>
      <c r="V76" s="81"/>
      <c r="W76" s="81">
        <f t="shared" si="4"/>
        <v>16</v>
      </c>
      <c r="X76" s="81">
        <v>34</v>
      </c>
      <c r="Y76" s="150">
        <f t="shared" si="3"/>
        <v>18</v>
      </c>
    </row>
    <row r="77" spans="1:25" ht="20.100000000000001" customHeight="1" x14ac:dyDescent="0.25">
      <c r="A77" s="90" t="s">
        <v>242</v>
      </c>
      <c r="B77" s="90" t="s">
        <v>240</v>
      </c>
      <c r="C77" s="90" t="s">
        <v>245</v>
      </c>
      <c r="D77" s="139" t="s">
        <v>141</v>
      </c>
      <c r="E77" s="81">
        <v>0</v>
      </c>
      <c r="F77" s="81">
        <v>0</v>
      </c>
      <c r="G77" s="81">
        <v>0</v>
      </c>
      <c r="H77" s="81">
        <v>2</v>
      </c>
      <c r="I77" s="81">
        <v>1</v>
      </c>
      <c r="J77" s="81">
        <v>0</v>
      </c>
      <c r="K77" s="81">
        <v>0</v>
      </c>
      <c r="L77" s="81">
        <v>3</v>
      </c>
      <c r="M77" s="81"/>
      <c r="N77" s="81"/>
      <c r="O77" s="81"/>
      <c r="P77" s="81">
        <v>0</v>
      </c>
      <c r="Q77" s="81"/>
      <c r="R77" s="81">
        <v>1</v>
      </c>
      <c r="S77" s="81"/>
      <c r="T77" s="81"/>
      <c r="U77" s="81">
        <v>1</v>
      </c>
      <c r="V77" s="81"/>
      <c r="W77" s="81">
        <f t="shared" si="4"/>
        <v>8</v>
      </c>
      <c r="X77" s="81">
        <v>18</v>
      </c>
      <c r="Y77" s="150">
        <f t="shared" si="3"/>
        <v>10</v>
      </c>
    </row>
    <row r="78" spans="1:25" ht="20.100000000000001" customHeight="1" x14ac:dyDescent="0.25">
      <c r="A78" s="90" t="s">
        <v>246</v>
      </c>
      <c r="B78" s="90" t="s">
        <v>240</v>
      </c>
      <c r="C78" s="90" t="s">
        <v>247</v>
      </c>
      <c r="D78" s="139" t="s">
        <v>141</v>
      </c>
      <c r="E78" s="81">
        <v>1</v>
      </c>
      <c r="F78" s="81">
        <v>2</v>
      </c>
      <c r="G78" s="81">
        <v>0</v>
      </c>
      <c r="H78" s="81">
        <v>1</v>
      </c>
      <c r="I78" s="81">
        <v>0</v>
      </c>
      <c r="J78" s="81">
        <v>2</v>
      </c>
      <c r="K78" s="81">
        <v>0</v>
      </c>
      <c r="L78" s="81">
        <v>1</v>
      </c>
      <c r="M78" s="81">
        <v>3</v>
      </c>
      <c r="N78" s="81"/>
      <c r="O78" s="81">
        <v>2</v>
      </c>
      <c r="P78" s="81">
        <v>2</v>
      </c>
      <c r="Q78" s="81"/>
      <c r="R78" s="81">
        <v>2</v>
      </c>
      <c r="S78" s="81"/>
      <c r="T78" s="81"/>
      <c r="U78" s="81">
        <v>1</v>
      </c>
      <c r="V78" s="81"/>
      <c r="W78" s="81">
        <f t="shared" si="4"/>
        <v>17</v>
      </c>
      <c r="X78" s="81">
        <v>36</v>
      </c>
      <c r="Y78" s="150">
        <f t="shared" si="3"/>
        <v>19</v>
      </c>
    </row>
    <row r="79" spans="1:25" ht="20.100000000000001" customHeight="1" x14ac:dyDescent="0.25">
      <c r="A79" s="90" t="s">
        <v>242</v>
      </c>
      <c r="B79" s="90" t="s">
        <v>240</v>
      </c>
      <c r="C79" s="90" t="s">
        <v>248</v>
      </c>
      <c r="D79" s="139" t="s">
        <v>141</v>
      </c>
      <c r="E79" s="81">
        <v>1</v>
      </c>
      <c r="F79" s="81">
        <v>2</v>
      </c>
      <c r="G79" s="81">
        <v>0</v>
      </c>
      <c r="H79" s="81">
        <v>1</v>
      </c>
      <c r="I79" s="81">
        <v>0</v>
      </c>
      <c r="J79" s="81">
        <v>2</v>
      </c>
      <c r="K79" s="81">
        <v>0</v>
      </c>
      <c r="L79" s="81">
        <v>1</v>
      </c>
      <c r="M79" s="81">
        <v>3</v>
      </c>
      <c r="N79" s="81"/>
      <c r="O79" s="81">
        <v>2</v>
      </c>
      <c r="P79" s="81">
        <v>2</v>
      </c>
      <c r="Q79" s="81"/>
      <c r="R79" s="81">
        <v>1</v>
      </c>
      <c r="S79" s="81">
        <v>1</v>
      </c>
      <c r="T79" s="81"/>
      <c r="U79" s="81">
        <v>1</v>
      </c>
      <c r="V79" s="81"/>
      <c r="W79" s="81">
        <f t="shared" si="4"/>
        <v>17</v>
      </c>
      <c r="X79" s="81">
        <v>36</v>
      </c>
      <c r="Y79" s="150">
        <f t="shared" si="3"/>
        <v>19</v>
      </c>
    </row>
    <row r="80" spans="1:25" ht="20.100000000000001" customHeight="1" x14ac:dyDescent="0.25">
      <c r="A80" s="90" t="s">
        <v>249</v>
      </c>
      <c r="B80" s="90" t="s">
        <v>240</v>
      </c>
      <c r="C80" s="90" t="s">
        <v>250</v>
      </c>
      <c r="D80" s="139" t="s">
        <v>141</v>
      </c>
      <c r="E80" s="81">
        <v>0</v>
      </c>
      <c r="F80" s="81">
        <v>0</v>
      </c>
      <c r="G80" s="81">
        <v>0</v>
      </c>
      <c r="H80" s="81">
        <v>0</v>
      </c>
      <c r="I80" s="81">
        <v>0</v>
      </c>
      <c r="J80" s="81">
        <v>0</v>
      </c>
      <c r="K80" s="81">
        <v>0</v>
      </c>
      <c r="L80" s="81"/>
      <c r="M80" s="81"/>
      <c r="N80" s="81"/>
      <c r="O80" s="81"/>
      <c r="P80" s="81">
        <v>0</v>
      </c>
      <c r="Q80" s="81"/>
      <c r="R80" s="81"/>
      <c r="S80" s="81"/>
      <c r="T80" s="81"/>
      <c r="U80" s="81"/>
      <c r="V80" s="81"/>
      <c r="W80" s="81">
        <f t="shared" si="4"/>
        <v>0</v>
      </c>
      <c r="X80" s="81">
        <v>4</v>
      </c>
      <c r="Y80" s="150">
        <f t="shared" si="3"/>
        <v>4</v>
      </c>
    </row>
    <row r="81" spans="1:25" ht="20.100000000000001" customHeight="1" x14ac:dyDescent="0.25">
      <c r="A81" s="90" t="s">
        <v>249</v>
      </c>
      <c r="B81" s="90" t="s">
        <v>240</v>
      </c>
      <c r="C81" s="90" t="s">
        <v>251</v>
      </c>
      <c r="D81" s="139" t="s">
        <v>141</v>
      </c>
      <c r="E81" s="81">
        <v>0</v>
      </c>
      <c r="F81" s="81">
        <v>0</v>
      </c>
      <c r="G81" s="81">
        <v>0</v>
      </c>
      <c r="H81" s="81">
        <v>0</v>
      </c>
      <c r="I81" s="81">
        <v>0</v>
      </c>
      <c r="J81" s="81">
        <v>0</v>
      </c>
      <c r="K81" s="81">
        <v>0</v>
      </c>
      <c r="L81" s="81"/>
      <c r="M81" s="81"/>
      <c r="N81" s="81"/>
      <c r="O81" s="81"/>
      <c r="P81" s="81">
        <v>0</v>
      </c>
      <c r="Q81" s="81"/>
      <c r="R81" s="81"/>
      <c r="S81" s="81"/>
      <c r="T81" s="81"/>
      <c r="U81" s="81"/>
      <c r="V81" s="81"/>
      <c r="W81" s="81">
        <f t="shared" si="4"/>
        <v>0</v>
      </c>
      <c r="X81" s="81">
        <v>4</v>
      </c>
      <c r="Y81" s="150">
        <f t="shared" si="3"/>
        <v>4</v>
      </c>
    </row>
    <row r="82" spans="1:25" ht="20.100000000000001" customHeight="1" x14ac:dyDescent="0.25">
      <c r="A82" s="90" t="s">
        <v>249</v>
      </c>
      <c r="B82" s="90" t="s">
        <v>240</v>
      </c>
      <c r="C82" s="90" t="s">
        <v>252</v>
      </c>
      <c r="D82" s="139" t="s">
        <v>141</v>
      </c>
      <c r="E82" s="81">
        <v>0</v>
      </c>
      <c r="F82" s="81">
        <v>0</v>
      </c>
      <c r="G82" s="81">
        <v>0</v>
      </c>
      <c r="H82" s="81">
        <v>0</v>
      </c>
      <c r="I82" s="81">
        <v>0</v>
      </c>
      <c r="J82" s="81">
        <v>0</v>
      </c>
      <c r="K82" s="81">
        <v>0</v>
      </c>
      <c r="L82" s="81"/>
      <c r="M82" s="81"/>
      <c r="N82" s="81"/>
      <c r="O82" s="81"/>
      <c r="P82" s="81">
        <v>0</v>
      </c>
      <c r="Q82" s="81"/>
      <c r="R82" s="81"/>
      <c r="S82" s="81"/>
      <c r="T82" s="81"/>
      <c r="U82" s="81"/>
      <c r="V82" s="81"/>
      <c r="W82" s="81">
        <f t="shared" si="4"/>
        <v>0</v>
      </c>
      <c r="X82" s="81">
        <v>12</v>
      </c>
      <c r="Y82" s="150">
        <f t="shared" si="3"/>
        <v>12</v>
      </c>
    </row>
    <row r="83" spans="1:25" ht="20.100000000000001" customHeight="1" x14ac:dyDescent="0.25">
      <c r="A83" s="90" t="s">
        <v>249</v>
      </c>
      <c r="B83" s="90" t="s">
        <v>240</v>
      </c>
      <c r="C83" s="90" t="s">
        <v>253</v>
      </c>
      <c r="D83" s="139" t="s">
        <v>141</v>
      </c>
      <c r="E83" s="81">
        <v>0</v>
      </c>
      <c r="F83" s="81">
        <v>0</v>
      </c>
      <c r="G83" s="81">
        <v>0</v>
      </c>
      <c r="H83" s="81">
        <v>0</v>
      </c>
      <c r="I83" s="81">
        <v>0</v>
      </c>
      <c r="J83" s="81">
        <v>0</v>
      </c>
      <c r="K83" s="81">
        <v>0</v>
      </c>
      <c r="L83" s="81"/>
      <c r="M83" s="81"/>
      <c r="N83" s="81"/>
      <c r="O83" s="81"/>
      <c r="P83" s="81">
        <v>0</v>
      </c>
      <c r="Q83" s="81"/>
      <c r="R83" s="81"/>
      <c r="S83" s="81"/>
      <c r="T83" s="81"/>
      <c r="U83" s="81"/>
      <c r="V83" s="81"/>
      <c r="W83" s="81">
        <f t="shared" si="4"/>
        <v>0</v>
      </c>
      <c r="X83" s="81">
        <v>4</v>
      </c>
      <c r="Y83" s="150">
        <f t="shared" si="3"/>
        <v>4</v>
      </c>
    </row>
    <row r="84" spans="1:25" ht="20.100000000000001" customHeight="1" x14ac:dyDescent="0.25">
      <c r="A84" s="90" t="s">
        <v>249</v>
      </c>
      <c r="B84" s="90" t="s">
        <v>240</v>
      </c>
      <c r="C84" s="90" t="s">
        <v>254</v>
      </c>
      <c r="D84" s="139" t="s">
        <v>141</v>
      </c>
      <c r="E84" s="81">
        <v>0</v>
      </c>
      <c r="F84" s="81">
        <v>0</v>
      </c>
      <c r="G84" s="81">
        <v>0</v>
      </c>
      <c r="H84" s="81">
        <v>0</v>
      </c>
      <c r="I84" s="81">
        <v>0</v>
      </c>
      <c r="J84" s="81">
        <v>0</v>
      </c>
      <c r="K84" s="81">
        <v>0</v>
      </c>
      <c r="L84" s="81"/>
      <c r="M84" s="81"/>
      <c r="N84" s="81"/>
      <c r="O84" s="81"/>
      <c r="P84" s="81">
        <v>0</v>
      </c>
      <c r="Q84" s="81"/>
      <c r="R84" s="81"/>
      <c r="S84" s="81"/>
      <c r="T84" s="81"/>
      <c r="U84" s="81"/>
      <c r="V84" s="81"/>
      <c r="W84" s="81">
        <f t="shared" si="4"/>
        <v>0</v>
      </c>
      <c r="X84" s="81">
        <v>4</v>
      </c>
      <c r="Y84" s="150">
        <f t="shared" si="3"/>
        <v>4</v>
      </c>
    </row>
    <row r="85" spans="1:25" ht="20.100000000000001" customHeight="1" x14ac:dyDescent="0.25">
      <c r="A85" s="90" t="s">
        <v>249</v>
      </c>
      <c r="B85" s="90" t="s">
        <v>240</v>
      </c>
      <c r="C85" s="90" t="s">
        <v>255</v>
      </c>
      <c r="D85" s="139" t="s">
        <v>141</v>
      </c>
      <c r="E85" s="81">
        <v>0</v>
      </c>
      <c r="F85" s="81">
        <v>0</v>
      </c>
      <c r="G85" s="81">
        <v>0</v>
      </c>
      <c r="H85" s="81">
        <v>0</v>
      </c>
      <c r="I85" s="81">
        <v>0</v>
      </c>
      <c r="J85" s="81">
        <v>0</v>
      </c>
      <c r="K85" s="81">
        <v>0</v>
      </c>
      <c r="L85" s="81"/>
      <c r="M85" s="81"/>
      <c r="N85" s="81"/>
      <c r="O85" s="81"/>
      <c r="P85" s="81">
        <v>0</v>
      </c>
      <c r="Q85" s="81"/>
      <c r="R85" s="81"/>
      <c r="S85" s="81"/>
      <c r="T85" s="81"/>
      <c r="U85" s="81"/>
      <c r="V85" s="81"/>
      <c r="W85" s="81">
        <f t="shared" si="4"/>
        <v>0</v>
      </c>
      <c r="X85" s="81">
        <v>4</v>
      </c>
      <c r="Y85" s="150">
        <f t="shared" si="3"/>
        <v>4</v>
      </c>
    </row>
    <row r="86" spans="1:25" ht="20.100000000000001" customHeight="1" x14ac:dyDescent="0.25">
      <c r="A86" s="90" t="s">
        <v>249</v>
      </c>
      <c r="B86" s="90" t="s">
        <v>240</v>
      </c>
      <c r="C86" s="90" t="s">
        <v>256</v>
      </c>
      <c r="D86" s="139" t="s">
        <v>141</v>
      </c>
      <c r="E86" s="81">
        <v>0</v>
      </c>
      <c r="F86" s="81">
        <v>0</v>
      </c>
      <c r="G86" s="81">
        <v>0</v>
      </c>
      <c r="H86" s="81">
        <v>0</v>
      </c>
      <c r="I86" s="81">
        <v>0</v>
      </c>
      <c r="J86" s="81">
        <v>0</v>
      </c>
      <c r="K86" s="81">
        <v>0</v>
      </c>
      <c r="L86" s="81"/>
      <c r="M86" s="81"/>
      <c r="N86" s="81"/>
      <c r="O86" s="81"/>
      <c r="P86" s="81">
        <v>0</v>
      </c>
      <c r="Q86" s="81"/>
      <c r="R86" s="81"/>
      <c r="S86" s="81"/>
      <c r="T86" s="81"/>
      <c r="U86" s="81"/>
      <c r="V86" s="81"/>
      <c r="W86" s="81">
        <f t="shared" si="4"/>
        <v>0</v>
      </c>
      <c r="X86" s="81">
        <v>4</v>
      </c>
      <c r="Y86" s="150">
        <f t="shared" si="3"/>
        <v>4</v>
      </c>
    </row>
    <row r="87" spans="1:25" ht="20.100000000000001" customHeight="1" x14ac:dyDescent="0.25">
      <c r="A87" s="90" t="s">
        <v>249</v>
      </c>
      <c r="B87" s="90" t="s">
        <v>240</v>
      </c>
      <c r="C87" s="90" t="s">
        <v>257</v>
      </c>
      <c r="D87" s="139" t="s">
        <v>141</v>
      </c>
      <c r="E87" s="81">
        <v>0</v>
      </c>
      <c r="F87" s="81">
        <v>0</v>
      </c>
      <c r="G87" s="81">
        <v>0</v>
      </c>
      <c r="H87" s="81">
        <v>0</v>
      </c>
      <c r="I87" s="81">
        <v>0</v>
      </c>
      <c r="J87" s="81">
        <v>0</v>
      </c>
      <c r="K87" s="81">
        <v>0</v>
      </c>
      <c r="L87" s="81"/>
      <c r="M87" s="81"/>
      <c r="N87" s="81"/>
      <c r="O87" s="81"/>
      <c r="P87" s="81">
        <v>0</v>
      </c>
      <c r="Q87" s="81"/>
      <c r="R87" s="81"/>
      <c r="S87" s="81"/>
      <c r="T87" s="81"/>
      <c r="U87" s="81"/>
      <c r="V87" s="81"/>
      <c r="W87" s="81">
        <f t="shared" si="4"/>
        <v>0</v>
      </c>
      <c r="X87" s="81">
        <v>4</v>
      </c>
      <c r="Y87" s="150">
        <f t="shared" si="3"/>
        <v>4</v>
      </c>
    </row>
    <row r="88" spans="1:25" ht="20.100000000000001" customHeight="1" x14ac:dyDescent="0.25">
      <c r="A88" s="90" t="s">
        <v>249</v>
      </c>
      <c r="B88" s="90" t="s">
        <v>240</v>
      </c>
      <c r="C88" s="90" t="s">
        <v>258</v>
      </c>
      <c r="D88" s="139" t="s">
        <v>141</v>
      </c>
      <c r="E88" s="81">
        <v>0</v>
      </c>
      <c r="F88" s="81">
        <v>0</v>
      </c>
      <c r="G88" s="81">
        <v>0</v>
      </c>
      <c r="H88" s="81">
        <v>0</v>
      </c>
      <c r="I88" s="81">
        <v>0</v>
      </c>
      <c r="J88" s="81">
        <v>0</v>
      </c>
      <c r="K88" s="81">
        <v>0</v>
      </c>
      <c r="L88" s="81"/>
      <c r="M88" s="81"/>
      <c r="N88" s="81"/>
      <c r="O88" s="81"/>
      <c r="P88" s="81">
        <v>0</v>
      </c>
      <c r="Q88" s="81"/>
      <c r="R88" s="81"/>
      <c r="S88" s="81"/>
      <c r="T88" s="81"/>
      <c r="U88" s="81"/>
      <c r="V88" s="81"/>
      <c r="W88" s="81">
        <f t="shared" si="4"/>
        <v>0</v>
      </c>
      <c r="X88" s="81">
        <v>2</v>
      </c>
      <c r="Y88" s="150">
        <f t="shared" si="3"/>
        <v>2</v>
      </c>
    </row>
    <row r="89" spans="1:25" ht="20.100000000000001" customHeight="1" x14ac:dyDescent="0.25">
      <c r="A89" s="90" t="s">
        <v>239</v>
      </c>
      <c r="B89" s="90" t="s">
        <v>240</v>
      </c>
      <c r="C89" s="90" t="s">
        <v>259</v>
      </c>
      <c r="D89" s="139" t="s">
        <v>141</v>
      </c>
      <c r="E89" s="81">
        <v>0</v>
      </c>
      <c r="F89" s="81">
        <v>0</v>
      </c>
      <c r="G89" s="81">
        <v>0</v>
      </c>
      <c r="H89" s="81">
        <v>0</v>
      </c>
      <c r="I89" s="81">
        <v>0</v>
      </c>
      <c r="J89" s="81">
        <v>0</v>
      </c>
      <c r="K89" s="81">
        <v>0</v>
      </c>
      <c r="L89" s="81"/>
      <c r="M89" s="81"/>
      <c r="N89" s="81"/>
      <c r="O89" s="81"/>
      <c r="P89" s="81">
        <v>0</v>
      </c>
      <c r="Q89" s="81"/>
      <c r="R89" s="81"/>
      <c r="S89" s="81"/>
      <c r="T89" s="81"/>
      <c r="U89" s="81"/>
      <c r="V89" s="81"/>
      <c r="W89" s="81">
        <f t="shared" si="4"/>
        <v>0</v>
      </c>
      <c r="X89" s="81">
        <v>1</v>
      </c>
      <c r="Y89" s="150">
        <f t="shared" si="3"/>
        <v>1</v>
      </c>
    </row>
    <row r="90" spans="1:25" ht="20.100000000000001" customHeight="1" x14ac:dyDescent="0.25">
      <c r="A90" s="90" t="s">
        <v>239</v>
      </c>
      <c r="B90" s="90" t="s">
        <v>240</v>
      </c>
      <c r="C90" s="90" t="s">
        <v>260</v>
      </c>
      <c r="D90" s="139" t="s">
        <v>141</v>
      </c>
      <c r="E90" s="81">
        <v>0</v>
      </c>
      <c r="F90" s="81">
        <v>0</v>
      </c>
      <c r="G90" s="81">
        <v>0</v>
      </c>
      <c r="H90" s="81">
        <v>0</v>
      </c>
      <c r="I90" s="81">
        <v>0</v>
      </c>
      <c r="J90" s="81">
        <v>0</v>
      </c>
      <c r="K90" s="81">
        <v>0</v>
      </c>
      <c r="L90" s="81"/>
      <c r="M90" s="81"/>
      <c r="N90" s="81"/>
      <c r="O90" s="81"/>
      <c r="P90" s="81">
        <v>0</v>
      </c>
      <c r="Q90" s="81"/>
      <c r="R90" s="81"/>
      <c r="S90" s="81"/>
      <c r="T90" s="81"/>
      <c r="U90" s="81"/>
      <c r="V90" s="81"/>
      <c r="W90" s="81">
        <f t="shared" si="4"/>
        <v>0</v>
      </c>
      <c r="X90" s="81">
        <v>1</v>
      </c>
      <c r="Y90" s="150">
        <f t="shared" si="3"/>
        <v>1</v>
      </c>
    </row>
    <row r="91" spans="1:25" ht="20.100000000000001" customHeight="1" x14ac:dyDescent="0.25">
      <c r="A91" s="90" t="s">
        <v>239</v>
      </c>
      <c r="B91" s="90" t="s">
        <v>240</v>
      </c>
      <c r="C91" s="90" t="s">
        <v>261</v>
      </c>
      <c r="D91" s="139" t="s">
        <v>141</v>
      </c>
      <c r="E91" s="81">
        <v>0</v>
      </c>
      <c r="F91" s="81">
        <v>0</v>
      </c>
      <c r="G91" s="81">
        <v>0</v>
      </c>
      <c r="H91" s="81">
        <v>0</v>
      </c>
      <c r="I91" s="81">
        <v>0</v>
      </c>
      <c r="J91" s="81">
        <v>0</v>
      </c>
      <c r="K91" s="81">
        <v>0</v>
      </c>
      <c r="L91" s="81"/>
      <c r="M91" s="81"/>
      <c r="N91" s="81"/>
      <c r="O91" s="81"/>
      <c r="P91" s="81">
        <v>0</v>
      </c>
      <c r="Q91" s="81"/>
      <c r="R91" s="81"/>
      <c r="S91" s="81"/>
      <c r="T91" s="81"/>
      <c r="U91" s="81"/>
      <c r="V91" s="81"/>
      <c r="W91" s="81">
        <f t="shared" si="4"/>
        <v>0</v>
      </c>
      <c r="X91" s="81">
        <v>1</v>
      </c>
      <c r="Y91" s="150">
        <f t="shared" si="3"/>
        <v>1</v>
      </c>
    </row>
    <row r="92" spans="1:25" ht="20.100000000000001" customHeight="1" x14ac:dyDescent="0.25">
      <c r="A92" s="90" t="s">
        <v>239</v>
      </c>
      <c r="B92" s="90" t="s">
        <v>240</v>
      </c>
      <c r="C92" s="90" t="s">
        <v>262</v>
      </c>
      <c r="D92" s="139" t="s">
        <v>141</v>
      </c>
      <c r="E92" s="81">
        <v>0</v>
      </c>
      <c r="F92" s="81">
        <v>0</v>
      </c>
      <c r="G92" s="81">
        <v>0</v>
      </c>
      <c r="H92" s="81">
        <v>0</v>
      </c>
      <c r="I92" s="81">
        <v>0</v>
      </c>
      <c r="J92" s="81">
        <v>0</v>
      </c>
      <c r="K92" s="81">
        <v>0</v>
      </c>
      <c r="L92" s="81"/>
      <c r="M92" s="81"/>
      <c r="N92" s="81"/>
      <c r="O92" s="81"/>
      <c r="P92" s="81">
        <v>0</v>
      </c>
      <c r="Q92" s="81"/>
      <c r="R92" s="81"/>
      <c r="S92" s="81"/>
      <c r="T92" s="81"/>
      <c r="U92" s="81"/>
      <c r="V92" s="81"/>
      <c r="W92" s="81">
        <f t="shared" si="4"/>
        <v>0</v>
      </c>
      <c r="X92" s="81">
        <v>1</v>
      </c>
      <c r="Y92" s="150">
        <f t="shared" si="3"/>
        <v>1</v>
      </c>
    </row>
    <row r="93" spans="1:25" ht="20.100000000000001" customHeight="1" x14ac:dyDescent="0.25">
      <c r="A93" s="90" t="s">
        <v>246</v>
      </c>
      <c r="B93" s="90" t="s">
        <v>240</v>
      </c>
      <c r="C93" s="90" t="s">
        <v>263</v>
      </c>
      <c r="D93" s="139" t="s">
        <v>141</v>
      </c>
      <c r="E93" s="81">
        <v>0</v>
      </c>
      <c r="F93" s="81">
        <v>0</v>
      </c>
      <c r="G93" s="81">
        <v>0</v>
      </c>
      <c r="H93" s="81">
        <v>0</v>
      </c>
      <c r="I93" s="81">
        <v>0</v>
      </c>
      <c r="J93" s="81">
        <v>0</v>
      </c>
      <c r="K93" s="81">
        <v>0</v>
      </c>
      <c r="L93" s="81"/>
      <c r="M93" s="81"/>
      <c r="N93" s="81"/>
      <c r="O93" s="81"/>
      <c r="P93" s="81">
        <v>0</v>
      </c>
      <c r="Q93" s="81"/>
      <c r="R93" s="81"/>
      <c r="S93" s="81"/>
      <c r="T93" s="81"/>
      <c r="U93" s="81"/>
      <c r="V93" s="81"/>
      <c r="W93" s="81">
        <f t="shared" si="4"/>
        <v>0</v>
      </c>
      <c r="X93" s="81">
        <v>1</v>
      </c>
      <c r="Y93" s="150">
        <f t="shared" si="3"/>
        <v>1</v>
      </c>
    </row>
    <row r="94" spans="1:25" ht="20.100000000000001" customHeight="1" x14ac:dyDescent="0.25">
      <c r="A94" s="90" t="s">
        <v>246</v>
      </c>
      <c r="B94" s="90" t="s">
        <v>240</v>
      </c>
      <c r="C94" s="90" t="s">
        <v>264</v>
      </c>
      <c r="D94" s="139" t="s">
        <v>141</v>
      </c>
      <c r="E94" s="81">
        <v>0</v>
      </c>
      <c r="F94" s="81">
        <v>0</v>
      </c>
      <c r="G94" s="81">
        <v>0</v>
      </c>
      <c r="H94" s="81">
        <v>0</v>
      </c>
      <c r="I94" s="81">
        <v>0</v>
      </c>
      <c r="J94" s="81">
        <v>0</v>
      </c>
      <c r="K94" s="81">
        <v>0</v>
      </c>
      <c r="L94" s="81"/>
      <c r="M94" s="81"/>
      <c r="N94" s="81"/>
      <c r="O94" s="81"/>
      <c r="P94" s="81">
        <v>0</v>
      </c>
      <c r="Q94" s="81"/>
      <c r="R94" s="81"/>
      <c r="S94" s="81"/>
      <c r="T94" s="81"/>
      <c r="U94" s="81"/>
      <c r="V94" s="81"/>
      <c r="W94" s="81">
        <f t="shared" si="4"/>
        <v>0</v>
      </c>
      <c r="X94" s="81">
        <v>1</v>
      </c>
      <c r="Y94" s="150">
        <f t="shared" si="3"/>
        <v>1</v>
      </c>
    </row>
    <row r="95" spans="1:25" ht="20.100000000000001" customHeight="1" x14ac:dyDescent="0.25">
      <c r="A95" s="90" t="s">
        <v>265</v>
      </c>
      <c r="B95" s="90" t="s">
        <v>266</v>
      </c>
      <c r="C95" s="90" t="s">
        <v>267</v>
      </c>
      <c r="D95" s="139" t="s">
        <v>141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81">
        <v>0</v>
      </c>
      <c r="L95" s="81"/>
      <c r="M95" s="81"/>
      <c r="N95" s="81"/>
      <c r="O95" s="81"/>
      <c r="P95" s="81">
        <v>0</v>
      </c>
      <c r="Q95" s="81"/>
      <c r="R95" s="81"/>
      <c r="S95" s="81"/>
      <c r="T95" s="81"/>
      <c r="U95" s="81"/>
      <c r="V95" s="81"/>
      <c r="W95" s="81">
        <f t="shared" si="4"/>
        <v>0</v>
      </c>
      <c r="X95" s="81">
        <v>756</v>
      </c>
      <c r="Y95" s="150">
        <f t="shared" si="3"/>
        <v>756</v>
      </c>
    </row>
    <row r="96" spans="1:25" ht="20.100000000000001" customHeight="1" x14ac:dyDescent="0.25">
      <c r="A96" s="90" t="s">
        <v>265</v>
      </c>
      <c r="B96" s="90" t="s">
        <v>266</v>
      </c>
      <c r="C96" s="90" t="s">
        <v>268</v>
      </c>
      <c r="D96" s="139" t="s">
        <v>141</v>
      </c>
      <c r="E96" s="81">
        <v>0</v>
      </c>
      <c r="F96" s="81">
        <v>0</v>
      </c>
      <c r="G96" s="81">
        <v>0</v>
      </c>
      <c r="H96" s="81">
        <v>0</v>
      </c>
      <c r="I96" s="81">
        <v>0</v>
      </c>
      <c r="J96" s="81">
        <v>0</v>
      </c>
      <c r="K96" s="81">
        <v>0</v>
      </c>
      <c r="L96" s="81"/>
      <c r="M96" s="81"/>
      <c r="N96" s="81"/>
      <c r="O96" s="81"/>
      <c r="P96" s="81">
        <v>0</v>
      </c>
      <c r="Q96" s="81"/>
      <c r="R96" s="81"/>
      <c r="S96" s="81"/>
      <c r="T96" s="81"/>
      <c r="U96" s="81"/>
      <c r="V96" s="81"/>
      <c r="W96" s="81">
        <f t="shared" si="4"/>
        <v>0</v>
      </c>
      <c r="X96" s="81">
        <v>36</v>
      </c>
      <c r="Y96" s="150">
        <f t="shared" si="3"/>
        <v>36</v>
      </c>
    </row>
    <row r="97" spans="1:25" ht="20.100000000000001" customHeight="1" x14ac:dyDescent="0.25">
      <c r="A97" s="90" t="s">
        <v>265</v>
      </c>
      <c r="B97" s="90" t="s">
        <v>266</v>
      </c>
      <c r="C97" s="90" t="s">
        <v>269</v>
      </c>
      <c r="D97" s="139" t="s">
        <v>141</v>
      </c>
      <c r="E97" s="81">
        <v>0</v>
      </c>
      <c r="F97" s="81">
        <v>0</v>
      </c>
      <c r="G97" s="81">
        <v>0</v>
      </c>
      <c r="H97" s="81">
        <v>0</v>
      </c>
      <c r="I97" s="81">
        <v>0</v>
      </c>
      <c r="J97" s="81">
        <v>0</v>
      </c>
      <c r="K97" s="81">
        <v>0</v>
      </c>
      <c r="L97" s="81"/>
      <c r="M97" s="81"/>
      <c r="N97" s="81"/>
      <c r="O97" s="81"/>
      <c r="P97" s="81">
        <v>0</v>
      </c>
      <c r="Q97" s="81"/>
      <c r="R97" s="81"/>
      <c r="S97" s="81"/>
      <c r="T97" s="81"/>
      <c r="U97" s="81"/>
      <c r="V97" s="81"/>
      <c r="W97" s="81">
        <f t="shared" si="4"/>
        <v>0</v>
      </c>
      <c r="X97" s="81">
        <v>30</v>
      </c>
      <c r="Y97" s="150">
        <f t="shared" si="3"/>
        <v>30</v>
      </c>
    </row>
    <row r="98" spans="1:25" ht="20.100000000000001" customHeight="1" x14ac:dyDescent="0.25">
      <c r="A98" s="90" t="s">
        <v>265</v>
      </c>
      <c r="B98" s="90" t="s">
        <v>266</v>
      </c>
      <c r="C98" s="90" t="s">
        <v>270</v>
      </c>
      <c r="D98" s="139" t="s">
        <v>141</v>
      </c>
      <c r="E98" s="81">
        <v>0</v>
      </c>
      <c r="F98" s="81">
        <v>0</v>
      </c>
      <c r="G98" s="81">
        <v>0</v>
      </c>
      <c r="H98" s="81">
        <v>0</v>
      </c>
      <c r="I98" s="81">
        <v>0</v>
      </c>
      <c r="J98" s="81">
        <v>0</v>
      </c>
      <c r="K98" s="81">
        <v>0</v>
      </c>
      <c r="L98" s="81"/>
      <c r="M98" s="81"/>
      <c r="N98" s="81"/>
      <c r="O98" s="81"/>
      <c r="P98" s="81">
        <v>0</v>
      </c>
      <c r="Q98" s="81"/>
      <c r="R98" s="81"/>
      <c r="S98" s="81"/>
      <c r="T98" s="81"/>
      <c r="U98" s="81"/>
      <c r="V98" s="81"/>
      <c r="W98" s="81">
        <f t="shared" si="4"/>
        <v>0</v>
      </c>
      <c r="X98" s="81">
        <v>304</v>
      </c>
      <c r="Y98" s="150">
        <f t="shared" si="3"/>
        <v>304</v>
      </c>
    </row>
    <row r="99" spans="1:25" ht="20.100000000000001" customHeight="1" x14ac:dyDescent="0.25">
      <c r="A99" s="90" t="s">
        <v>265</v>
      </c>
      <c r="B99" s="90" t="s">
        <v>266</v>
      </c>
      <c r="C99" s="90" t="s">
        <v>271</v>
      </c>
      <c r="D99" s="139" t="s">
        <v>141</v>
      </c>
      <c r="E99" s="81">
        <v>0</v>
      </c>
      <c r="F99" s="81">
        <v>0</v>
      </c>
      <c r="G99" s="81">
        <v>0</v>
      </c>
      <c r="H99" s="81">
        <v>0</v>
      </c>
      <c r="I99" s="81">
        <v>0</v>
      </c>
      <c r="J99" s="81">
        <v>0</v>
      </c>
      <c r="K99" s="81">
        <v>0</v>
      </c>
      <c r="L99" s="81"/>
      <c r="M99" s="81"/>
      <c r="N99" s="81"/>
      <c r="O99" s="81"/>
      <c r="P99" s="81">
        <v>0</v>
      </c>
      <c r="Q99" s="81"/>
      <c r="R99" s="81"/>
      <c r="S99" s="81"/>
      <c r="T99" s="81"/>
      <c r="U99" s="81"/>
      <c r="V99" s="81"/>
      <c r="W99" s="81">
        <f t="shared" si="4"/>
        <v>0</v>
      </c>
      <c r="X99" s="81">
        <v>608</v>
      </c>
      <c r="Y99" s="150">
        <f t="shared" si="3"/>
        <v>608</v>
      </c>
    </row>
    <row r="100" spans="1:25" ht="20.100000000000001" customHeight="1" x14ac:dyDescent="0.25">
      <c r="A100" s="90" t="s">
        <v>272</v>
      </c>
      <c r="B100" s="90" t="s">
        <v>273</v>
      </c>
      <c r="C100" s="90" t="s">
        <v>274</v>
      </c>
      <c r="D100" s="139" t="s">
        <v>141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81"/>
      <c r="M100" s="81"/>
      <c r="N100" s="81"/>
      <c r="O100" s="81"/>
      <c r="P100" s="81">
        <v>0</v>
      </c>
      <c r="Q100" s="81"/>
      <c r="R100" s="81"/>
      <c r="S100" s="81"/>
      <c r="T100" s="81"/>
      <c r="U100" s="81"/>
      <c r="V100" s="81"/>
      <c r="W100" s="81">
        <f t="shared" si="4"/>
        <v>0</v>
      </c>
      <c r="X100" s="81">
        <v>312</v>
      </c>
      <c r="Y100" s="150">
        <f t="shared" ref="Y100:Y131" si="5">MAX(0,X100-W100)</f>
        <v>312</v>
      </c>
    </row>
    <row r="101" spans="1:25" ht="20.100000000000001" customHeight="1" x14ac:dyDescent="0.25">
      <c r="A101" s="90" t="s">
        <v>272</v>
      </c>
      <c r="B101" s="90" t="s">
        <v>273</v>
      </c>
      <c r="C101" s="90" t="s">
        <v>275</v>
      </c>
      <c r="D101" s="139" t="s">
        <v>141</v>
      </c>
      <c r="E101" s="81">
        <v>0</v>
      </c>
      <c r="F101" s="81">
        <v>0</v>
      </c>
      <c r="G101" s="81">
        <v>0</v>
      </c>
      <c r="H101" s="81">
        <v>0</v>
      </c>
      <c r="I101" s="81">
        <v>0</v>
      </c>
      <c r="J101" s="81">
        <v>0</v>
      </c>
      <c r="K101" s="81">
        <v>0</v>
      </c>
      <c r="L101" s="81"/>
      <c r="M101" s="81"/>
      <c r="N101" s="81"/>
      <c r="O101" s="81"/>
      <c r="P101" s="81">
        <v>0</v>
      </c>
      <c r="Q101" s="81"/>
      <c r="R101" s="81"/>
      <c r="S101" s="81"/>
      <c r="T101" s="81"/>
      <c r="U101" s="81"/>
      <c r="V101" s="81"/>
      <c r="W101" s="81">
        <f t="shared" si="4"/>
        <v>0</v>
      </c>
      <c r="X101" s="81">
        <v>336</v>
      </c>
      <c r="Y101" s="150">
        <f t="shared" si="5"/>
        <v>336</v>
      </c>
    </row>
    <row r="102" spans="1:25" ht="20.100000000000001" customHeight="1" x14ac:dyDescent="0.25">
      <c r="A102" s="90" t="s">
        <v>276</v>
      </c>
      <c r="B102" s="90" t="s">
        <v>277</v>
      </c>
      <c r="C102" s="90" t="s">
        <v>278</v>
      </c>
      <c r="D102" s="139" t="s">
        <v>141</v>
      </c>
      <c r="E102" s="81">
        <v>0</v>
      </c>
      <c r="F102" s="81">
        <v>0</v>
      </c>
      <c r="G102" s="81">
        <v>0</v>
      </c>
      <c r="H102" s="81">
        <v>0</v>
      </c>
      <c r="I102" s="81">
        <v>0</v>
      </c>
      <c r="J102" s="81">
        <v>0</v>
      </c>
      <c r="K102" s="81">
        <v>0</v>
      </c>
      <c r="L102" s="81"/>
      <c r="M102" s="81"/>
      <c r="N102" s="81"/>
      <c r="O102" s="81"/>
      <c r="P102" s="81">
        <v>0</v>
      </c>
      <c r="Q102" s="81"/>
      <c r="R102" s="81"/>
      <c r="S102" s="81"/>
      <c r="T102" s="81"/>
      <c r="U102" s="81"/>
      <c r="V102" s="81"/>
      <c r="W102" s="81">
        <f t="shared" si="4"/>
        <v>0</v>
      </c>
      <c r="X102" s="81">
        <v>14</v>
      </c>
      <c r="Y102" s="150">
        <f t="shared" si="5"/>
        <v>14</v>
      </c>
    </row>
    <row r="103" spans="1:25" ht="20.100000000000001" customHeight="1" x14ac:dyDescent="0.25">
      <c r="A103" s="90" t="s">
        <v>279</v>
      </c>
      <c r="B103" s="90" t="s">
        <v>277</v>
      </c>
      <c r="C103" s="90" t="s">
        <v>280</v>
      </c>
      <c r="D103" s="139" t="s">
        <v>141</v>
      </c>
      <c r="E103" s="81">
        <v>0</v>
      </c>
      <c r="F103" s="81">
        <v>0</v>
      </c>
      <c r="G103" s="81">
        <v>0</v>
      </c>
      <c r="H103" s="81">
        <v>0</v>
      </c>
      <c r="I103" s="81">
        <v>0</v>
      </c>
      <c r="J103" s="81">
        <v>0</v>
      </c>
      <c r="K103" s="81">
        <v>0</v>
      </c>
      <c r="L103" s="81"/>
      <c r="M103" s="81"/>
      <c r="N103" s="81"/>
      <c r="O103" s="81"/>
      <c r="P103" s="81">
        <v>0</v>
      </c>
      <c r="Q103" s="81"/>
      <c r="R103" s="81"/>
      <c r="S103" s="81"/>
      <c r="T103" s="81"/>
      <c r="U103" s="81"/>
      <c r="V103" s="81"/>
      <c r="W103" s="81">
        <f t="shared" si="4"/>
        <v>0</v>
      </c>
      <c r="X103" s="81">
        <v>96</v>
      </c>
      <c r="Y103" s="150">
        <f t="shared" si="5"/>
        <v>96</v>
      </c>
    </row>
    <row r="104" spans="1:25" ht="20.100000000000001" customHeight="1" x14ac:dyDescent="0.25">
      <c r="A104" s="90" t="s">
        <v>281</v>
      </c>
      <c r="B104" s="90" t="s">
        <v>277</v>
      </c>
      <c r="C104" s="90" t="s">
        <v>282</v>
      </c>
      <c r="D104" s="139" t="s">
        <v>141</v>
      </c>
      <c r="E104" s="81">
        <v>0</v>
      </c>
      <c r="F104" s="81">
        <v>0</v>
      </c>
      <c r="G104" s="81">
        <v>0</v>
      </c>
      <c r="H104" s="81">
        <v>0</v>
      </c>
      <c r="I104" s="81">
        <v>0</v>
      </c>
      <c r="J104" s="81">
        <v>0</v>
      </c>
      <c r="K104" s="81">
        <v>0</v>
      </c>
      <c r="L104" s="81"/>
      <c r="M104" s="81"/>
      <c r="N104" s="81"/>
      <c r="O104" s="81"/>
      <c r="P104" s="81">
        <v>0</v>
      </c>
      <c r="Q104" s="81"/>
      <c r="R104" s="81"/>
      <c r="S104" s="81"/>
      <c r="T104" s="81"/>
      <c r="U104" s="81"/>
      <c r="V104" s="81"/>
      <c r="W104" s="81">
        <f t="shared" si="4"/>
        <v>0</v>
      </c>
      <c r="X104" s="81">
        <v>180</v>
      </c>
      <c r="Y104" s="150">
        <f t="shared" si="5"/>
        <v>180</v>
      </c>
    </row>
    <row r="105" spans="1:25" ht="20.100000000000001" customHeight="1" x14ac:dyDescent="0.25">
      <c r="A105" s="90" t="s">
        <v>276</v>
      </c>
      <c r="B105" s="90" t="s">
        <v>277</v>
      </c>
      <c r="C105" s="90" t="s">
        <v>283</v>
      </c>
      <c r="D105" s="139" t="s">
        <v>141</v>
      </c>
      <c r="E105" s="81">
        <v>0</v>
      </c>
      <c r="F105" s="81">
        <v>0</v>
      </c>
      <c r="G105" s="81">
        <v>0</v>
      </c>
      <c r="H105" s="81">
        <v>0</v>
      </c>
      <c r="I105" s="81">
        <v>0</v>
      </c>
      <c r="J105" s="81">
        <v>0</v>
      </c>
      <c r="K105" s="81">
        <v>0</v>
      </c>
      <c r="L105" s="81"/>
      <c r="M105" s="81"/>
      <c r="N105" s="81"/>
      <c r="O105" s="81"/>
      <c r="P105" s="81">
        <v>0</v>
      </c>
      <c r="Q105" s="81"/>
      <c r="R105" s="81"/>
      <c r="S105" s="81"/>
      <c r="T105" s="81"/>
      <c r="U105" s="81"/>
      <c r="V105" s="81"/>
      <c r="W105" s="81">
        <f t="shared" si="4"/>
        <v>0</v>
      </c>
      <c r="X105" s="81">
        <v>14</v>
      </c>
      <c r="Y105" s="150">
        <f t="shared" si="5"/>
        <v>14</v>
      </c>
    </row>
    <row r="106" spans="1:25" ht="20.100000000000001" customHeight="1" x14ac:dyDescent="0.25">
      <c r="A106" s="90" t="s">
        <v>276</v>
      </c>
      <c r="B106" s="90" t="s">
        <v>277</v>
      </c>
      <c r="C106" s="90" t="s">
        <v>284</v>
      </c>
      <c r="D106" s="139" t="s">
        <v>141</v>
      </c>
      <c r="E106" s="81">
        <v>0</v>
      </c>
      <c r="F106" s="81">
        <v>0</v>
      </c>
      <c r="G106" s="81">
        <v>0</v>
      </c>
      <c r="H106" s="81">
        <v>0</v>
      </c>
      <c r="I106" s="81">
        <v>0</v>
      </c>
      <c r="J106" s="81">
        <v>0</v>
      </c>
      <c r="K106" s="81">
        <v>0</v>
      </c>
      <c r="L106" s="81"/>
      <c r="M106" s="81"/>
      <c r="N106" s="81"/>
      <c r="O106" s="81"/>
      <c r="P106" s="81">
        <v>0</v>
      </c>
      <c r="Q106" s="81"/>
      <c r="R106" s="81"/>
      <c r="S106" s="81"/>
      <c r="T106" s="81"/>
      <c r="U106" s="81"/>
      <c r="V106" s="81"/>
      <c r="W106" s="81">
        <f t="shared" si="4"/>
        <v>0</v>
      </c>
      <c r="X106" s="81">
        <v>6</v>
      </c>
      <c r="Y106" s="150">
        <f t="shared" si="5"/>
        <v>6</v>
      </c>
    </row>
    <row r="107" spans="1:25" ht="20.100000000000001" customHeight="1" x14ac:dyDescent="0.25">
      <c r="A107" s="90" t="s">
        <v>276</v>
      </c>
      <c r="B107" s="90" t="s">
        <v>277</v>
      </c>
      <c r="C107" s="90" t="s">
        <v>285</v>
      </c>
      <c r="D107" s="139" t="s">
        <v>141</v>
      </c>
      <c r="E107" s="81">
        <v>0</v>
      </c>
      <c r="F107" s="81">
        <v>0</v>
      </c>
      <c r="G107" s="81">
        <v>0</v>
      </c>
      <c r="H107" s="81">
        <v>0</v>
      </c>
      <c r="I107" s="81">
        <v>0</v>
      </c>
      <c r="J107" s="81">
        <v>0</v>
      </c>
      <c r="K107" s="81">
        <v>0</v>
      </c>
      <c r="L107" s="81"/>
      <c r="M107" s="81"/>
      <c r="N107" s="81"/>
      <c r="O107" s="81"/>
      <c r="P107" s="81">
        <v>0</v>
      </c>
      <c r="Q107" s="81"/>
      <c r="R107" s="81"/>
      <c r="S107" s="81"/>
      <c r="T107" s="81"/>
      <c r="U107" s="81"/>
      <c r="V107" s="81"/>
      <c r="W107" s="81">
        <f t="shared" si="4"/>
        <v>0</v>
      </c>
      <c r="X107" s="81">
        <v>6</v>
      </c>
      <c r="Y107" s="150">
        <f t="shared" si="5"/>
        <v>6</v>
      </c>
    </row>
    <row r="108" spans="1:25" ht="20.100000000000001" customHeight="1" x14ac:dyDescent="0.25">
      <c r="A108" s="90" t="s">
        <v>286</v>
      </c>
      <c r="B108" s="90" t="s">
        <v>277</v>
      </c>
      <c r="C108" s="90" t="s">
        <v>287</v>
      </c>
      <c r="D108" s="139" t="s">
        <v>141</v>
      </c>
      <c r="E108" s="81">
        <v>0</v>
      </c>
      <c r="F108" s="81">
        <v>0</v>
      </c>
      <c r="G108" s="81">
        <v>0</v>
      </c>
      <c r="H108" s="81">
        <v>0</v>
      </c>
      <c r="I108" s="81">
        <v>0</v>
      </c>
      <c r="J108" s="81">
        <v>0</v>
      </c>
      <c r="K108" s="81">
        <v>0</v>
      </c>
      <c r="L108" s="81"/>
      <c r="M108" s="81"/>
      <c r="N108" s="81"/>
      <c r="O108" s="81"/>
      <c r="P108" s="81">
        <v>0</v>
      </c>
      <c r="Q108" s="81"/>
      <c r="R108" s="81"/>
      <c r="S108" s="81"/>
      <c r="T108" s="81"/>
      <c r="U108" s="81"/>
      <c r="V108" s="81"/>
      <c r="W108" s="81">
        <f t="shared" si="4"/>
        <v>0</v>
      </c>
      <c r="X108" s="81">
        <v>8</v>
      </c>
      <c r="Y108" s="150">
        <f t="shared" si="5"/>
        <v>8</v>
      </c>
    </row>
    <row r="109" spans="1:25" ht="20.100000000000001" customHeight="1" x14ac:dyDescent="0.25">
      <c r="A109" s="90" t="s">
        <v>288</v>
      </c>
      <c r="B109" s="90" t="s">
        <v>277</v>
      </c>
      <c r="C109" s="90" t="s">
        <v>289</v>
      </c>
      <c r="D109" s="139" t="s">
        <v>141</v>
      </c>
      <c r="E109" s="81">
        <v>0</v>
      </c>
      <c r="F109" s="81">
        <v>0</v>
      </c>
      <c r="G109" s="81">
        <v>0</v>
      </c>
      <c r="H109" s="81">
        <v>0</v>
      </c>
      <c r="I109" s="81">
        <v>0</v>
      </c>
      <c r="J109" s="81">
        <v>0</v>
      </c>
      <c r="K109" s="81">
        <v>0</v>
      </c>
      <c r="L109" s="81"/>
      <c r="M109" s="81"/>
      <c r="N109" s="81"/>
      <c r="O109" s="81"/>
      <c r="P109" s="81">
        <v>0</v>
      </c>
      <c r="Q109" s="81"/>
      <c r="R109" s="81"/>
      <c r="S109" s="81"/>
      <c r="T109" s="81"/>
      <c r="U109" s="81"/>
      <c r="V109" s="81"/>
      <c r="W109" s="81">
        <f t="shared" si="4"/>
        <v>0</v>
      </c>
      <c r="X109" s="81">
        <v>136</v>
      </c>
      <c r="Y109" s="150">
        <f t="shared" si="5"/>
        <v>136</v>
      </c>
    </row>
    <row r="110" spans="1:25" ht="20.100000000000001" customHeight="1" x14ac:dyDescent="0.25">
      <c r="A110" s="90" t="s">
        <v>286</v>
      </c>
      <c r="B110" s="90" t="s">
        <v>277</v>
      </c>
      <c r="C110" s="90" t="s">
        <v>290</v>
      </c>
      <c r="D110" s="139" t="s">
        <v>141</v>
      </c>
      <c r="E110" s="81">
        <v>0</v>
      </c>
      <c r="F110" s="81">
        <v>0</v>
      </c>
      <c r="G110" s="81">
        <v>0</v>
      </c>
      <c r="H110" s="81">
        <v>0</v>
      </c>
      <c r="I110" s="81">
        <v>0</v>
      </c>
      <c r="J110" s="81">
        <v>0</v>
      </c>
      <c r="K110" s="81">
        <v>0</v>
      </c>
      <c r="L110" s="81"/>
      <c r="M110" s="81"/>
      <c r="N110" s="81"/>
      <c r="O110" s="81"/>
      <c r="P110" s="81">
        <v>0</v>
      </c>
      <c r="Q110" s="81"/>
      <c r="R110" s="81"/>
      <c r="S110" s="81"/>
      <c r="T110" s="81"/>
      <c r="U110" s="81"/>
      <c r="V110" s="81"/>
      <c r="W110" s="81">
        <f t="shared" si="4"/>
        <v>0</v>
      </c>
      <c r="X110" s="81">
        <v>136</v>
      </c>
      <c r="Y110" s="150">
        <f t="shared" si="5"/>
        <v>136</v>
      </c>
    </row>
    <row r="111" spans="1:25" ht="20.100000000000001" customHeight="1" x14ac:dyDescent="0.25">
      <c r="A111" s="90" t="s">
        <v>286</v>
      </c>
      <c r="B111" s="90" t="s">
        <v>277</v>
      </c>
      <c r="C111" s="90" t="s">
        <v>291</v>
      </c>
      <c r="D111" s="139" t="s">
        <v>141</v>
      </c>
      <c r="E111" s="81">
        <v>0</v>
      </c>
      <c r="F111" s="81">
        <v>0</v>
      </c>
      <c r="G111" s="81">
        <v>0</v>
      </c>
      <c r="H111" s="81">
        <v>0</v>
      </c>
      <c r="I111" s="81">
        <v>0</v>
      </c>
      <c r="J111" s="81">
        <v>0</v>
      </c>
      <c r="K111" s="81">
        <v>0</v>
      </c>
      <c r="L111" s="81"/>
      <c r="M111" s="81"/>
      <c r="N111" s="81"/>
      <c r="O111" s="81"/>
      <c r="P111" s="81">
        <v>0</v>
      </c>
      <c r="Q111" s="81"/>
      <c r="R111" s="81"/>
      <c r="S111" s="81"/>
      <c r="T111" s="81"/>
      <c r="U111" s="81"/>
      <c r="V111" s="81"/>
      <c r="W111" s="81">
        <f t="shared" si="4"/>
        <v>0</v>
      </c>
      <c r="X111" s="81">
        <v>4</v>
      </c>
      <c r="Y111" s="150">
        <f t="shared" si="5"/>
        <v>4</v>
      </c>
    </row>
    <row r="112" spans="1:25" ht="20.100000000000001" customHeight="1" x14ac:dyDescent="0.25">
      <c r="A112" s="90" t="s">
        <v>286</v>
      </c>
      <c r="B112" s="90" t="s">
        <v>277</v>
      </c>
      <c r="C112" s="90" t="s">
        <v>292</v>
      </c>
      <c r="D112" s="139" t="s">
        <v>141</v>
      </c>
      <c r="E112" s="81">
        <v>0</v>
      </c>
      <c r="F112" s="81">
        <v>0</v>
      </c>
      <c r="G112" s="81">
        <v>0</v>
      </c>
      <c r="H112" s="81">
        <v>0</v>
      </c>
      <c r="I112" s="81">
        <v>0</v>
      </c>
      <c r="J112" s="81">
        <v>0</v>
      </c>
      <c r="K112" s="81">
        <v>0</v>
      </c>
      <c r="L112" s="81"/>
      <c r="M112" s="81"/>
      <c r="N112" s="81"/>
      <c r="O112" s="81"/>
      <c r="P112" s="81">
        <v>0</v>
      </c>
      <c r="Q112" s="81"/>
      <c r="R112" s="81"/>
      <c r="S112" s="81"/>
      <c r="T112" s="81"/>
      <c r="U112" s="81"/>
      <c r="V112" s="81"/>
      <c r="W112" s="81">
        <f t="shared" si="4"/>
        <v>0</v>
      </c>
      <c r="X112" s="81">
        <v>8</v>
      </c>
      <c r="Y112" s="150">
        <f t="shared" si="5"/>
        <v>8</v>
      </c>
    </row>
    <row r="113" spans="1:25" ht="20.100000000000001" customHeight="1" x14ac:dyDescent="0.25">
      <c r="A113" s="90" t="s">
        <v>286</v>
      </c>
      <c r="B113" s="90" t="s">
        <v>277</v>
      </c>
      <c r="C113" s="90" t="s">
        <v>293</v>
      </c>
      <c r="D113" s="139" t="s">
        <v>141</v>
      </c>
      <c r="E113" s="81">
        <v>0</v>
      </c>
      <c r="F113" s="81">
        <v>0</v>
      </c>
      <c r="G113" s="81">
        <v>0</v>
      </c>
      <c r="H113" s="81">
        <v>0</v>
      </c>
      <c r="I113" s="81">
        <v>0</v>
      </c>
      <c r="J113" s="81">
        <v>0</v>
      </c>
      <c r="K113" s="81">
        <v>0</v>
      </c>
      <c r="L113" s="81"/>
      <c r="M113" s="81"/>
      <c r="N113" s="81"/>
      <c r="O113" s="81"/>
      <c r="P113" s="81">
        <v>0</v>
      </c>
      <c r="Q113" s="81"/>
      <c r="R113" s="81"/>
      <c r="S113" s="81"/>
      <c r="T113" s="81"/>
      <c r="U113" s="81"/>
      <c r="V113" s="81"/>
      <c r="W113" s="81">
        <f t="shared" si="4"/>
        <v>0</v>
      </c>
      <c r="X113" s="81">
        <v>4</v>
      </c>
      <c r="Y113" s="150">
        <f t="shared" si="5"/>
        <v>4</v>
      </c>
    </row>
    <row r="114" spans="1:25" ht="20.100000000000001" customHeight="1" x14ac:dyDescent="0.25">
      <c r="A114" s="90" t="s">
        <v>286</v>
      </c>
      <c r="B114" s="90" t="s">
        <v>277</v>
      </c>
      <c r="C114" s="90" t="s">
        <v>294</v>
      </c>
      <c r="D114" s="139" t="s">
        <v>141</v>
      </c>
      <c r="E114" s="81">
        <v>0</v>
      </c>
      <c r="F114" s="81">
        <v>0</v>
      </c>
      <c r="G114" s="81">
        <v>0</v>
      </c>
      <c r="H114" s="81">
        <v>0</v>
      </c>
      <c r="I114" s="81">
        <v>0</v>
      </c>
      <c r="J114" s="81">
        <v>0</v>
      </c>
      <c r="K114" s="81">
        <v>0</v>
      </c>
      <c r="L114" s="81"/>
      <c r="M114" s="81"/>
      <c r="N114" s="81"/>
      <c r="O114" s="81"/>
      <c r="P114" s="81">
        <v>0</v>
      </c>
      <c r="Q114" s="81"/>
      <c r="R114" s="81"/>
      <c r="S114" s="81"/>
      <c r="T114" s="81"/>
      <c r="U114" s="81"/>
      <c r="V114" s="81"/>
      <c r="W114" s="81">
        <f t="shared" si="4"/>
        <v>0</v>
      </c>
      <c r="X114" s="81">
        <v>4</v>
      </c>
      <c r="Y114" s="150">
        <f t="shared" si="5"/>
        <v>4</v>
      </c>
    </row>
    <row r="115" spans="1:25" ht="20.100000000000001" customHeight="1" x14ac:dyDescent="0.25">
      <c r="A115" s="90" t="s">
        <v>286</v>
      </c>
      <c r="B115" s="90" t="s">
        <v>277</v>
      </c>
      <c r="C115" s="90" t="s">
        <v>295</v>
      </c>
      <c r="D115" s="139" t="s">
        <v>141</v>
      </c>
      <c r="E115" s="81">
        <v>0</v>
      </c>
      <c r="F115" s="81">
        <v>0</v>
      </c>
      <c r="G115" s="81">
        <v>0</v>
      </c>
      <c r="H115" s="81">
        <v>0</v>
      </c>
      <c r="I115" s="81">
        <v>0</v>
      </c>
      <c r="J115" s="81">
        <v>0</v>
      </c>
      <c r="K115" s="81">
        <v>0</v>
      </c>
      <c r="L115" s="81"/>
      <c r="M115" s="81"/>
      <c r="N115" s="81"/>
      <c r="O115" s="81"/>
      <c r="P115" s="81">
        <v>0</v>
      </c>
      <c r="Q115" s="81"/>
      <c r="R115" s="81"/>
      <c r="S115" s="81"/>
      <c r="T115" s="81"/>
      <c r="U115" s="81"/>
      <c r="V115" s="81"/>
      <c r="W115" s="81">
        <f t="shared" si="4"/>
        <v>0</v>
      </c>
      <c r="X115" s="81">
        <v>8</v>
      </c>
      <c r="Y115" s="150">
        <f t="shared" si="5"/>
        <v>8</v>
      </c>
    </row>
    <row r="116" spans="1:25" ht="20.100000000000001" customHeight="1" x14ac:dyDescent="0.25">
      <c r="A116" s="90" t="s">
        <v>286</v>
      </c>
      <c r="B116" s="90" t="s">
        <v>277</v>
      </c>
      <c r="C116" s="90" t="s">
        <v>296</v>
      </c>
      <c r="D116" s="139" t="s">
        <v>141</v>
      </c>
      <c r="E116" s="81">
        <v>0</v>
      </c>
      <c r="F116" s="81">
        <v>0</v>
      </c>
      <c r="G116" s="81">
        <v>0</v>
      </c>
      <c r="H116" s="81">
        <v>0</v>
      </c>
      <c r="I116" s="81">
        <v>0</v>
      </c>
      <c r="J116" s="81">
        <v>0</v>
      </c>
      <c r="K116" s="81">
        <v>0</v>
      </c>
      <c r="L116" s="81"/>
      <c r="M116" s="81"/>
      <c r="N116" s="81"/>
      <c r="O116" s="81"/>
      <c r="P116" s="81">
        <v>0</v>
      </c>
      <c r="Q116" s="81"/>
      <c r="R116" s="81"/>
      <c r="S116" s="81"/>
      <c r="T116" s="81"/>
      <c r="U116" s="81"/>
      <c r="V116" s="81"/>
      <c r="W116" s="81">
        <f t="shared" si="4"/>
        <v>0</v>
      </c>
      <c r="X116" s="81">
        <v>4</v>
      </c>
      <c r="Y116" s="150">
        <f t="shared" si="5"/>
        <v>4</v>
      </c>
    </row>
    <row r="117" spans="1:25" ht="20.100000000000001" customHeight="1" x14ac:dyDescent="0.25">
      <c r="A117" s="90" t="s">
        <v>286</v>
      </c>
      <c r="B117" s="90" t="s">
        <v>277</v>
      </c>
      <c r="C117" s="90" t="s">
        <v>297</v>
      </c>
      <c r="D117" s="139" t="s">
        <v>141</v>
      </c>
      <c r="E117" s="81">
        <v>0</v>
      </c>
      <c r="F117" s="81">
        <v>0</v>
      </c>
      <c r="G117" s="81">
        <v>0</v>
      </c>
      <c r="H117" s="81">
        <v>0</v>
      </c>
      <c r="I117" s="81">
        <v>0</v>
      </c>
      <c r="J117" s="81">
        <v>0</v>
      </c>
      <c r="K117" s="81">
        <v>0</v>
      </c>
      <c r="L117" s="81"/>
      <c r="M117" s="81"/>
      <c r="N117" s="81"/>
      <c r="O117" s="81"/>
      <c r="P117" s="81">
        <v>0</v>
      </c>
      <c r="Q117" s="81"/>
      <c r="R117" s="81"/>
      <c r="S117" s="81"/>
      <c r="T117" s="81"/>
      <c r="U117" s="81"/>
      <c r="V117" s="81"/>
      <c r="W117" s="81">
        <f t="shared" si="4"/>
        <v>0</v>
      </c>
      <c r="X117" s="81">
        <v>8</v>
      </c>
      <c r="Y117" s="150">
        <f t="shared" si="5"/>
        <v>8</v>
      </c>
    </row>
    <row r="118" spans="1:25" ht="20.100000000000001" customHeight="1" x14ac:dyDescent="0.25">
      <c r="A118" s="90" t="s">
        <v>298</v>
      </c>
      <c r="B118" s="90" t="s">
        <v>299</v>
      </c>
      <c r="C118" s="90" t="s">
        <v>300</v>
      </c>
      <c r="D118" s="139" t="s">
        <v>141</v>
      </c>
      <c r="E118" s="81">
        <v>0</v>
      </c>
      <c r="F118" s="81">
        <v>0</v>
      </c>
      <c r="G118" s="81">
        <v>0</v>
      </c>
      <c r="H118" s="81">
        <v>0</v>
      </c>
      <c r="I118" s="81">
        <v>0</v>
      </c>
      <c r="J118" s="81">
        <v>0</v>
      </c>
      <c r="K118" s="81">
        <v>0</v>
      </c>
      <c r="L118" s="81"/>
      <c r="M118" s="81"/>
      <c r="N118" s="81"/>
      <c r="O118" s="81"/>
      <c r="P118" s="81">
        <v>0</v>
      </c>
      <c r="Q118" s="81"/>
      <c r="R118" s="81"/>
      <c r="S118" s="81"/>
      <c r="T118" s="81"/>
      <c r="U118" s="81"/>
      <c r="V118" s="81"/>
      <c r="W118" s="81">
        <f t="shared" si="4"/>
        <v>0</v>
      </c>
      <c r="X118" s="81">
        <v>153</v>
      </c>
      <c r="Y118" s="150">
        <f t="shared" si="5"/>
        <v>153</v>
      </c>
    </row>
    <row r="119" spans="1:25" ht="20.100000000000001" customHeight="1" x14ac:dyDescent="0.25">
      <c r="A119" s="90" t="s">
        <v>298</v>
      </c>
      <c r="B119" s="90" t="s">
        <v>299</v>
      </c>
      <c r="C119" s="90" t="s">
        <v>301</v>
      </c>
      <c r="D119" s="139" t="s">
        <v>141</v>
      </c>
      <c r="E119" s="81">
        <v>0</v>
      </c>
      <c r="F119" s="81">
        <v>0</v>
      </c>
      <c r="G119" s="81">
        <v>0</v>
      </c>
      <c r="H119" s="81">
        <v>0</v>
      </c>
      <c r="I119" s="81">
        <v>0</v>
      </c>
      <c r="J119" s="81">
        <v>0</v>
      </c>
      <c r="K119" s="81">
        <v>0</v>
      </c>
      <c r="L119" s="81"/>
      <c r="M119" s="81"/>
      <c r="N119" s="81"/>
      <c r="O119" s="81"/>
      <c r="P119" s="81">
        <v>0</v>
      </c>
      <c r="Q119" s="81"/>
      <c r="R119" s="81"/>
      <c r="S119" s="81"/>
      <c r="T119" s="81"/>
      <c r="U119" s="81"/>
      <c r="V119" s="81"/>
      <c r="W119" s="81">
        <f t="shared" si="4"/>
        <v>0</v>
      </c>
      <c r="X119" s="81">
        <v>152</v>
      </c>
      <c r="Y119" s="150">
        <f t="shared" si="5"/>
        <v>152</v>
      </c>
    </row>
    <row r="120" spans="1:25" ht="20.100000000000001" customHeight="1" x14ac:dyDescent="0.25">
      <c r="A120" s="90" t="s">
        <v>298</v>
      </c>
      <c r="B120" s="90" t="s">
        <v>299</v>
      </c>
      <c r="C120" s="90" t="s">
        <v>302</v>
      </c>
      <c r="D120" s="139" t="s">
        <v>141</v>
      </c>
      <c r="E120" s="81">
        <v>0</v>
      </c>
      <c r="F120" s="81">
        <v>0</v>
      </c>
      <c r="G120" s="81">
        <v>0</v>
      </c>
      <c r="H120" s="81">
        <v>0</v>
      </c>
      <c r="I120" s="81">
        <v>0</v>
      </c>
      <c r="J120" s="81">
        <v>0</v>
      </c>
      <c r="K120" s="81">
        <v>0</v>
      </c>
      <c r="L120" s="81"/>
      <c r="M120" s="81"/>
      <c r="N120" s="81"/>
      <c r="O120" s="81"/>
      <c r="P120" s="81">
        <v>0</v>
      </c>
      <c r="Q120" s="81"/>
      <c r="R120" s="81"/>
      <c r="S120" s="81"/>
      <c r="T120" s="81"/>
      <c r="U120" s="81"/>
      <c r="V120" s="81"/>
      <c r="W120" s="81">
        <f t="shared" si="4"/>
        <v>0</v>
      </c>
      <c r="X120" s="81">
        <v>9</v>
      </c>
      <c r="Y120" s="150">
        <f t="shared" si="5"/>
        <v>9</v>
      </c>
    </row>
    <row r="121" spans="1:25" ht="20.100000000000001" customHeight="1" x14ac:dyDescent="0.25">
      <c r="A121" s="90" t="s">
        <v>298</v>
      </c>
      <c r="B121" s="90" t="s">
        <v>299</v>
      </c>
      <c r="C121" s="90" t="s">
        <v>303</v>
      </c>
      <c r="D121" s="139" t="s">
        <v>141</v>
      </c>
      <c r="E121" s="81">
        <v>0</v>
      </c>
      <c r="F121" s="81">
        <v>0</v>
      </c>
      <c r="G121" s="81">
        <v>0</v>
      </c>
      <c r="H121" s="81">
        <v>0</v>
      </c>
      <c r="I121" s="81">
        <v>0</v>
      </c>
      <c r="J121" s="81">
        <v>0</v>
      </c>
      <c r="K121" s="81">
        <v>0</v>
      </c>
      <c r="L121" s="81"/>
      <c r="M121" s="81"/>
      <c r="N121" s="81"/>
      <c r="O121" s="81"/>
      <c r="P121" s="81">
        <v>0</v>
      </c>
      <c r="Q121" s="81"/>
      <c r="R121" s="81"/>
      <c r="S121" s="81"/>
      <c r="T121" s="81"/>
      <c r="U121" s="81"/>
      <c r="V121" s="81"/>
      <c r="W121" s="81">
        <f t="shared" si="4"/>
        <v>0</v>
      </c>
      <c r="X121" s="81">
        <v>14</v>
      </c>
      <c r="Y121" s="150">
        <f t="shared" si="5"/>
        <v>14</v>
      </c>
    </row>
    <row r="122" spans="1:25" ht="20.100000000000001" customHeight="1" x14ac:dyDescent="0.25">
      <c r="A122" s="90" t="s">
        <v>298</v>
      </c>
      <c r="B122" s="90" t="s">
        <v>299</v>
      </c>
      <c r="C122" s="90" t="s">
        <v>304</v>
      </c>
      <c r="D122" s="139" t="s">
        <v>141</v>
      </c>
      <c r="E122" s="81">
        <v>0</v>
      </c>
      <c r="F122" s="81">
        <v>0</v>
      </c>
      <c r="G122" s="81">
        <v>0</v>
      </c>
      <c r="H122" s="81">
        <v>0</v>
      </c>
      <c r="I122" s="81">
        <v>0</v>
      </c>
      <c r="J122" s="81">
        <v>0</v>
      </c>
      <c r="K122" s="81">
        <v>0</v>
      </c>
      <c r="L122" s="81"/>
      <c r="M122" s="81"/>
      <c r="N122" s="81"/>
      <c r="O122" s="81"/>
      <c r="P122" s="81">
        <v>0</v>
      </c>
      <c r="Q122" s="81"/>
      <c r="R122" s="81"/>
      <c r="S122" s="81"/>
      <c r="T122" s="81"/>
      <c r="U122" s="81"/>
      <c r="V122" s="81"/>
      <c r="W122" s="81">
        <f t="shared" si="4"/>
        <v>0</v>
      </c>
      <c r="X122" s="81">
        <v>3</v>
      </c>
      <c r="Y122" s="150">
        <f t="shared" si="5"/>
        <v>3</v>
      </c>
    </row>
    <row r="123" spans="1:25" ht="20.100000000000001" customHeight="1" x14ac:dyDescent="0.25">
      <c r="A123" s="90" t="s">
        <v>298</v>
      </c>
      <c r="B123" s="90" t="s">
        <v>299</v>
      </c>
      <c r="C123" s="90" t="s">
        <v>305</v>
      </c>
      <c r="D123" s="139" t="s">
        <v>141</v>
      </c>
      <c r="E123" s="81">
        <v>0</v>
      </c>
      <c r="F123" s="81">
        <v>0</v>
      </c>
      <c r="G123" s="81">
        <v>0</v>
      </c>
      <c r="H123" s="81">
        <v>0</v>
      </c>
      <c r="I123" s="81">
        <v>0</v>
      </c>
      <c r="J123" s="81">
        <v>0</v>
      </c>
      <c r="K123" s="81">
        <v>0</v>
      </c>
      <c r="L123" s="81"/>
      <c r="M123" s="81"/>
      <c r="N123" s="81"/>
      <c r="O123" s="81"/>
      <c r="P123" s="81">
        <v>0</v>
      </c>
      <c r="Q123" s="81"/>
      <c r="R123" s="81"/>
      <c r="S123" s="81"/>
      <c r="T123" s="81"/>
      <c r="U123" s="81"/>
      <c r="V123" s="81"/>
      <c r="W123" s="81">
        <f t="shared" si="4"/>
        <v>0</v>
      </c>
      <c r="X123" s="81">
        <v>2</v>
      </c>
      <c r="Y123" s="150">
        <f t="shared" si="5"/>
        <v>2</v>
      </c>
    </row>
    <row r="124" spans="1:25" ht="20.100000000000001" customHeight="1" x14ac:dyDescent="0.25">
      <c r="A124" s="90" t="s">
        <v>298</v>
      </c>
      <c r="B124" s="90" t="s">
        <v>299</v>
      </c>
      <c r="C124" s="90" t="s">
        <v>306</v>
      </c>
      <c r="D124" s="139" t="s">
        <v>141</v>
      </c>
      <c r="E124" s="81">
        <v>0</v>
      </c>
      <c r="F124" s="81">
        <v>0</v>
      </c>
      <c r="G124" s="81">
        <v>0</v>
      </c>
      <c r="H124" s="81">
        <v>0</v>
      </c>
      <c r="I124" s="81">
        <v>0</v>
      </c>
      <c r="J124" s="81">
        <v>0</v>
      </c>
      <c r="K124" s="81">
        <v>0</v>
      </c>
      <c r="L124" s="81"/>
      <c r="M124" s="81"/>
      <c r="N124" s="81"/>
      <c r="O124" s="81"/>
      <c r="P124" s="81">
        <v>0</v>
      </c>
      <c r="Q124" s="81"/>
      <c r="R124" s="81"/>
      <c r="S124" s="81"/>
      <c r="T124" s="81"/>
      <c r="U124" s="81"/>
      <c r="V124" s="81"/>
      <c r="W124" s="81">
        <f t="shared" si="4"/>
        <v>0</v>
      </c>
      <c r="X124" s="81">
        <v>1</v>
      </c>
      <c r="Y124" s="150">
        <f t="shared" si="5"/>
        <v>1</v>
      </c>
    </row>
    <row r="125" spans="1:25" ht="20.100000000000001" customHeight="1" x14ac:dyDescent="0.25">
      <c r="A125" s="90" t="s">
        <v>298</v>
      </c>
      <c r="B125" s="90" t="s">
        <v>299</v>
      </c>
      <c r="C125" s="90" t="s">
        <v>307</v>
      </c>
      <c r="D125" s="139" t="s">
        <v>141</v>
      </c>
      <c r="E125" s="81">
        <v>0</v>
      </c>
      <c r="F125" s="81">
        <v>0</v>
      </c>
      <c r="G125" s="81">
        <v>0</v>
      </c>
      <c r="H125" s="81">
        <v>0</v>
      </c>
      <c r="I125" s="81">
        <v>0</v>
      </c>
      <c r="J125" s="81">
        <v>0</v>
      </c>
      <c r="K125" s="81">
        <v>0</v>
      </c>
      <c r="L125" s="81"/>
      <c r="M125" s="81"/>
      <c r="N125" s="81"/>
      <c r="O125" s="81"/>
      <c r="P125" s="81">
        <v>0</v>
      </c>
      <c r="Q125" s="81"/>
      <c r="R125" s="81"/>
      <c r="S125" s="81"/>
      <c r="T125" s="81"/>
      <c r="U125" s="81"/>
      <c r="V125" s="81"/>
      <c r="W125" s="81">
        <f t="shared" si="4"/>
        <v>0</v>
      </c>
      <c r="X125" s="81">
        <v>1</v>
      </c>
      <c r="Y125" s="150">
        <f t="shared" si="5"/>
        <v>1</v>
      </c>
    </row>
    <row r="126" spans="1:25" ht="20.100000000000001" customHeight="1" x14ac:dyDescent="0.25">
      <c r="A126" s="90" t="s">
        <v>308</v>
      </c>
      <c r="B126" s="90" t="s">
        <v>309</v>
      </c>
      <c r="C126" s="90" t="s">
        <v>310</v>
      </c>
      <c r="D126" s="139" t="s">
        <v>141</v>
      </c>
      <c r="E126" s="81">
        <v>0</v>
      </c>
      <c r="F126" s="81">
        <v>0</v>
      </c>
      <c r="G126" s="81">
        <v>0</v>
      </c>
      <c r="H126" s="81">
        <v>0</v>
      </c>
      <c r="I126" s="81">
        <v>0</v>
      </c>
      <c r="J126" s="81">
        <v>0</v>
      </c>
      <c r="K126" s="81">
        <v>0</v>
      </c>
      <c r="L126" s="81"/>
      <c r="M126" s="81"/>
      <c r="N126" s="81"/>
      <c r="O126" s="81"/>
      <c r="P126" s="81">
        <v>0</v>
      </c>
      <c r="Q126" s="81"/>
      <c r="R126" s="81"/>
      <c r="S126" s="81"/>
      <c r="T126" s="81"/>
      <c r="U126" s="81"/>
      <c r="V126" s="81"/>
      <c r="W126" s="81">
        <f t="shared" si="4"/>
        <v>0</v>
      </c>
      <c r="X126" s="81">
        <v>127</v>
      </c>
      <c r="Y126" s="150">
        <f t="shared" si="5"/>
        <v>127</v>
      </c>
    </row>
    <row r="127" spans="1:25" ht="20.100000000000001" customHeight="1" x14ac:dyDescent="0.25">
      <c r="A127" s="90" t="s">
        <v>308</v>
      </c>
      <c r="B127" s="90" t="s">
        <v>309</v>
      </c>
      <c r="C127" s="90" t="s">
        <v>311</v>
      </c>
      <c r="D127" s="139" t="s">
        <v>141</v>
      </c>
      <c r="E127" s="81">
        <v>0</v>
      </c>
      <c r="F127" s="81">
        <v>0</v>
      </c>
      <c r="G127" s="81">
        <v>0</v>
      </c>
      <c r="H127" s="81">
        <v>0</v>
      </c>
      <c r="I127" s="81">
        <v>0</v>
      </c>
      <c r="J127" s="81">
        <v>0</v>
      </c>
      <c r="K127" s="81">
        <v>0</v>
      </c>
      <c r="L127" s="81"/>
      <c r="M127" s="81"/>
      <c r="N127" s="81"/>
      <c r="O127" s="81"/>
      <c r="P127" s="81">
        <v>0</v>
      </c>
      <c r="Q127" s="81"/>
      <c r="R127" s="81"/>
      <c r="S127" s="81"/>
      <c r="T127" s="81"/>
      <c r="U127" s="81"/>
      <c r="V127" s="81"/>
      <c r="W127" s="81">
        <f t="shared" si="4"/>
        <v>0</v>
      </c>
      <c r="X127" s="81">
        <v>4</v>
      </c>
      <c r="Y127" s="150">
        <f t="shared" si="5"/>
        <v>4</v>
      </c>
    </row>
    <row r="128" spans="1:25" ht="20.100000000000001" customHeight="1" x14ac:dyDescent="0.25">
      <c r="A128" s="90" t="s">
        <v>187</v>
      </c>
      <c r="B128" s="90" t="s">
        <v>139</v>
      </c>
      <c r="C128" s="90" t="s">
        <v>312</v>
      </c>
      <c r="D128" s="139" t="s">
        <v>141</v>
      </c>
      <c r="E128" s="81">
        <v>0</v>
      </c>
      <c r="F128" s="81">
        <v>0</v>
      </c>
      <c r="G128" s="81">
        <v>0</v>
      </c>
      <c r="H128" s="81">
        <v>0</v>
      </c>
      <c r="I128" s="81">
        <v>0</v>
      </c>
      <c r="J128" s="81">
        <v>0</v>
      </c>
      <c r="K128" s="81">
        <v>0</v>
      </c>
      <c r="L128" s="81"/>
      <c r="M128" s="81"/>
      <c r="N128" s="81"/>
      <c r="O128" s="81"/>
      <c r="P128" s="81">
        <v>0</v>
      </c>
      <c r="Q128" s="81"/>
      <c r="R128" s="81"/>
      <c r="S128" s="81"/>
      <c r="T128" s="81"/>
      <c r="U128" s="81"/>
      <c r="V128" s="81"/>
      <c r="W128" s="81">
        <f t="shared" si="4"/>
        <v>0</v>
      </c>
      <c r="X128" s="81">
        <v>370</v>
      </c>
      <c r="Y128" s="150">
        <f t="shared" si="5"/>
        <v>370</v>
      </c>
    </row>
    <row r="129" spans="1:25" ht="20.100000000000001" customHeight="1" x14ac:dyDescent="0.25">
      <c r="A129" s="90" t="s">
        <v>187</v>
      </c>
      <c r="B129" s="90" t="s">
        <v>139</v>
      </c>
      <c r="C129" s="90" t="s">
        <v>313</v>
      </c>
      <c r="D129" s="139" t="s">
        <v>141</v>
      </c>
      <c r="E129" s="81">
        <v>0</v>
      </c>
      <c r="F129" s="81">
        <v>0</v>
      </c>
      <c r="G129" s="81">
        <v>0</v>
      </c>
      <c r="H129" s="81">
        <v>0</v>
      </c>
      <c r="I129" s="81">
        <v>0</v>
      </c>
      <c r="J129" s="81">
        <v>0</v>
      </c>
      <c r="K129" s="81">
        <v>0</v>
      </c>
      <c r="L129" s="81"/>
      <c r="M129" s="81"/>
      <c r="N129" s="81"/>
      <c r="O129" s="81"/>
      <c r="P129" s="81">
        <v>0</v>
      </c>
      <c r="Q129" s="81"/>
      <c r="R129" s="81"/>
      <c r="S129" s="81"/>
      <c r="T129" s="81"/>
      <c r="U129" s="81"/>
      <c r="V129" s="81"/>
      <c r="W129" s="81">
        <f t="shared" si="4"/>
        <v>0</v>
      </c>
      <c r="X129" s="81">
        <v>48</v>
      </c>
      <c r="Y129" s="150">
        <f t="shared" si="5"/>
        <v>48</v>
      </c>
    </row>
    <row r="130" spans="1:25" ht="20.100000000000001" customHeight="1" x14ac:dyDescent="0.25">
      <c r="A130" s="90" t="s">
        <v>265</v>
      </c>
      <c r="B130" s="90" t="s">
        <v>314</v>
      </c>
      <c r="C130" s="90" t="s">
        <v>315</v>
      </c>
      <c r="D130" s="139" t="s">
        <v>141</v>
      </c>
      <c r="E130" s="81">
        <v>0</v>
      </c>
      <c r="F130" s="81">
        <v>0</v>
      </c>
      <c r="G130" s="81">
        <v>0</v>
      </c>
      <c r="H130" s="81">
        <v>0</v>
      </c>
      <c r="I130" s="81">
        <v>0</v>
      </c>
      <c r="J130" s="81">
        <v>0</v>
      </c>
      <c r="K130" s="81">
        <v>0</v>
      </c>
      <c r="L130" s="81"/>
      <c r="M130" s="81"/>
      <c r="N130" s="81"/>
      <c r="O130" s="81"/>
      <c r="P130" s="81">
        <v>0</v>
      </c>
      <c r="Q130" s="81"/>
      <c r="R130" s="81"/>
      <c r="S130" s="81"/>
      <c r="T130" s="81"/>
      <c r="U130" s="81"/>
      <c r="V130" s="81"/>
      <c r="W130" s="81">
        <f t="shared" si="4"/>
        <v>0</v>
      </c>
      <c r="X130" s="81">
        <v>66</v>
      </c>
      <c r="Y130" s="150">
        <f t="shared" si="5"/>
        <v>66</v>
      </c>
    </row>
    <row r="131" spans="1:25" ht="20.100000000000001" customHeight="1" x14ac:dyDescent="0.25">
      <c r="A131" s="90" t="s">
        <v>265</v>
      </c>
      <c r="B131" s="90" t="s">
        <v>314</v>
      </c>
      <c r="C131" s="90" t="s">
        <v>316</v>
      </c>
      <c r="D131" s="139" t="s">
        <v>141</v>
      </c>
      <c r="E131" s="81">
        <v>0</v>
      </c>
      <c r="F131" s="81">
        <v>0</v>
      </c>
      <c r="G131" s="81">
        <v>0</v>
      </c>
      <c r="H131" s="81">
        <v>0</v>
      </c>
      <c r="I131" s="81">
        <v>0</v>
      </c>
      <c r="J131" s="81">
        <v>0</v>
      </c>
      <c r="K131" s="81">
        <v>0</v>
      </c>
      <c r="L131" s="81"/>
      <c r="M131" s="81"/>
      <c r="N131" s="81"/>
      <c r="O131" s="81"/>
      <c r="P131" s="81">
        <v>0</v>
      </c>
      <c r="Q131" s="81"/>
      <c r="R131" s="81"/>
      <c r="S131" s="81"/>
      <c r="T131" s="81"/>
      <c r="U131" s="81"/>
      <c r="V131" s="81"/>
      <c r="W131" s="81">
        <f t="shared" si="4"/>
        <v>0</v>
      </c>
      <c r="X131" s="81">
        <v>68</v>
      </c>
      <c r="Y131" s="150">
        <f t="shared" si="5"/>
        <v>68</v>
      </c>
    </row>
    <row r="132" spans="1:25" ht="20.100000000000001" customHeight="1" x14ac:dyDescent="0.25">
      <c r="A132" s="90" t="s">
        <v>265</v>
      </c>
      <c r="B132" s="90" t="s">
        <v>314</v>
      </c>
      <c r="C132" s="90" t="s">
        <v>317</v>
      </c>
      <c r="D132" s="139" t="s">
        <v>141</v>
      </c>
      <c r="E132" s="81">
        <v>0</v>
      </c>
      <c r="F132" s="81">
        <v>0</v>
      </c>
      <c r="G132" s="81">
        <v>0</v>
      </c>
      <c r="H132" s="81">
        <v>0</v>
      </c>
      <c r="I132" s="81">
        <v>0</v>
      </c>
      <c r="J132" s="81">
        <v>0</v>
      </c>
      <c r="K132" s="81">
        <v>0</v>
      </c>
      <c r="L132" s="81"/>
      <c r="M132" s="81"/>
      <c r="N132" s="81"/>
      <c r="O132" s="81"/>
      <c r="P132" s="81">
        <v>0</v>
      </c>
      <c r="Q132" s="81"/>
      <c r="R132" s="81"/>
      <c r="S132" s="81"/>
      <c r="T132" s="81"/>
      <c r="U132" s="81"/>
      <c r="V132" s="81"/>
      <c r="W132" s="81">
        <f t="shared" si="4"/>
        <v>0</v>
      </c>
      <c r="X132" s="81">
        <v>66</v>
      </c>
      <c r="Y132" s="150">
        <f t="shared" ref="Y132:Y162" si="6">MAX(0,X132-W132)</f>
        <v>66</v>
      </c>
    </row>
    <row r="133" spans="1:25" ht="20.100000000000001" customHeight="1" x14ac:dyDescent="0.25">
      <c r="A133" s="90" t="s">
        <v>265</v>
      </c>
      <c r="B133" s="90" t="s">
        <v>314</v>
      </c>
      <c r="C133" s="90" t="s">
        <v>318</v>
      </c>
      <c r="D133" s="139" t="s">
        <v>141</v>
      </c>
      <c r="E133" s="81">
        <v>0</v>
      </c>
      <c r="F133" s="81">
        <v>0</v>
      </c>
      <c r="G133" s="81">
        <v>0</v>
      </c>
      <c r="H133" s="81">
        <v>0</v>
      </c>
      <c r="I133" s="81">
        <v>0</v>
      </c>
      <c r="J133" s="81">
        <v>0</v>
      </c>
      <c r="K133" s="81">
        <v>0</v>
      </c>
      <c r="L133" s="81"/>
      <c r="M133" s="81"/>
      <c r="N133" s="81"/>
      <c r="O133" s="81"/>
      <c r="P133" s="81">
        <v>0</v>
      </c>
      <c r="Q133" s="81"/>
      <c r="R133" s="81"/>
      <c r="S133" s="81"/>
      <c r="T133" s="81"/>
      <c r="U133" s="81"/>
      <c r="V133" s="81"/>
      <c r="W133" s="81">
        <f t="shared" ref="W133:W162" si="7">SUM(E133:V133)</f>
        <v>0</v>
      </c>
      <c r="X133" s="81">
        <v>68</v>
      </c>
      <c r="Y133" s="150">
        <f t="shared" si="6"/>
        <v>68</v>
      </c>
    </row>
    <row r="134" spans="1:25" ht="20.100000000000001" customHeight="1" x14ac:dyDescent="0.25">
      <c r="A134" s="90" t="s">
        <v>319</v>
      </c>
      <c r="B134" s="90" t="s">
        <v>273</v>
      </c>
      <c r="C134" s="90" t="s">
        <v>320</v>
      </c>
      <c r="D134" s="139" t="s">
        <v>141</v>
      </c>
      <c r="E134" s="81">
        <v>0</v>
      </c>
      <c r="F134" s="81">
        <v>0</v>
      </c>
      <c r="G134" s="81">
        <v>0</v>
      </c>
      <c r="H134" s="81">
        <v>0</v>
      </c>
      <c r="I134" s="81">
        <v>0</v>
      </c>
      <c r="J134" s="81">
        <v>0</v>
      </c>
      <c r="K134" s="81">
        <v>0</v>
      </c>
      <c r="L134" s="81"/>
      <c r="M134" s="81"/>
      <c r="N134" s="81"/>
      <c r="O134" s="81"/>
      <c r="P134" s="81">
        <v>0</v>
      </c>
      <c r="Q134" s="81"/>
      <c r="R134" s="81"/>
      <c r="S134" s="81"/>
      <c r="T134" s="81"/>
      <c r="U134" s="81"/>
      <c r="V134" s="81"/>
      <c r="W134" s="81">
        <f t="shared" si="7"/>
        <v>0</v>
      </c>
      <c r="X134" s="81">
        <v>216</v>
      </c>
      <c r="Y134" s="150">
        <f t="shared" si="6"/>
        <v>216</v>
      </c>
    </row>
    <row r="135" spans="1:25" ht="20.100000000000001" customHeight="1" x14ac:dyDescent="0.25">
      <c r="A135" s="90" t="s">
        <v>214</v>
      </c>
      <c r="B135" s="90" t="s">
        <v>215</v>
      </c>
      <c r="C135" s="90" t="s">
        <v>321</v>
      </c>
      <c r="D135" s="139" t="s">
        <v>141</v>
      </c>
      <c r="E135" s="81">
        <v>0</v>
      </c>
      <c r="F135" s="81">
        <v>0</v>
      </c>
      <c r="G135" s="81">
        <v>0</v>
      </c>
      <c r="H135" s="81">
        <v>0</v>
      </c>
      <c r="I135" s="81">
        <v>0</v>
      </c>
      <c r="J135" s="81">
        <v>0</v>
      </c>
      <c r="K135" s="81">
        <v>0</v>
      </c>
      <c r="L135" s="81"/>
      <c r="M135" s="81"/>
      <c r="N135" s="81">
        <v>198</v>
      </c>
      <c r="O135" s="81"/>
      <c r="P135" s="81">
        <v>0</v>
      </c>
      <c r="Q135" s="81"/>
      <c r="R135" s="81"/>
      <c r="S135" s="81"/>
      <c r="T135" s="81"/>
      <c r="U135" s="81"/>
      <c r="V135" s="81"/>
      <c r="W135" s="81">
        <f t="shared" si="7"/>
        <v>198</v>
      </c>
      <c r="X135" s="81">
        <v>80</v>
      </c>
      <c r="Y135" s="150">
        <f t="shared" si="6"/>
        <v>0</v>
      </c>
    </row>
    <row r="136" spans="1:25" ht="20.100000000000001" customHeight="1" x14ac:dyDescent="0.25">
      <c r="A136" s="90" t="s">
        <v>322</v>
      </c>
      <c r="B136" s="90" t="s">
        <v>323</v>
      </c>
      <c r="C136" s="90" t="s">
        <v>324</v>
      </c>
      <c r="D136" s="139" t="s">
        <v>141</v>
      </c>
      <c r="E136" s="81">
        <v>0</v>
      </c>
      <c r="F136" s="81">
        <v>0</v>
      </c>
      <c r="G136" s="81">
        <v>0</v>
      </c>
      <c r="H136" s="81">
        <v>0</v>
      </c>
      <c r="I136" s="81">
        <v>0</v>
      </c>
      <c r="J136" s="81">
        <v>0</v>
      </c>
      <c r="K136" s="81">
        <v>0</v>
      </c>
      <c r="L136" s="81"/>
      <c r="M136" s="81"/>
      <c r="N136" s="81"/>
      <c r="O136" s="81"/>
      <c r="P136" s="81">
        <v>0</v>
      </c>
      <c r="Q136" s="81"/>
      <c r="R136" s="81"/>
      <c r="S136" s="81"/>
      <c r="T136" s="81"/>
      <c r="U136" s="81"/>
      <c r="V136" s="81"/>
      <c r="W136" s="81">
        <f t="shared" si="7"/>
        <v>0</v>
      </c>
      <c r="X136" s="81">
        <v>3</v>
      </c>
      <c r="Y136" s="150">
        <f t="shared" si="6"/>
        <v>3</v>
      </c>
    </row>
    <row r="137" spans="1:25" ht="20.100000000000001" customHeight="1" x14ac:dyDescent="0.25">
      <c r="A137" s="90" t="s">
        <v>322</v>
      </c>
      <c r="B137" s="90" t="s">
        <v>323</v>
      </c>
      <c r="C137" s="90" t="s">
        <v>325</v>
      </c>
      <c r="D137" s="139" t="s">
        <v>141</v>
      </c>
      <c r="E137" s="81">
        <v>0</v>
      </c>
      <c r="F137" s="81">
        <v>0</v>
      </c>
      <c r="G137" s="81">
        <v>0</v>
      </c>
      <c r="H137" s="81">
        <v>0</v>
      </c>
      <c r="I137" s="81">
        <v>0</v>
      </c>
      <c r="J137" s="81">
        <v>0</v>
      </c>
      <c r="K137" s="81">
        <v>0</v>
      </c>
      <c r="L137" s="81"/>
      <c r="M137" s="81"/>
      <c r="N137" s="81"/>
      <c r="O137" s="81"/>
      <c r="P137" s="81">
        <v>0</v>
      </c>
      <c r="Q137" s="81"/>
      <c r="R137" s="81"/>
      <c r="S137" s="81"/>
      <c r="T137" s="81"/>
      <c r="U137" s="81"/>
      <c r="V137" s="81"/>
      <c r="W137" s="81">
        <f t="shared" si="7"/>
        <v>0</v>
      </c>
      <c r="X137" s="81">
        <v>78</v>
      </c>
      <c r="Y137" s="150">
        <f t="shared" si="6"/>
        <v>78</v>
      </c>
    </row>
    <row r="138" spans="1:25" ht="20.100000000000001" customHeight="1" x14ac:dyDescent="0.25">
      <c r="A138" s="90" t="s">
        <v>326</v>
      </c>
      <c r="B138" s="90" t="s">
        <v>323</v>
      </c>
      <c r="C138" s="90" t="s">
        <v>327</v>
      </c>
      <c r="D138" s="139" t="s">
        <v>141</v>
      </c>
      <c r="E138" s="81">
        <v>0</v>
      </c>
      <c r="F138" s="81">
        <v>0</v>
      </c>
      <c r="G138" s="81">
        <v>0</v>
      </c>
      <c r="H138" s="81">
        <v>0</v>
      </c>
      <c r="I138" s="81">
        <v>0</v>
      </c>
      <c r="J138" s="81">
        <v>0</v>
      </c>
      <c r="K138" s="81">
        <v>0</v>
      </c>
      <c r="L138" s="81"/>
      <c r="M138" s="81"/>
      <c r="N138" s="81"/>
      <c r="O138" s="81"/>
      <c r="P138" s="81">
        <v>0</v>
      </c>
      <c r="Q138" s="81"/>
      <c r="R138" s="81"/>
      <c r="S138" s="81"/>
      <c r="T138" s="81"/>
      <c r="U138" s="81"/>
      <c r="V138" s="81"/>
      <c r="W138" s="81">
        <f t="shared" si="7"/>
        <v>0</v>
      </c>
      <c r="X138" s="81">
        <v>63</v>
      </c>
      <c r="Y138" s="150">
        <f t="shared" si="6"/>
        <v>63</v>
      </c>
    </row>
    <row r="139" spans="1:25" ht="20.100000000000001" customHeight="1" x14ac:dyDescent="0.25">
      <c r="A139" s="90" t="s">
        <v>322</v>
      </c>
      <c r="B139" s="90" t="s">
        <v>323</v>
      </c>
      <c r="C139" s="90" t="s">
        <v>328</v>
      </c>
      <c r="D139" s="139" t="s">
        <v>141</v>
      </c>
      <c r="E139" s="81">
        <v>0</v>
      </c>
      <c r="F139" s="81">
        <v>0</v>
      </c>
      <c r="G139" s="81">
        <v>0</v>
      </c>
      <c r="H139" s="81">
        <v>0</v>
      </c>
      <c r="I139" s="81">
        <v>0</v>
      </c>
      <c r="J139" s="81">
        <v>0</v>
      </c>
      <c r="K139" s="81">
        <v>0</v>
      </c>
      <c r="L139" s="81"/>
      <c r="M139" s="81"/>
      <c r="N139" s="81"/>
      <c r="O139" s="81"/>
      <c r="P139" s="81">
        <v>0</v>
      </c>
      <c r="Q139" s="81"/>
      <c r="R139" s="81"/>
      <c r="S139" s="81"/>
      <c r="T139" s="81"/>
      <c r="U139" s="81"/>
      <c r="V139" s="81"/>
      <c r="W139" s="81">
        <f t="shared" si="7"/>
        <v>0</v>
      </c>
      <c r="X139" s="81">
        <v>6</v>
      </c>
      <c r="Y139" s="150">
        <f t="shared" si="6"/>
        <v>6</v>
      </c>
    </row>
    <row r="140" spans="1:25" ht="20.100000000000001" customHeight="1" x14ac:dyDescent="0.25">
      <c r="A140" s="90" t="s">
        <v>326</v>
      </c>
      <c r="B140" s="90" t="s">
        <v>323</v>
      </c>
      <c r="C140" s="90" t="s">
        <v>329</v>
      </c>
      <c r="D140" s="139" t="s">
        <v>141</v>
      </c>
      <c r="E140" s="81">
        <v>0</v>
      </c>
      <c r="F140" s="81">
        <v>0</v>
      </c>
      <c r="G140" s="81">
        <v>0</v>
      </c>
      <c r="H140" s="81">
        <v>0</v>
      </c>
      <c r="I140" s="81">
        <v>0</v>
      </c>
      <c r="J140" s="81">
        <v>0</v>
      </c>
      <c r="K140" s="81">
        <v>0</v>
      </c>
      <c r="L140" s="81"/>
      <c r="M140" s="81"/>
      <c r="N140" s="81"/>
      <c r="O140" s="81"/>
      <c r="P140" s="81">
        <v>0</v>
      </c>
      <c r="Q140" s="81"/>
      <c r="R140" s="81"/>
      <c r="S140" s="81"/>
      <c r="T140" s="81"/>
      <c r="U140" s="81"/>
      <c r="V140" s="81"/>
      <c r="W140" s="81">
        <f t="shared" si="7"/>
        <v>0</v>
      </c>
      <c r="X140" s="81">
        <v>9</v>
      </c>
      <c r="Y140" s="150">
        <f t="shared" si="6"/>
        <v>9</v>
      </c>
    </row>
    <row r="141" spans="1:25" ht="20.100000000000001" customHeight="1" x14ac:dyDescent="0.25">
      <c r="A141" s="90" t="s">
        <v>322</v>
      </c>
      <c r="B141" s="90" t="s">
        <v>323</v>
      </c>
      <c r="C141" s="90" t="s">
        <v>330</v>
      </c>
      <c r="D141" s="139" t="s">
        <v>141</v>
      </c>
      <c r="E141" s="81">
        <v>0</v>
      </c>
      <c r="F141" s="81">
        <v>0</v>
      </c>
      <c r="G141" s="81">
        <v>0</v>
      </c>
      <c r="H141" s="81">
        <v>0</v>
      </c>
      <c r="I141" s="81">
        <v>0</v>
      </c>
      <c r="J141" s="81">
        <v>0</v>
      </c>
      <c r="K141" s="81">
        <v>0</v>
      </c>
      <c r="L141" s="81"/>
      <c r="M141" s="81"/>
      <c r="N141" s="81"/>
      <c r="O141" s="81"/>
      <c r="P141" s="81">
        <v>0</v>
      </c>
      <c r="Q141" s="81"/>
      <c r="R141" s="81"/>
      <c r="S141" s="81"/>
      <c r="T141" s="81"/>
      <c r="U141" s="81"/>
      <c r="V141" s="81"/>
      <c r="W141" s="81">
        <f t="shared" si="7"/>
        <v>0</v>
      </c>
      <c r="X141" s="81">
        <v>12</v>
      </c>
      <c r="Y141" s="150">
        <f t="shared" si="6"/>
        <v>12</v>
      </c>
    </row>
    <row r="142" spans="1:25" ht="20.100000000000001" customHeight="1" x14ac:dyDescent="0.25">
      <c r="A142" s="90" t="s">
        <v>326</v>
      </c>
      <c r="B142" s="90" t="s">
        <v>323</v>
      </c>
      <c r="C142" s="90" t="s">
        <v>331</v>
      </c>
      <c r="D142" s="139" t="s">
        <v>141</v>
      </c>
      <c r="E142" s="81">
        <v>0</v>
      </c>
      <c r="F142" s="81">
        <v>0</v>
      </c>
      <c r="G142" s="81">
        <v>0</v>
      </c>
      <c r="H142" s="81">
        <v>0</v>
      </c>
      <c r="I142" s="81">
        <v>0</v>
      </c>
      <c r="J142" s="81">
        <v>0</v>
      </c>
      <c r="K142" s="81">
        <v>0</v>
      </c>
      <c r="L142" s="81"/>
      <c r="M142" s="81"/>
      <c r="N142" s="81"/>
      <c r="O142" s="81"/>
      <c r="P142" s="81">
        <v>0</v>
      </c>
      <c r="Q142" s="81"/>
      <c r="R142" s="81"/>
      <c r="S142" s="81"/>
      <c r="T142" s="81"/>
      <c r="U142" s="81"/>
      <c r="V142" s="81"/>
      <c r="W142" s="81">
        <f t="shared" si="7"/>
        <v>0</v>
      </c>
      <c r="X142" s="81">
        <v>12</v>
      </c>
      <c r="Y142" s="150">
        <f t="shared" si="6"/>
        <v>12</v>
      </c>
    </row>
    <row r="143" spans="1:25" ht="20.100000000000001" customHeight="1" x14ac:dyDescent="0.25">
      <c r="A143" s="90" t="s">
        <v>326</v>
      </c>
      <c r="B143" s="90" t="s">
        <v>323</v>
      </c>
      <c r="C143" s="90" t="s">
        <v>332</v>
      </c>
      <c r="D143" s="139" t="s">
        <v>141</v>
      </c>
      <c r="E143" s="81">
        <v>0</v>
      </c>
      <c r="F143" s="81">
        <v>0</v>
      </c>
      <c r="G143" s="81">
        <v>0</v>
      </c>
      <c r="H143" s="81">
        <v>0</v>
      </c>
      <c r="I143" s="81">
        <v>0</v>
      </c>
      <c r="J143" s="81">
        <v>0</v>
      </c>
      <c r="K143" s="81">
        <v>0</v>
      </c>
      <c r="L143" s="81"/>
      <c r="M143" s="81"/>
      <c r="N143" s="81"/>
      <c r="O143" s="81"/>
      <c r="P143" s="81">
        <v>0</v>
      </c>
      <c r="Q143" s="81"/>
      <c r="R143" s="81"/>
      <c r="S143" s="81"/>
      <c r="T143" s="81"/>
      <c r="U143" s="81"/>
      <c r="V143" s="81"/>
      <c r="W143" s="81">
        <f t="shared" si="7"/>
        <v>0</v>
      </c>
      <c r="X143" s="81">
        <v>3</v>
      </c>
      <c r="Y143" s="150">
        <f t="shared" si="6"/>
        <v>3</v>
      </c>
    </row>
    <row r="144" spans="1:25" ht="20.100000000000001" customHeight="1" x14ac:dyDescent="0.25">
      <c r="A144" s="90" t="s">
        <v>322</v>
      </c>
      <c r="B144" s="90" t="s">
        <v>323</v>
      </c>
      <c r="C144" s="90" t="s">
        <v>333</v>
      </c>
      <c r="D144" s="139" t="s">
        <v>141</v>
      </c>
      <c r="E144" s="81">
        <v>0</v>
      </c>
      <c r="F144" s="81">
        <v>0</v>
      </c>
      <c r="G144" s="81">
        <v>0</v>
      </c>
      <c r="H144" s="81">
        <v>0</v>
      </c>
      <c r="I144" s="81">
        <v>0</v>
      </c>
      <c r="J144" s="81">
        <v>0</v>
      </c>
      <c r="K144" s="81">
        <v>0</v>
      </c>
      <c r="L144" s="81"/>
      <c r="M144" s="81"/>
      <c r="N144" s="81"/>
      <c r="O144" s="81"/>
      <c r="P144" s="81">
        <v>0</v>
      </c>
      <c r="Q144" s="81"/>
      <c r="R144" s="81"/>
      <c r="S144" s="81"/>
      <c r="T144" s="81"/>
      <c r="U144" s="81"/>
      <c r="V144" s="81"/>
      <c r="W144" s="81">
        <f t="shared" si="7"/>
        <v>0</v>
      </c>
      <c r="X144" s="81">
        <v>3</v>
      </c>
      <c r="Y144" s="150">
        <f t="shared" si="6"/>
        <v>3</v>
      </c>
    </row>
    <row r="145" spans="1:25" ht="20.100000000000001" customHeight="1" x14ac:dyDescent="0.25">
      <c r="A145" s="90" t="s">
        <v>322</v>
      </c>
      <c r="B145" s="90" t="s">
        <v>323</v>
      </c>
      <c r="C145" s="90" t="s">
        <v>334</v>
      </c>
      <c r="D145" s="139" t="s">
        <v>141</v>
      </c>
      <c r="E145" s="81">
        <v>0</v>
      </c>
      <c r="F145" s="81">
        <v>0</v>
      </c>
      <c r="G145" s="81">
        <v>0</v>
      </c>
      <c r="H145" s="81">
        <v>0</v>
      </c>
      <c r="I145" s="81">
        <v>0</v>
      </c>
      <c r="J145" s="81">
        <v>0</v>
      </c>
      <c r="K145" s="81">
        <v>0</v>
      </c>
      <c r="L145" s="81"/>
      <c r="M145" s="81"/>
      <c r="N145" s="81"/>
      <c r="O145" s="81"/>
      <c r="P145" s="81">
        <v>0</v>
      </c>
      <c r="Q145" s="81"/>
      <c r="R145" s="81"/>
      <c r="S145" s="81"/>
      <c r="T145" s="81"/>
      <c r="U145" s="81"/>
      <c r="V145" s="81"/>
      <c r="W145" s="81">
        <f t="shared" si="7"/>
        <v>0</v>
      </c>
      <c r="X145" s="81">
        <v>3</v>
      </c>
      <c r="Y145" s="150">
        <f t="shared" si="6"/>
        <v>3</v>
      </c>
    </row>
    <row r="146" spans="1:25" ht="20.100000000000001" customHeight="1" x14ac:dyDescent="0.25">
      <c r="A146" s="90" t="s">
        <v>326</v>
      </c>
      <c r="B146" s="90" t="s">
        <v>323</v>
      </c>
      <c r="C146" s="90" t="s">
        <v>335</v>
      </c>
      <c r="D146" s="139" t="s">
        <v>141</v>
      </c>
      <c r="E146" s="81">
        <v>0</v>
      </c>
      <c r="F146" s="81">
        <v>0</v>
      </c>
      <c r="G146" s="81">
        <v>0</v>
      </c>
      <c r="H146" s="81">
        <v>0</v>
      </c>
      <c r="I146" s="81">
        <v>0</v>
      </c>
      <c r="J146" s="81">
        <v>0</v>
      </c>
      <c r="K146" s="81">
        <v>0</v>
      </c>
      <c r="L146" s="81"/>
      <c r="M146" s="81"/>
      <c r="N146" s="81"/>
      <c r="O146" s="81"/>
      <c r="P146" s="81">
        <v>0</v>
      </c>
      <c r="Q146" s="81"/>
      <c r="R146" s="81"/>
      <c r="S146" s="81"/>
      <c r="T146" s="81"/>
      <c r="U146" s="81"/>
      <c r="V146" s="81"/>
      <c r="W146" s="81">
        <f t="shared" si="7"/>
        <v>0</v>
      </c>
      <c r="X146" s="81">
        <v>3</v>
      </c>
      <c r="Y146" s="150">
        <f t="shared" si="6"/>
        <v>3</v>
      </c>
    </row>
    <row r="147" spans="1:25" ht="20.100000000000001" customHeight="1" x14ac:dyDescent="0.25">
      <c r="A147" s="90" t="s">
        <v>322</v>
      </c>
      <c r="B147" s="90" t="s">
        <v>323</v>
      </c>
      <c r="C147" s="90" t="s">
        <v>336</v>
      </c>
      <c r="D147" s="139" t="s">
        <v>141</v>
      </c>
      <c r="E147" s="81">
        <v>0</v>
      </c>
      <c r="F147" s="81">
        <v>0</v>
      </c>
      <c r="G147" s="81">
        <v>0</v>
      </c>
      <c r="H147" s="81">
        <v>0</v>
      </c>
      <c r="I147" s="81">
        <v>0</v>
      </c>
      <c r="J147" s="81">
        <v>0</v>
      </c>
      <c r="K147" s="81">
        <v>0</v>
      </c>
      <c r="L147" s="81"/>
      <c r="M147" s="81"/>
      <c r="N147" s="81"/>
      <c r="O147" s="81"/>
      <c r="P147" s="81">
        <v>0</v>
      </c>
      <c r="Q147" s="81"/>
      <c r="R147" s="81"/>
      <c r="S147" s="81"/>
      <c r="T147" s="81"/>
      <c r="U147" s="81"/>
      <c r="V147" s="81"/>
      <c r="W147" s="81">
        <f t="shared" si="7"/>
        <v>0</v>
      </c>
      <c r="X147" s="81">
        <v>3</v>
      </c>
      <c r="Y147" s="150">
        <f t="shared" si="6"/>
        <v>3</v>
      </c>
    </row>
    <row r="148" spans="1:25" ht="20.100000000000001" customHeight="1" x14ac:dyDescent="0.25">
      <c r="A148" s="90" t="s">
        <v>326</v>
      </c>
      <c r="B148" s="90" t="s">
        <v>323</v>
      </c>
      <c r="C148" s="90" t="s">
        <v>337</v>
      </c>
      <c r="D148" s="139" t="s">
        <v>141</v>
      </c>
      <c r="E148" s="81">
        <v>0</v>
      </c>
      <c r="F148" s="81">
        <v>0</v>
      </c>
      <c r="G148" s="81">
        <v>0</v>
      </c>
      <c r="H148" s="81">
        <v>0</v>
      </c>
      <c r="I148" s="81">
        <v>0</v>
      </c>
      <c r="J148" s="81">
        <v>0</v>
      </c>
      <c r="K148" s="81">
        <v>0</v>
      </c>
      <c r="L148" s="81"/>
      <c r="M148" s="81"/>
      <c r="N148" s="81"/>
      <c r="O148" s="81"/>
      <c r="P148" s="81">
        <v>0</v>
      </c>
      <c r="Q148" s="81"/>
      <c r="R148" s="81"/>
      <c r="S148" s="81"/>
      <c r="T148" s="81"/>
      <c r="U148" s="81"/>
      <c r="V148" s="81"/>
      <c r="W148" s="81">
        <f t="shared" si="7"/>
        <v>0</v>
      </c>
      <c r="X148" s="81">
        <v>3</v>
      </c>
      <c r="Y148" s="150">
        <f t="shared" si="6"/>
        <v>3</v>
      </c>
    </row>
    <row r="149" spans="1:25" ht="20.100000000000001" customHeight="1" x14ac:dyDescent="0.25">
      <c r="A149" s="90" t="s">
        <v>322</v>
      </c>
      <c r="B149" s="90" t="s">
        <v>323</v>
      </c>
      <c r="C149" s="90" t="s">
        <v>338</v>
      </c>
      <c r="D149" s="139" t="s">
        <v>141</v>
      </c>
      <c r="E149" s="81">
        <v>0</v>
      </c>
      <c r="F149" s="81">
        <v>0</v>
      </c>
      <c r="G149" s="81">
        <v>0</v>
      </c>
      <c r="H149" s="81">
        <v>0</v>
      </c>
      <c r="I149" s="81">
        <v>0</v>
      </c>
      <c r="J149" s="81">
        <v>0</v>
      </c>
      <c r="K149" s="81">
        <v>0</v>
      </c>
      <c r="L149" s="81"/>
      <c r="M149" s="81"/>
      <c r="N149" s="81"/>
      <c r="O149" s="81"/>
      <c r="P149" s="81">
        <v>0</v>
      </c>
      <c r="Q149" s="81"/>
      <c r="R149" s="81"/>
      <c r="S149" s="81"/>
      <c r="T149" s="81"/>
      <c r="U149" s="81"/>
      <c r="V149" s="81"/>
      <c r="W149" s="81">
        <f t="shared" si="7"/>
        <v>0</v>
      </c>
      <c r="X149" s="81">
        <v>3</v>
      </c>
      <c r="Y149" s="150">
        <f t="shared" si="6"/>
        <v>3</v>
      </c>
    </row>
    <row r="150" spans="1:25" ht="20.100000000000001" customHeight="1" x14ac:dyDescent="0.25">
      <c r="A150" s="90" t="s">
        <v>322</v>
      </c>
      <c r="B150" s="90" t="s">
        <v>323</v>
      </c>
      <c r="C150" s="90" t="s">
        <v>339</v>
      </c>
      <c r="D150" s="139" t="s">
        <v>141</v>
      </c>
      <c r="E150" s="81">
        <v>0</v>
      </c>
      <c r="F150" s="81">
        <v>0</v>
      </c>
      <c r="G150" s="81">
        <v>0</v>
      </c>
      <c r="H150" s="81">
        <v>0</v>
      </c>
      <c r="I150" s="81">
        <v>0</v>
      </c>
      <c r="J150" s="81">
        <v>0</v>
      </c>
      <c r="K150" s="81">
        <v>0</v>
      </c>
      <c r="L150" s="81"/>
      <c r="M150" s="81"/>
      <c r="N150" s="81"/>
      <c r="O150" s="81"/>
      <c r="P150" s="81">
        <v>0</v>
      </c>
      <c r="Q150" s="81"/>
      <c r="R150" s="81"/>
      <c r="S150" s="81"/>
      <c r="T150" s="81"/>
      <c r="U150" s="81"/>
      <c r="V150" s="81"/>
      <c r="W150" s="81">
        <f t="shared" si="7"/>
        <v>0</v>
      </c>
      <c r="X150" s="81">
        <v>3</v>
      </c>
      <c r="Y150" s="150">
        <f t="shared" si="6"/>
        <v>3</v>
      </c>
    </row>
    <row r="151" spans="1:25" ht="20.100000000000001" customHeight="1" x14ac:dyDescent="0.25">
      <c r="A151" s="90" t="s">
        <v>322</v>
      </c>
      <c r="B151" s="90" t="s">
        <v>323</v>
      </c>
      <c r="C151" s="90" t="s">
        <v>340</v>
      </c>
      <c r="D151" s="139" t="s">
        <v>141</v>
      </c>
      <c r="E151" s="81">
        <v>0</v>
      </c>
      <c r="F151" s="81">
        <v>0</v>
      </c>
      <c r="G151" s="81">
        <v>0</v>
      </c>
      <c r="H151" s="81">
        <v>0</v>
      </c>
      <c r="I151" s="81">
        <v>0</v>
      </c>
      <c r="J151" s="81">
        <v>0</v>
      </c>
      <c r="K151" s="81">
        <v>0</v>
      </c>
      <c r="L151" s="81"/>
      <c r="M151" s="81"/>
      <c r="N151" s="81"/>
      <c r="O151" s="81"/>
      <c r="P151" s="81">
        <v>0</v>
      </c>
      <c r="Q151" s="81"/>
      <c r="R151" s="81"/>
      <c r="S151" s="81"/>
      <c r="T151" s="81"/>
      <c r="U151" s="81"/>
      <c r="V151" s="81"/>
      <c r="W151" s="81">
        <f t="shared" si="7"/>
        <v>0</v>
      </c>
      <c r="X151" s="81">
        <v>3</v>
      </c>
      <c r="Y151" s="150">
        <f t="shared" si="6"/>
        <v>3</v>
      </c>
    </row>
    <row r="152" spans="1:25" ht="20.100000000000001" customHeight="1" x14ac:dyDescent="0.25">
      <c r="A152" s="90" t="s">
        <v>326</v>
      </c>
      <c r="B152" s="90" t="s">
        <v>323</v>
      </c>
      <c r="C152" s="90" t="s">
        <v>341</v>
      </c>
      <c r="D152" s="139" t="s">
        <v>141</v>
      </c>
      <c r="E152" s="81">
        <v>0</v>
      </c>
      <c r="F152" s="81">
        <v>0</v>
      </c>
      <c r="G152" s="81">
        <v>0</v>
      </c>
      <c r="H152" s="81">
        <v>0</v>
      </c>
      <c r="I152" s="81">
        <v>0</v>
      </c>
      <c r="J152" s="81">
        <v>0</v>
      </c>
      <c r="K152" s="81">
        <v>0</v>
      </c>
      <c r="L152" s="81"/>
      <c r="M152" s="81"/>
      <c r="N152" s="81"/>
      <c r="O152" s="81"/>
      <c r="P152" s="81">
        <v>0</v>
      </c>
      <c r="Q152" s="81"/>
      <c r="R152" s="81"/>
      <c r="S152" s="81"/>
      <c r="T152" s="81"/>
      <c r="U152" s="81"/>
      <c r="V152" s="81"/>
      <c r="W152" s="81">
        <f t="shared" si="7"/>
        <v>0</v>
      </c>
      <c r="X152" s="81">
        <v>3</v>
      </c>
      <c r="Y152" s="150">
        <f t="shared" si="6"/>
        <v>3</v>
      </c>
    </row>
    <row r="153" spans="1:25" ht="20.100000000000001" customHeight="1" x14ac:dyDescent="0.25">
      <c r="A153" s="90" t="s">
        <v>322</v>
      </c>
      <c r="B153" s="90" t="s">
        <v>323</v>
      </c>
      <c r="C153" s="90" t="s">
        <v>342</v>
      </c>
      <c r="D153" s="139" t="s">
        <v>141</v>
      </c>
      <c r="E153" s="81">
        <v>0</v>
      </c>
      <c r="F153" s="81">
        <v>0</v>
      </c>
      <c r="G153" s="81">
        <v>0</v>
      </c>
      <c r="H153" s="81">
        <v>0</v>
      </c>
      <c r="I153" s="81">
        <v>0</v>
      </c>
      <c r="J153" s="81">
        <v>0</v>
      </c>
      <c r="K153" s="81">
        <v>0</v>
      </c>
      <c r="L153" s="81"/>
      <c r="M153" s="81"/>
      <c r="N153" s="81"/>
      <c r="O153" s="81"/>
      <c r="P153" s="81">
        <v>0</v>
      </c>
      <c r="Q153" s="81"/>
      <c r="R153" s="81"/>
      <c r="S153" s="81"/>
      <c r="T153" s="81"/>
      <c r="U153" s="81"/>
      <c r="V153" s="81"/>
      <c r="W153" s="81">
        <f t="shared" si="7"/>
        <v>0</v>
      </c>
      <c r="X153" s="81">
        <v>3</v>
      </c>
      <c r="Y153" s="150">
        <f t="shared" si="6"/>
        <v>3</v>
      </c>
    </row>
    <row r="154" spans="1:25" ht="20.100000000000001" customHeight="1" x14ac:dyDescent="0.25">
      <c r="A154" s="90" t="s">
        <v>326</v>
      </c>
      <c r="B154" s="90" t="s">
        <v>323</v>
      </c>
      <c r="C154" s="90" t="s">
        <v>343</v>
      </c>
      <c r="D154" s="139" t="s">
        <v>141</v>
      </c>
      <c r="E154" s="81">
        <v>0</v>
      </c>
      <c r="F154" s="81">
        <v>0</v>
      </c>
      <c r="G154" s="81">
        <v>0</v>
      </c>
      <c r="H154" s="81">
        <v>0</v>
      </c>
      <c r="I154" s="81">
        <v>0</v>
      </c>
      <c r="J154" s="81">
        <v>0</v>
      </c>
      <c r="K154" s="81">
        <v>0</v>
      </c>
      <c r="L154" s="81"/>
      <c r="M154" s="81"/>
      <c r="N154" s="81"/>
      <c r="O154" s="81"/>
      <c r="P154" s="81">
        <v>0</v>
      </c>
      <c r="Q154" s="81"/>
      <c r="R154" s="81"/>
      <c r="S154" s="81"/>
      <c r="T154" s="81"/>
      <c r="U154" s="81"/>
      <c r="V154" s="81"/>
      <c r="W154" s="81">
        <f t="shared" si="7"/>
        <v>0</v>
      </c>
      <c r="X154" s="81">
        <v>3</v>
      </c>
      <c r="Y154" s="150">
        <f t="shared" si="6"/>
        <v>3</v>
      </c>
    </row>
    <row r="155" spans="1:25" ht="20.100000000000001" customHeight="1" x14ac:dyDescent="0.25">
      <c r="A155" s="90" t="s">
        <v>322</v>
      </c>
      <c r="B155" s="90" t="s">
        <v>323</v>
      </c>
      <c r="C155" s="90" t="s">
        <v>344</v>
      </c>
      <c r="D155" s="139" t="s">
        <v>141</v>
      </c>
      <c r="E155" s="81">
        <v>0</v>
      </c>
      <c r="F155" s="81">
        <v>0</v>
      </c>
      <c r="G155" s="81">
        <v>0</v>
      </c>
      <c r="H155" s="81">
        <v>0</v>
      </c>
      <c r="I155" s="81">
        <v>0</v>
      </c>
      <c r="J155" s="81">
        <v>0</v>
      </c>
      <c r="K155" s="81">
        <v>0</v>
      </c>
      <c r="L155" s="81"/>
      <c r="M155" s="81"/>
      <c r="N155" s="81"/>
      <c r="O155" s="81"/>
      <c r="P155" s="81">
        <v>0</v>
      </c>
      <c r="Q155" s="81"/>
      <c r="R155" s="81"/>
      <c r="S155" s="81"/>
      <c r="T155" s="81"/>
      <c r="U155" s="81"/>
      <c r="V155" s="81"/>
      <c r="W155" s="81">
        <f t="shared" si="7"/>
        <v>0</v>
      </c>
      <c r="X155" s="81">
        <v>3</v>
      </c>
      <c r="Y155" s="150">
        <f t="shared" si="6"/>
        <v>3</v>
      </c>
    </row>
    <row r="156" spans="1:25" ht="20.100000000000001" customHeight="1" x14ac:dyDescent="0.25">
      <c r="A156" s="90" t="s">
        <v>345</v>
      </c>
      <c r="B156" s="90" t="s">
        <v>346</v>
      </c>
      <c r="C156" s="90" t="s">
        <v>347</v>
      </c>
      <c r="D156" s="139" t="s">
        <v>141</v>
      </c>
      <c r="E156" s="81">
        <v>0</v>
      </c>
      <c r="F156" s="81">
        <v>0</v>
      </c>
      <c r="G156" s="81">
        <v>0</v>
      </c>
      <c r="H156" s="81">
        <v>0</v>
      </c>
      <c r="I156" s="81">
        <v>0</v>
      </c>
      <c r="J156" s="81">
        <v>0</v>
      </c>
      <c r="K156" s="81">
        <v>0</v>
      </c>
      <c r="L156" s="81"/>
      <c r="M156" s="81"/>
      <c r="N156" s="81"/>
      <c r="O156" s="81"/>
      <c r="P156" s="81">
        <v>0</v>
      </c>
      <c r="Q156" s="81"/>
      <c r="R156" s="81"/>
      <c r="S156" s="81"/>
      <c r="T156" s="81"/>
      <c r="U156" s="81"/>
      <c r="V156" s="81"/>
      <c r="W156" s="81">
        <f t="shared" si="7"/>
        <v>0</v>
      </c>
      <c r="X156" s="81">
        <v>73</v>
      </c>
      <c r="Y156" s="150">
        <f t="shared" si="6"/>
        <v>73</v>
      </c>
    </row>
    <row r="157" spans="1:25" ht="20.100000000000001" customHeight="1" x14ac:dyDescent="0.25">
      <c r="A157" s="90" t="s">
        <v>348</v>
      </c>
      <c r="B157" s="90" t="s">
        <v>349</v>
      </c>
      <c r="C157" s="90" t="s">
        <v>350</v>
      </c>
      <c r="D157" s="139" t="s">
        <v>141</v>
      </c>
      <c r="E157" s="81">
        <v>0</v>
      </c>
      <c r="F157" s="81">
        <v>0</v>
      </c>
      <c r="G157" s="81">
        <v>0</v>
      </c>
      <c r="H157" s="81">
        <v>0</v>
      </c>
      <c r="I157" s="81">
        <v>0</v>
      </c>
      <c r="J157" s="81">
        <v>0</v>
      </c>
      <c r="K157" s="81">
        <v>0</v>
      </c>
      <c r="L157" s="81"/>
      <c r="M157" s="81"/>
      <c r="N157" s="81"/>
      <c r="O157" s="81"/>
      <c r="P157" s="81">
        <v>0</v>
      </c>
      <c r="Q157" s="81"/>
      <c r="R157" s="81"/>
      <c r="S157" s="81"/>
      <c r="T157" s="81"/>
      <c r="U157" s="81"/>
      <c r="V157" s="81"/>
      <c r="W157" s="81">
        <f t="shared" si="7"/>
        <v>0</v>
      </c>
      <c r="X157" s="81">
        <v>180</v>
      </c>
      <c r="Y157" s="150">
        <f t="shared" si="6"/>
        <v>180</v>
      </c>
    </row>
    <row r="158" spans="1:25" ht="20.100000000000001" customHeight="1" x14ac:dyDescent="0.25">
      <c r="A158" s="90" t="s">
        <v>348</v>
      </c>
      <c r="B158" s="90" t="s">
        <v>351</v>
      </c>
      <c r="C158" s="90" t="s">
        <v>352</v>
      </c>
      <c r="D158" s="139" t="s">
        <v>141</v>
      </c>
      <c r="E158" s="81">
        <v>0</v>
      </c>
      <c r="F158" s="81">
        <v>0</v>
      </c>
      <c r="G158" s="81">
        <v>0</v>
      </c>
      <c r="H158" s="81">
        <v>0</v>
      </c>
      <c r="I158" s="81">
        <v>0</v>
      </c>
      <c r="J158" s="81">
        <v>0</v>
      </c>
      <c r="K158" s="81">
        <v>0</v>
      </c>
      <c r="L158" s="81"/>
      <c r="M158" s="81"/>
      <c r="N158" s="81"/>
      <c r="O158" s="81"/>
      <c r="P158" s="81">
        <v>0</v>
      </c>
      <c r="Q158" s="81"/>
      <c r="R158" s="81"/>
      <c r="S158" s="81"/>
      <c r="T158" s="81"/>
      <c r="U158" s="81"/>
      <c r="V158" s="81"/>
      <c r="W158" s="81">
        <f t="shared" si="7"/>
        <v>0</v>
      </c>
      <c r="X158" s="81">
        <v>120</v>
      </c>
      <c r="Y158" s="150">
        <f t="shared" si="6"/>
        <v>120</v>
      </c>
    </row>
    <row r="159" spans="1:25" ht="20.100000000000001" customHeight="1" x14ac:dyDescent="0.25">
      <c r="A159" s="90" t="s">
        <v>353</v>
      </c>
      <c r="B159" s="90" t="s">
        <v>354</v>
      </c>
      <c r="C159" s="90" t="s">
        <v>355</v>
      </c>
      <c r="D159" s="139" t="s">
        <v>141</v>
      </c>
      <c r="E159" s="81">
        <v>0</v>
      </c>
      <c r="F159" s="81">
        <v>0</v>
      </c>
      <c r="G159" s="81">
        <v>0</v>
      </c>
      <c r="H159" s="81">
        <v>0</v>
      </c>
      <c r="I159" s="81">
        <v>0</v>
      </c>
      <c r="J159" s="81">
        <v>0</v>
      </c>
      <c r="K159" s="81">
        <v>0</v>
      </c>
      <c r="L159" s="81"/>
      <c r="M159" s="81"/>
      <c r="N159" s="81"/>
      <c r="O159" s="81"/>
      <c r="P159" s="81">
        <v>0</v>
      </c>
      <c r="Q159" s="81"/>
      <c r="R159" s="81"/>
      <c r="S159" s="81"/>
      <c r="T159" s="81"/>
      <c r="U159" s="81"/>
      <c r="V159" s="81"/>
      <c r="W159" s="81">
        <f t="shared" si="7"/>
        <v>0</v>
      </c>
      <c r="X159" s="81">
        <v>840</v>
      </c>
      <c r="Y159" s="150">
        <f t="shared" si="6"/>
        <v>840</v>
      </c>
    </row>
    <row r="160" spans="1:25" ht="20.100000000000001" customHeight="1" x14ac:dyDescent="0.25">
      <c r="A160" s="90" t="s">
        <v>356</v>
      </c>
      <c r="B160" s="90" t="s">
        <v>354</v>
      </c>
      <c r="C160" s="90" t="s">
        <v>357</v>
      </c>
      <c r="D160" s="139" t="s">
        <v>141</v>
      </c>
      <c r="E160" s="81">
        <v>0</v>
      </c>
      <c r="F160" s="81">
        <v>0</v>
      </c>
      <c r="G160" s="81">
        <v>0</v>
      </c>
      <c r="H160" s="81">
        <v>0</v>
      </c>
      <c r="I160" s="81">
        <v>0</v>
      </c>
      <c r="J160" s="81">
        <v>0</v>
      </c>
      <c r="K160" s="81">
        <v>0</v>
      </c>
      <c r="L160" s="81"/>
      <c r="M160" s="81"/>
      <c r="N160" s="81"/>
      <c r="O160" s="81"/>
      <c r="P160" s="81">
        <v>0</v>
      </c>
      <c r="Q160" s="81"/>
      <c r="R160" s="81"/>
      <c r="S160" s="81"/>
      <c r="T160" s="81"/>
      <c r="U160" s="81"/>
      <c r="V160" s="81"/>
      <c r="W160" s="81">
        <f t="shared" si="7"/>
        <v>0</v>
      </c>
      <c r="X160" s="81">
        <v>840</v>
      </c>
      <c r="Y160" s="150">
        <f t="shared" si="6"/>
        <v>840</v>
      </c>
    </row>
    <row r="161" spans="1:25" ht="20.100000000000001" customHeight="1" x14ac:dyDescent="0.25">
      <c r="A161" s="90" t="s">
        <v>358</v>
      </c>
      <c r="B161" s="90" t="s">
        <v>309</v>
      </c>
      <c r="C161" s="90" t="s">
        <v>359</v>
      </c>
      <c r="D161" s="139" t="s">
        <v>141</v>
      </c>
      <c r="E161" s="81">
        <v>0</v>
      </c>
      <c r="F161" s="81">
        <v>0</v>
      </c>
      <c r="G161" s="81">
        <v>0</v>
      </c>
      <c r="H161" s="81">
        <v>0</v>
      </c>
      <c r="I161" s="81">
        <v>0</v>
      </c>
      <c r="J161" s="81">
        <v>0</v>
      </c>
      <c r="K161" s="81">
        <v>0</v>
      </c>
      <c r="L161" s="81"/>
      <c r="M161" s="81"/>
      <c r="N161" s="81"/>
      <c r="O161" s="81"/>
      <c r="P161" s="81">
        <v>0</v>
      </c>
      <c r="Q161" s="81"/>
      <c r="R161" s="81"/>
      <c r="S161" s="81"/>
      <c r="T161" s="81"/>
      <c r="U161" s="81"/>
      <c r="V161" s="81"/>
      <c r="W161" s="81">
        <f t="shared" si="7"/>
        <v>0</v>
      </c>
      <c r="X161" s="81">
        <v>146</v>
      </c>
      <c r="Y161" s="150">
        <f t="shared" si="6"/>
        <v>146</v>
      </c>
    </row>
    <row r="162" spans="1:25" ht="20.100000000000001" customHeight="1" x14ac:dyDescent="0.25">
      <c r="A162" s="90" t="s">
        <v>129</v>
      </c>
      <c r="B162" s="90" t="s">
        <v>360</v>
      </c>
      <c r="C162" s="90" t="s">
        <v>361</v>
      </c>
      <c r="D162" s="139" t="s">
        <v>141</v>
      </c>
      <c r="E162" s="81">
        <v>0</v>
      </c>
      <c r="F162" s="81">
        <v>0</v>
      </c>
      <c r="G162" s="81"/>
      <c r="H162" s="81">
        <v>0</v>
      </c>
      <c r="I162" s="81">
        <v>0</v>
      </c>
      <c r="J162" s="81">
        <v>0</v>
      </c>
      <c r="K162" s="81">
        <v>0</v>
      </c>
      <c r="L162" s="81"/>
      <c r="M162" s="81"/>
      <c r="N162" s="81"/>
      <c r="O162" s="81"/>
      <c r="P162" s="81">
        <v>0</v>
      </c>
      <c r="Q162" s="81"/>
      <c r="R162" s="81"/>
      <c r="S162" s="81"/>
      <c r="T162" s="81"/>
      <c r="U162" s="81"/>
      <c r="V162" s="81"/>
      <c r="W162" s="81">
        <f t="shared" si="7"/>
        <v>0</v>
      </c>
      <c r="X162" s="81">
        <v>900</v>
      </c>
      <c r="Y162" s="150">
        <f t="shared" si="6"/>
        <v>900</v>
      </c>
    </row>
    <row r="163" spans="1:25" ht="31.15" customHeight="1" x14ac:dyDescent="0.25">
      <c r="A163" s="111" t="s">
        <v>100</v>
      </c>
      <c r="B163" s="111" t="s">
        <v>101</v>
      </c>
      <c r="C163" s="111" t="s">
        <v>102</v>
      </c>
      <c r="D163" s="139"/>
      <c r="E163" s="112" t="s">
        <v>104</v>
      </c>
      <c r="F163" s="239" t="s">
        <v>362</v>
      </c>
      <c r="G163" s="112" t="s">
        <v>363</v>
      </c>
      <c r="H163" s="112" t="s">
        <v>364</v>
      </c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81">
        <f t="shared" ref="W163:W195" si="8">SUM(E163:T163)</f>
        <v>0</v>
      </c>
      <c r="X163" s="112" t="s">
        <v>365</v>
      </c>
      <c r="Y163" s="150" t="s">
        <v>366</v>
      </c>
    </row>
    <row r="164" spans="1:25" ht="20.100000000000001" customHeight="1" x14ac:dyDescent="0.25">
      <c r="A164" s="90" t="s">
        <v>367</v>
      </c>
      <c r="B164" s="90" t="s">
        <v>368</v>
      </c>
      <c r="C164" s="90" t="s">
        <v>369</v>
      </c>
      <c r="D164" s="139" t="s">
        <v>370</v>
      </c>
      <c r="E164" s="81">
        <v>0</v>
      </c>
      <c r="F164" s="81">
        <v>388</v>
      </c>
      <c r="G164" s="81">
        <v>0</v>
      </c>
      <c r="H164" s="81">
        <v>100</v>
      </c>
      <c r="I164" s="81">
        <v>0</v>
      </c>
      <c r="J164" s="81">
        <v>0</v>
      </c>
      <c r="K164" s="81">
        <v>0</v>
      </c>
      <c r="L164" s="81"/>
      <c r="M164" s="81"/>
      <c r="N164" s="81"/>
      <c r="O164" s="81"/>
      <c r="P164" s="81">
        <v>0</v>
      </c>
      <c r="Q164" s="81"/>
      <c r="R164" s="81"/>
      <c r="S164" s="81"/>
      <c r="T164" s="81"/>
      <c r="U164" s="81"/>
      <c r="V164" s="81"/>
      <c r="W164" s="81">
        <f t="shared" si="8"/>
        <v>488</v>
      </c>
      <c r="X164" s="81">
        <v>870</v>
      </c>
      <c r="Y164" s="150">
        <f t="shared" ref="Y164:Y195" si="9">MAX(0,X164-W164)</f>
        <v>382</v>
      </c>
    </row>
    <row r="165" spans="1:25" ht="20.100000000000001" customHeight="1" x14ac:dyDescent="0.25">
      <c r="A165" s="90" t="s">
        <v>371</v>
      </c>
      <c r="B165" s="90" t="s">
        <v>372</v>
      </c>
      <c r="C165" s="90" t="s">
        <v>373</v>
      </c>
      <c r="D165" s="139" t="s">
        <v>370</v>
      </c>
      <c r="E165" s="81">
        <v>0</v>
      </c>
      <c r="F165" s="81">
        <v>1800</v>
      </c>
      <c r="G165" s="81">
        <v>0</v>
      </c>
      <c r="H165" s="81">
        <v>1000</v>
      </c>
      <c r="I165" s="81">
        <v>0</v>
      </c>
      <c r="J165" s="81">
        <v>0</v>
      </c>
      <c r="K165" s="81">
        <v>0</v>
      </c>
      <c r="L165" s="81"/>
      <c r="M165" s="81"/>
      <c r="N165" s="81"/>
      <c r="O165" s="81"/>
      <c r="P165" s="81">
        <v>0</v>
      </c>
      <c r="Q165" s="81"/>
      <c r="R165" s="81"/>
      <c r="S165" s="81"/>
      <c r="T165" s="81"/>
      <c r="U165" s="81"/>
      <c r="V165" s="81"/>
      <c r="W165" s="81">
        <f t="shared" si="8"/>
        <v>2800</v>
      </c>
      <c r="X165" s="81">
        <v>8135</v>
      </c>
      <c r="Y165" s="150">
        <f t="shared" si="9"/>
        <v>5335</v>
      </c>
    </row>
    <row r="166" spans="1:25" ht="20.100000000000001" customHeight="1" x14ac:dyDescent="0.25">
      <c r="A166" s="90" t="s">
        <v>371</v>
      </c>
      <c r="B166" s="90" t="s">
        <v>374</v>
      </c>
      <c r="C166" s="90" t="s">
        <v>375</v>
      </c>
      <c r="D166" s="139" t="s">
        <v>370</v>
      </c>
      <c r="E166" s="81">
        <v>0</v>
      </c>
      <c r="F166" s="81">
        <v>200</v>
      </c>
      <c r="G166" s="81">
        <v>0</v>
      </c>
      <c r="H166" s="81">
        <v>288</v>
      </c>
      <c r="I166" s="81">
        <v>0</v>
      </c>
      <c r="J166" s="81">
        <v>0</v>
      </c>
      <c r="K166" s="81">
        <v>0</v>
      </c>
      <c r="L166" s="81"/>
      <c r="M166" s="81"/>
      <c r="N166" s="81"/>
      <c r="O166" s="81"/>
      <c r="P166" s="81">
        <v>0</v>
      </c>
      <c r="Q166" s="81"/>
      <c r="R166" s="81"/>
      <c r="S166" s="81"/>
      <c r="T166" s="81"/>
      <c r="U166" s="81"/>
      <c r="V166" s="81"/>
      <c r="W166" s="81">
        <f t="shared" si="8"/>
        <v>488</v>
      </c>
      <c r="X166" s="81">
        <v>488</v>
      </c>
      <c r="Y166" s="150">
        <f t="shared" si="9"/>
        <v>0</v>
      </c>
    </row>
    <row r="167" spans="1:25" ht="20.100000000000001" customHeight="1" x14ac:dyDescent="0.25">
      <c r="A167" s="90" t="s">
        <v>371</v>
      </c>
      <c r="B167" s="90" t="s">
        <v>376</v>
      </c>
      <c r="C167" s="90" t="s">
        <v>377</v>
      </c>
      <c r="D167" s="139" t="s">
        <v>370</v>
      </c>
      <c r="E167" s="81">
        <v>19600</v>
      </c>
      <c r="F167" s="81">
        <v>100</v>
      </c>
      <c r="G167" s="81">
        <v>39200</v>
      </c>
      <c r="H167" s="81">
        <v>100000</v>
      </c>
      <c r="I167" s="81">
        <v>0</v>
      </c>
      <c r="J167" s="81">
        <v>0</v>
      </c>
      <c r="K167" s="81">
        <v>0</v>
      </c>
      <c r="L167" s="81"/>
      <c r="M167" s="81"/>
      <c r="N167" s="81"/>
      <c r="O167" s="81"/>
      <c r="P167" s="81">
        <v>0</v>
      </c>
      <c r="Q167" s="81"/>
      <c r="R167" s="81"/>
      <c r="S167" s="81"/>
      <c r="T167" s="81"/>
      <c r="U167" s="81"/>
      <c r="V167" s="81"/>
      <c r="W167" s="81">
        <f t="shared" si="8"/>
        <v>158900</v>
      </c>
      <c r="X167" s="81">
        <v>320264</v>
      </c>
      <c r="Y167" s="150">
        <f t="shared" si="9"/>
        <v>161364</v>
      </c>
    </row>
    <row r="168" spans="1:25" ht="20.100000000000001" customHeight="1" x14ac:dyDescent="0.25">
      <c r="A168" s="90" t="s">
        <v>378</v>
      </c>
      <c r="B168" s="90" t="s">
        <v>379</v>
      </c>
      <c r="C168" s="90" t="s">
        <v>380</v>
      </c>
      <c r="D168" s="139" t="s">
        <v>370</v>
      </c>
      <c r="E168" s="81">
        <v>75</v>
      </c>
      <c r="F168" s="81">
        <v>300</v>
      </c>
      <c r="G168" s="81">
        <v>0</v>
      </c>
      <c r="H168" s="81">
        <v>930</v>
      </c>
      <c r="I168" s="81">
        <v>0</v>
      </c>
      <c r="J168" s="81">
        <v>0</v>
      </c>
      <c r="K168" s="81">
        <v>0</v>
      </c>
      <c r="L168" s="81"/>
      <c r="M168" s="81"/>
      <c r="N168" s="81"/>
      <c r="O168" s="81"/>
      <c r="P168" s="81">
        <v>0</v>
      </c>
      <c r="Q168" s="81"/>
      <c r="R168" s="81"/>
      <c r="S168" s="81"/>
      <c r="T168" s="81"/>
      <c r="U168" s="81"/>
      <c r="V168" s="81"/>
      <c r="W168" s="81">
        <f t="shared" si="8"/>
        <v>1305</v>
      </c>
      <c r="X168" s="81">
        <v>1298</v>
      </c>
      <c r="Y168" s="150">
        <f t="shared" si="9"/>
        <v>0</v>
      </c>
    </row>
    <row r="169" spans="1:25" ht="20.100000000000001" customHeight="1" x14ac:dyDescent="0.25">
      <c r="A169" s="90" t="s">
        <v>378</v>
      </c>
      <c r="B169" s="90" t="s">
        <v>381</v>
      </c>
      <c r="C169" s="90" t="s">
        <v>382</v>
      </c>
      <c r="D169" s="139" t="s">
        <v>370</v>
      </c>
      <c r="E169" s="81">
        <v>12800</v>
      </c>
      <c r="F169" s="81">
        <v>0</v>
      </c>
      <c r="G169" s="81">
        <v>25600</v>
      </c>
      <c r="H169" s="81">
        <v>100000</v>
      </c>
      <c r="I169" s="81">
        <v>0</v>
      </c>
      <c r="J169" s="81">
        <v>0</v>
      </c>
      <c r="K169" s="81">
        <v>0</v>
      </c>
      <c r="L169" s="81"/>
      <c r="M169" s="81"/>
      <c r="N169" s="81"/>
      <c r="O169" s="81"/>
      <c r="P169" s="81">
        <v>0</v>
      </c>
      <c r="Q169" s="81"/>
      <c r="R169" s="81"/>
      <c r="S169" s="81"/>
      <c r="T169" s="81"/>
      <c r="U169" s="81"/>
      <c r="V169" s="81"/>
      <c r="W169" s="81">
        <f t="shared" si="8"/>
        <v>138400</v>
      </c>
      <c r="X169" s="81">
        <v>209152</v>
      </c>
      <c r="Y169" s="150">
        <f t="shared" si="9"/>
        <v>70752</v>
      </c>
    </row>
    <row r="170" spans="1:25" ht="20.100000000000001" customHeight="1" x14ac:dyDescent="0.25">
      <c r="A170" s="90" t="s">
        <v>378</v>
      </c>
      <c r="B170" s="90" t="s">
        <v>383</v>
      </c>
      <c r="C170" s="90" t="s">
        <v>384</v>
      </c>
      <c r="D170" s="139" t="s">
        <v>370</v>
      </c>
      <c r="E170" s="81">
        <v>0</v>
      </c>
      <c r="F170" s="81">
        <v>0</v>
      </c>
      <c r="G170" s="81">
        <v>0</v>
      </c>
      <c r="H170" s="81">
        <v>0</v>
      </c>
      <c r="I170" s="81">
        <v>0</v>
      </c>
      <c r="J170" s="81">
        <v>0</v>
      </c>
      <c r="K170" s="81">
        <v>0</v>
      </c>
      <c r="L170" s="81"/>
      <c r="M170" s="81"/>
      <c r="N170" s="81"/>
      <c r="O170" s="81"/>
      <c r="P170" s="81">
        <v>0</v>
      </c>
      <c r="Q170" s="81"/>
      <c r="R170" s="81"/>
      <c r="S170" s="81"/>
      <c r="T170" s="81"/>
      <c r="U170" s="81"/>
      <c r="V170" s="81"/>
      <c r="W170" s="81">
        <f t="shared" si="8"/>
        <v>0</v>
      </c>
      <c r="X170" s="81">
        <v>1458</v>
      </c>
      <c r="Y170" s="150">
        <f t="shared" si="9"/>
        <v>1458</v>
      </c>
    </row>
    <row r="171" spans="1:25" ht="20.100000000000001" customHeight="1" x14ac:dyDescent="0.25">
      <c r="A171" s="90" t="s">
        <v>385</v>
      </c>
      <c r="B171" s="90" t="s">
        <v>386</v>
      </c>
      <c r="C171" s="90" t="s">
        <v>387</v>
      </c>
      <c r="D171" s="139" t="s">
        <v>370</v>
      </c>
      <c r="E171" s="81">
        <v>0</v>
      </c>
      <c r="F171" s="81">
        <v>0</v>
      </c>
      <c r="G171" s="81">
        <v>0</v>
      </c>
      <c r="H171" s="81">
        <v>0</v>
      </c>
      <c r="I171" s="81">
        <v>0</v>
      </c>
      <c r="J171" s="81">
        <v>0</v>
      </c>
      <c r="K171" s="81">
        <v>0</v>
      </c>
      <c r="L171" s="81"/>
      <c r="M171" s="81"/>
      <c r="N171" s="81"/>
      <c r="O171" s="81"/>
      <c r="P171" s="81">
        <v>0</v>
      </c>
      <c r="Q171" s="81"/>
      <c r="R171" s="81"/>
      <c r="S171" s="81"/>
      <c r="T171" s="81"/>
      <c r="U171" s="81"/>
      <c r="V171" s="81"/>
      <c r="W171" s="81">
        <f t="shared" si="8"/>
        <v>0</v>
      </c>
      <c r="X171" s="81">
        <v>1632</v>
      </c>
      <c r="Y171" s="150">
        <f t="shared" si="9"/>
        <v>1632</v>
      </c>
    </row>
    <row r="172" spans="1:25" ht="20.100000000000001" customHeight="1" x14ac:dyDescent="0.25">
      <c r="A172" s="90" t="s">
        <v>378</v>
      </c>
      <c r="B172" s="90" t="s">
        <v>388</v>
      </c>
      <c r="C172" s="90" t="s">
        <v>389</v>
      </c>
      <c r="D172" s="139" t="s">
        <v>370</v>
      </c>
      <c r="E172" s="81">
        <v>0</v>
      </c>
      <c r="F172" s="81">
        <v>0</v>
      </c>
      <c r="G172" s="81">
        <v>0</v>
      </c>
      <c r="H172" s="81">
        <v>0</v>
      </c>
      <c r="I172" s="81">
        <v>0</v>
      </c>
      <c r="J172" s="81">
        <v>0</v>
      </c>
      <c r="K172" s="81">
        <v>0</v>
      </c>
      <c r="L172" s="81"/>
      <c r="M172" s="81"/>
      <c r="N172" s="81"/>
      <c r="O172" s="81"/>
      <c r="P172" s="81">
        <v>0</v>
      </c>
      <c r="Q172" s="81"/>
      <c r="R172" s="81"/>
      <c r="S172" s="81"/>
      <c r="T172" s="81"/>
      <c r="U172" s="81"/>
      <c r="V172" s="81"/>
      <c r="W172" s="81">
        <f t="shared" si="8"/>
        <v>0</v>
      </c>
      <c r="X172" s="81">
        <v>1800</v>
      </c>
      <c r="Y172" s="150">
        <f t="shared" si="9"/>
        <v>1800</v>
      </c>
    </row>
    <row r="173" spans="1:25" ht="20.100000000000001" customHeight="1" x14ac:dyDescent="0.25">
      <c r="A173" s="90" t="s">
        <v>378</v>
      </c>
      <c r="B173" s="90" t="s">
        <v>390</v>
      </c>
      <c r="C173" s="90" t="s">
        <v>391</v>
      </c>
      <c r="D173" s="139" t="s">
        <v>370</v>
      </c>
      <c r="E173" s="81">
        <v>0</v>
      </c>
      <c r="F173" s="81">
        <v>0</v>
      </c>
      <c r="G173" s="81">
        <v>0</v>
      </c>
      <c r="H173" s="81">
        <v>0</v>
      </c>
      <c r="I173" s="81">
        <v>0</v>
      </c>
      <c r="J173" s="81">
        <v>0</v>
      </c>
      <c r="K173" s="81">
        <v>0</v>
      </c>
      <c r="L173" s="81"/>
      <c r="M173" s="81"/>
      <c r="N173" s="81"/>
      <c r="O173" s="81"/>
      <c r="P173" s="81">
        <v>0</v>
      </c>
      <c r="Q173" s="81"/>
      <c r="R173" s="81"/>
      <c r="S173" s="81"/>
      <c r="T173" s="81"/>
      <c r="U173" s="81"/>
      <c r="V173" s="81"/>
      <c r="W173" s="81">
        <f t="shared" si="8"/>
        <v>0</v>
      </c>
      <c r="X173" s="81">
        <v>5088</v>
      </c>
      <c r="Y173" s="150">
        <f t="shared" si="9"/>
        <v>5088</v>
      </c>
    </row>
    <row r="174" spans="1:25" ht="20.100000000000001" customHeight="1" x14ac:dyDescent="0.25">
      <c r="A174" s="90" t="s">
        <v>392</v>
      </c>
      <c r="B174" s="207" t="s">
        <v>393</v>
      </c>
      <c r="C174" s="90" t="s">
        <v>394</v>
      </c>
      <c r="D174" s="139"/>
      <c r="E174" s="81">
        <v>0</v>
      </c>
      <c r="F174" s="81">
        <v>0</v>
      </c>
      <c r="G174" s="81">
        <v>367</v>
      </c>
      <c r="H174" s="81">
        <v>0</v>
      </c>
      <c r="I174" s="81">
        <v>0</v>
      </c>
      <c r="J174" s="81">
        <v>0</v>
      </c>
      <c r="K174" s="81">
        <v>0</v>
      </c>
      <c r="L174" s="81"/>
      <c r="M174" s="81"/>
      <c r="N174" s="81"/>
      <c r="O174" s="81"/>
      <c r="P174" s="81">
        <v>0</v>
      </c>
      <c r="Q174" s="81"/>
      <c r="R174" s="81"/>
      <c r="S174" s="81"/>
      <c r="T174" s="81"/>
      <c r="U174" s="81"/>
      <c r="V174" s="81"/>
      <c r="W174" s="81">
        <f t="shared" si="8"/>
        <v>367</v>
      </c>
      <c r="X174" s="81">
        <v>568</v>
      </c>
      <c r="Y174" s="150">
        <f t="shared" si="9"/>
        <v>201</v>
      </c>
    </row>
    <row r="175" spans="1:25" ht="20.100000000000001" customHeight="1" x14ac:dyDescent="0.25">
      <c r="A175" s="90" t="s">
        <v>395</v>
      </c>
      <c r="B175" s="90" t="s">
        <v>396</v>
      </c>
      <c r="C175" s="90" t="s">
        <v>397</v>
      </c>
      <c r="D175" s="139" t="s">
        <v>370</v>
      </c>
      <c r="E175" s="81">
        <v>50</v>
      </c>
      <c r="F175" s="81">
        <v>400</v>
      </c>
      <c r="G175" s="81">
        <v>0</v>
      </c>
      <c r="H175" s="81">
        <v>1000</v>
      </c>
      <c r="I175" s="81">
        <v>0</v>
      </c>
      <c r="J175" s="81">
        <v>0</v>
      </c>
      <c r="K175" s="81">
        <v>0</v>
      </c>
      <c r="L175" s="81"/>
      <c r="M175" s="81"/>
      <c r="N175" s="81"/>
      <c r="O175" s="81"/>
      <c r="P175" s="81">
        <v>0</v>
      </c>
      <c r="Q175" s="81"/>
      <c r="R175" s="81"/>
      <c r="S175" s="81"/>
      <c r="T175" s="81"/>
      <c r="U175" s="81"/>
      <c r="V175" s="81"/>
      <c r="W175" s="81">
        <f t="shared" si="8"/>
        <v>1450</v>
      </c>
      <c r="X175" s="81">
        <v>2918</v>
      </c>
      <c r="Y175" s="150">
        <f t="shared" si="9"/>
        <v>1468</v>
      </c>
    </row>
    <row r="176" spans="1:25" ht="20.100000000000001" customHeight="1" x14ac:dyDescent="0.25">
      <c r="A176" s="90" t="s">
        <v>395</v>
      </c>
      <c r="B176" s="90" t="s">
        <v>398</v>
      </c>
      <c r="C176" s="90" t="s">
        <v>399</v>
      </c>
      <c r="D176" s="139" t="s">
        <v>370</v>
      </c>
      <c r="E176" s="81">
        <v>0</v>
      </c>
      <c r="F176" s="81">
        <v>400</v>
      </c>
      <c r="G176" s="81">
        <v>0</v>
      </c>
      <c r="H176" s="81">
        <v>300</v>
      </c>
      <c r="I176" s="81">
        <v>0</v>
      </c>
      <c r="J176" s="81">
        <v>0</v>
      </c>
      <c r="K176" s="81">
        <v>0</v>
      </c>
      <c r="L176" s="81"/>
      <c r="M176" s="81"/>
      <c r="N176" s="81"/>
      <c r="O176" s="81"/>
      <c r="P176" s="81">
        <v>0</v>
      </c>
      <c r="Q176" s="81"/>
      <c r="R176" s="81"/>
      <c r="S176" s="81"/>
      <c r="T176" s="81"/>
      <c r="U176" s="81"/>
      <c r="V176" s="81"/>
      <c r="W176" s="81">
        <f t="shared" si="8"/>
        <v>700</v>
      </c>
      <c r="X176" s="81">
        <v>864</v>
      </c>
      <c r="Y176" s="150">
        <f t="shared" si="9"/>
        <v>164</v>
      </c>
    </row>
    <row r="177" spans="1:25" ht="20.100000000000001" customHeight="1" x14ac:dyDescent="0.25">
      <c r="A177" s="90" t="s">
        <v>395</v>
      </c>
      <c r="B177" s="90" t="s">
        <v>400</v>
      </c>
      <c r="C177" s="90" t="s">
        <v>401</v>
      </c>
      <c r="D177" s="139" t="s">
        <v>370</v>
      </c>
      <c r="E177" s="81">
        <v>0</v>
      </c>
      <c r="F177" s="81">
        <v>600</v>
      </c>
      <c r="G177" s="81">
        <v>0</v>
      </c>
      <c r="H177" s="81">
        <v>3010</v>
      </c>
      <c r="I177" s="81">
        <v>0</v>
      </c>
      <c r="J177" s="81">
        <v>0</v>
      </c>
      <c r="K177" s="81">
        <v>0</v>
      </c>
      <c r="L177" s="81"/>
      <c r="M177" s="81"/>
      <c r="N177" s="81"/>
      <c r="O177" s="81"/>
      <c r="P177" s="81">
        <v>0</v>
      </c>
      <c r="Q177" s="81"/>
      <c r="R177" s="81"/>
      <c r="S177" s="81"/>
      <c r="T177" s="81"/>
      <c r="U177" s="81"/>
      <c r="V177" s="81"/>
      <c r="W177" s="81">
        <f t="shared" si="8"/>
        <v>3610</v>
      </c>
      <c r="X177" s="81">
        <v>3608</v>
      </c>
      <c r="Y177" s="150">
        <f t="shared" si="9"/>
        <v>0</v>
      </c>
    </row>
    <row r="178" spans="1:25" ht="20.100000000000001" customHeight="1" x14ac:dyDescent="0.25">
      <c r="A178" s="90" t="s">
        <v>378</v>
      </c>
      <c r="B178" s="90" t="s">
        <v>402</v>
      </c>
      <c r="C178" s="90" t="s">
        <v>403</v>
      </c>
      <c r="D178" s="139" t="s">
        <v>370</v>
      </c>
      <c r="E178" s="81">
        <v>0</v>
      </c>
      <c r="F178" s="81">
        <v>100</v>
      </c>
      <c r="G178" s="81">
        <v>200</v>
      </c>
      <c r="H178" s="81">
        <v>990</v>
      </c>
      <c r="I178" s="81">
        <v>0</v>
      </c>
      <c r="J178" s="81">
        <v>0</v>
      </c>
      <c r="K178" s="81">
        <v>0</v>
      </c>
      <c r="L178" s="81"/>
      <c r="M178" s="81"/>
      <c r="N178" s="81"/>
      <c r="O178" s="81"/>
      <c r="P178" s="81">
        <v>0</v>
      </c>
      <c r="Q178" s="81"/>
      <c r="R178" s="81"/>
      <c r="S178" s="81"/>
      <c r="T178" s="81"/>
      <c r="U178" s="81"/>
      <c r="V178" s="81"/>
      <c r="W178" s="81">
        <f t="shared" si="8"/>
        <v>1290</v>
      </c>
      <c r="X178" s="81">
        <v>1294</v>
      </c>
      <c r="Y178" s="150">
        <f t="shared" si="9"/>
        <v>4</v>
      </c>
    </row>
    <row r="179" spans="1:25" ht="20.100000000000001" customHeight="1" x14ac:dyDescent="0.25">
      <c r="A179" s="90" t="s">
        <v>395</v>
      </c>
      <c r="B179" s="90" t="s">
        <v>404</v>
      </c>
      <c r="C179" s="90" t="s">
        <v>405</v>
      </c>
      <c r="D179" s="139" t="s">
        <v>370</v>
      </c>
      <c r="E179" s="81">
        <v>0</v>
      </c>
      <c r="F179" s="81">
        <v>0</v>
      </c>
      <c r="G179" s="81">
        <v>0</v>
      </c>
      <c r="H179" s="81">
        <v>2290</v>
      </c>
      <c r="I179" s="81">
        <v>0</v>
      </c>
      <c r="J179" s="81">
        <v>0</v>
      </c>
      <c r="K179" s="81">
        <v>0</v>
      </c>
      <c r="L179" s="81"/>
      <c r="M179" s="81"/>
      <c r="N179" s="81"/>
      <c r="O179" s="81"/>
      <c r="P179" s="81">
        <v>0</v>
      </c>
      <c r="Q179" s="81"/>
      <c r="R179" s="81"/>
      <c r="S179" s="81"/>
      <c r="T179" s="81"/>
      <c r="U179" s="81"/>
      <c r="V179" s="81"/>
      <c r="W179" s="81">
        <f t="shared" si="8"/>
        <v>2290</v>
      </c>
      <c r="X179" s="81">
        <v>2280</v>
      </c>
      <c r="Y179" s="150">
        <f t="shared" si="9"/>
        <v>0</v>
      </c>
    </row>
    <row r="180" spans="1:25" ht="20.100000000000001" customHeight="1" x14ac:dyDescent="0.25">
      <c r="A180" s="90" t="s">
        <v>406</v>
      </c>
      <c r="B180" s="90" t="s">
        <v>407</v>
      </c>
      <c r="C180" s="90" t="s">
        <v>408</v>
      </c>
      <c r="D180" s="139" t="s">
        <v>370</v>
      </c>
      <c r="E180" s="81">
        <v>0</v>
      </c>
      <c r="F180" s="81">
        <v>0</v>
      </c>
      <c r="G180" s="81">
        <v>0</v>
      </c>
      <c r="H180" s="81">
        <v>10</v>
      </c>
      <c r="I180" s="81">
        <v>0</v>
      </c>
      <c r="J180" s="81">
        <v>0</v>
      </c>
      <c r="K180" s="81">
        <v>0</v>
      </c>
      <c r="L180" s="81"/>
      <c r="M180" s="81"/>
      <c r="N180" s="81"/>
      <c r="O180" s="81"/>
      <c r="P180" s="81">
        <v>0</v>
      </c>
      <c r="Q180" s="81"/>
      <c r="R180" s="81"/>
      <c r="S180" s="81"/>
      <c r="T180" s="81"/>
      <c r="U180" s="81"/>
      <c r="V180" s="81"/>
      <c r="W180" s="81">
        <f t="shared" si="8"/>
        <v>10</v>
      </c>
      <c r="X180" s="81">
        <v>6</v>
      </c>
      <c r="Y180" s="150">
        <f t="shared" si="9"/>
        <v>0</v>
      </c>
    </row>
    <row r="181" spans="1:25" ht="20.100000000000001" customHeight="1" x14ac:dyDescent="0.25">
      <c r="A181" s="207" t="s">
        <v>409</v>
      </c>
      <c r="B181" s="90" t="s">
        <v>410</v>
      </c>
      <c r="C181" s="90" t="s">
        <v>411</v>
      </c>
      <c r="D181" s="139" t="s">
        <v>370</v>
      </c>
      <c r="E181" s="81">
        <v>0</v>
      </c>
      <c r="F181" s="81">
        <v>0</v>
      </c>
      <c r="G181" s="81">
        <v>200</v>
      </c>
      <c r="H181" s="81">
        <v>664</v>
      </c>
      <c r="I181" s="81">
        <v>0</v>
      </c>
      <c r="J181" s="81">
        <v>0</v>
      </c>
      <c r="K181" s="81">
        <v>0</v>
      </c>
      <c r="L181" s="81"/>
      <c r="M181" s="81"/>
      <c r="N181" s="81"/>
      <c r="O181" s="81"/>
      <c r="P181" s="81">
        <v>0</v>
      </c>
      <c r="Q181" s="81"/>
      <c r="R181" s="81"/>
      <c r="S181" s="81"/>
      <c r="T181" s="81"/>
      <c r="U181" s="81"/>
      <c r="V181" s="81"/>
      <c r="W181" s="81">
        <f t="shared" si="8"/>
        <v>864</v>
      </c>
      <c r="X181" s="81">
        <v>888</v>
      </c>
      <c r="Y181" s="150">
        <f t="shared" si="9"/>
        <v>24</v>
      </c>
    </row>
    <row r="182" spans="1:25" ht="20.100000000000001" customHeight="1" x14ac:dyDescent="0.25">
      <c r="A182" s="90" t="s">
        <v>406</v>
      </c>
      <c r="B182" s="90" t="s">
        <v>410</v>
      </c>
      <c r="C182" s="90" t="s">
        <v>412</v>
      </c>
      <c r="D182" s="139" t="s">
        <v>370</v>
      </c>
      <c r="E182" s="81">
        <v>800</v>
      </c>
      <c r="F182" s="81">
        <v>0</v>
      </c>
      <c r="G182" s="81">
        <v>1600</v>
      </c>
      <c r="H182" s="81">
        <v>10000</v>
      </c>
      <c r="I182" s="81">
        <v>0</v>
      </c>
      <c r="J182" s="81">
        <v>0</v>
      </c>
      <c r="K182" s="81">
        <v>0</v>
      </c>
      <c r="L182" s="81"/>
      <c r="M182" s="81"/>
      <c r="N182" s="81"/>
      <c r="O182" s="81"/>
      <c r="P182" s="81">
        <v>0</v>
      </c>
      <c r="Q182" s="81"/>
      <c r="R182" s="81"/>
      <c r="S182" s="81"/>
      <c r="T182" s="81"/>
      <c r="U182" s="81"/>
      <c r="V182" s="81"/>
      <c r="W182" s="81">
        <f t="shared" si="8"/>
        <v>12400</v>
      </c>
      <c r="X182" s="81">
        <v>13072</v>
      </c>
      <c r="Y182" s="150">
        <f t="shared" si="9"/>
        <v>672</v>
      </c>
    </row>
    <row r="183" spans="1:25" ht="20.100000000000001" customHeight="1" x14ac:dyDescent="0.25">
      <c r="A183" s="90" t="s">
        <v>413</v>
      </c>
      <c r="B183" s="90" t="s">
        <v>414</v>
      </c>
      <c r="C183" s="90" t="s">
        <v>415</v>
      </c>
      <c r="D183" s="139" t="s">
        <v>370</v>
      </c>
      <c r="E183" s="81">
        <v>18800</v>
      </c>
      <c r="F183" s="81">
        <v>0</v>
      </c>
      <c r="G183" s="81">
        <v>37600</v>
      </c>
      <c r="H183" s="81">
        <v>100000</v>
      </c>
      <c r="I183" s="81">
        <v>0</v>
      </c>
      <c r="J183" s="81">
        <v>0</v>
      </c>
      <c r="K183" s="81">
        <v>0</v>
      </c>
      <c r="L183" s="81"/>
      <c r="M183" s="81"/>
      <c r="N183" s="81"/>
      <c r="O183" s="81"/>
      <c r="P183" s="81">
        <v>0</v>
      </c>
      <c r="Q183" s="81"/>
      <c r="R183" s="81"/>
      <c r="S183" s="81"/>
      <c r="T183" s="81"/>
      <c r="U183" s="81"/>
      <c r="V183" s="81"/>
      <c r="W183" s="81">
        <f t="shared" si="8"/>
        <v>156400</v>
      </c>
      <c r="X183" s="81">
        <v>307192</v>
      </c>
      <c r="Y183" s="150">
        <f t="shared" si="9"/>
        <v>150792</v>
      </c>
    </row>
    <row r="184" spans="1:25" ht="20.100000000000001" customHeight="1" x14ac:dyDescent="0.25">
      <c r="A184" s="90" t="s">
        <v>413</v>
      </c>
      <c r="B184" s="90" t="s">
        <v>416</v>
      </c>
      <c r="C184" s="90" t="s">
        <v>417</v>
      </c>
      <c r="D184" s="139" t="s">
        <v>370</v>
      </c>
      <c r="E184" s="81">
        <v>75</v>
      </c>
      <c r="F184" s="81">
        <v>300</v>
      </c>
      <c r="G184" s="81">
        <v>144</v>
      </c>
      <c r="H184" s="81">
        <v>766</v>
      </c>
      <c r="I184" s="81">
        <v>0</v>
      </c>
      <c r="J184" s="81">
        <v>0</v>
      </c>
      <c r="K184" s="81">
        <v>0</v>
      </c>
      <c r="L184" s="81"/>
      <c r="M184" s="81"/>
      <c r="N184" s="81"/>
      <c r="O184" s="81"/>
      <c r="P184" s="81">
        <v>0</v>
      </c>
      <c r="Q184" s="81"/>
      <c r="R184" s="81"/>
      <c r="S184" s="81"/>
      <c r="T184" s="81"/>
      <c r="U184" s="81"/>
      <c r="V184" s="81"/>
      <c r="W184" s="81">
        <f t="shared" si="8"/>
        <v>1285</v>
      </c>
      <c r="X184" s="81">
        <v>1224</v>
      </c>
      <c r="Y184" s="150">
        <f t="shared" si="9"/>
        <v>0</v>
      </c>
    </row>
    <row r="185" spans="1:25" ht="20.100000000000001" customHeight="1" x14ac:dyDescent="0.25">
      <c r="A185" s="90" t="s">
        <v>418</v>
      </c>
      <c r="B185" s="90" t="s">
        <v>419</v>
      </c>
      <c r="C185" s="90" t="s">
        <v>420</v>
      </c>
      <c r="D185" s="139" t="s">
        <v>370</v>
      </c>
      <c r="E185" s="81">
        <v>0</v>
      </c>
      <c r="F185" s="81">
        <v>0</v>
      </c>
      <c r="G185" s="81">
        <v>0</v>
      </c>
      <c r="H185" s="81">
        <v>72</v>
      </c>
      <c r="I185" s="81">
        <v>0</v>
      </c>
      <c r="J185" s="81">
        <v>0</v>
      </c>
      <c r="K185" s="81">
        <v>0</v>
      </c>
      <c r="L185" s="81"/>
      <c r="M185" s="81"/>
      <c r="N185" s="81"/>
      <c r="O185" s="81"/>
      <c r="P185" s="81">
        <v>0</v>
      </c>
      <c r="Q185" s="81"/>
      <c r="R185" s="81"/>
      <c r="S185" s="81"/>
      <c r="T185" s="81"/>
      <c r="U185" s="81"/>
      <c r="V185" s="81"/>
      <c r="W185" s="81">
        <f t="shared" si="8"/>
        <v>72</v>
      </c>
      <c r="X185" s="81">
        <v>72</v>
      </c>
      <c r="Y185" s="150">
        <f t="shared" si="9"/>
        <v>0</v>
      </c>
    </row>
    <row r="186" spans="1:25" ht="20.100000000000001" customHeight="1" x14ac:dyDescent="0.25">
      <c r="A186" s="90" t="s">
        <v>418</v>
      </c>
      <c r="B186" s="90" t="s">
        <v>421</v>
      </c>
      <c r="C186" s="90" t="s">
        <v>422</v>
      </c>
      <c r="D186" s="139" t="s">
        <v>370</v>
      </c>
      <c r="E186" s="81">
        <v>0</v>
      </c>
      <c r="F186" s="81">
        <v>0</v>
      </c>
      <c r="G186" s="81">
        <v>0</v>
      </c>
      <c r="H186" s="81">
        <v>0</v>
      </c>
      <c r="I186" s="81">
        <v>0</v>
      </c>
      <c r="J186" s="81">
        <v>0</v>
      </c>
      <c r="K186" s="81">
        <v>0</v>
      </c>
      <c r="L186" s="81"/>
      <c r="M186" s="81"/>
      <c r="N186" s="81"/>
      <c r="O186" s="81"/>
      <c r="P186" s="81">
        <v>0</v>
      </c>
      <c r="Q186" s="81"/>
      <c r="R186" s="81"/>
      <c r="S186" s="81"/>
      <c r="T186" s="81"/>
      <c r="U186" s="81"/>
      <c r="V186" s="81"/>
      <c r="W186" s="81">
        <f t="shared" si="8"/>
        <v>0</v>
      </c>
      <c r="X186" s="81">
        <v>2</v>
      </c>
      <c r="Y186" s="150">
        <f t="shared" si="9"/>
        <v>2</v>
      </c>
    </row>
    <row r="187" spans="1:25" ht="20.100000000000001" customHeight="1" x14ac:dyDescent="0.25">
      <c r="A187" s="90" t="s">
        <v>423</v>
      </c>
      <c r="B187" s="90" t="s">
        <v>424</v>
      </c>
      <c r="C187" s="90" t="s">
        <v>425</v>
      </c>
      <c r="D187" s="139" t="s">
        <v>370</v>
      </c>
      <c r="E187" s="81">
        <v>20</v>
      </c>
      <c r="F187" s="81">
        <v>460</v>
      </c>
      <c r="G187" s="81">
        <v>0</v>
      </c>
      <c r="H187" s="81">
        <v>410</v>
      </c>
      <c r="I187" s="81">
        <v>0</v>
      </c>
      <c r="J187" s="81">
        <v>0</v>
      </c>
      <c r="K187" s="81">
        <v>0</v>
      </c>
      <c r="L187" s="81"/>
      <c r="M187" s="81"/>
      <c r="N187" s="81"/>
      <c r="O187" s="81"/>
      <c r="P187" s="81">
        <v>0</v>
      </c>
      <c r="Q187" s="81"/>
      <c r="R187" s="81"/>
      <c r="S187" s="81"/>
      <c r="T187" s="81"/>
      <c r="U187" s="81"/>
      <c r="V187" s="81"/>
      <c r="W187" s="81">
        <f t="shared" si="8"/>
        <v>890</v>
      </c>
      <c r="X187" s="81">
        <v>1302</v>
      </c>
      <c r="Y187" s="150">
        <f t="shared" si="9"/>
        <v>412</v>
      </c>
    </row>
    <row r="188" spans="1:25" ht="20.100000000000001" customHeight="1" x14ac:dyDescent="0.25">
      <c r="A188" s="90" t="s">
        <v>392</v>
      </c>
      <c r="B188" s="90" t="s">
        <v>426</v>
      </c>
      <c r="C188" s="90" t="s">
        <v>427</v>
      </c>
      <c r="D188" s="139" t="s">
        <v>370</v>
      </c>
      <c r="E188" s="81">
        <v>50</v>
      </c>
      <c r="F188" s="81">
        <v>1800</v>
      </c>
      <c r="G188" s="81">
        <v>0</v>
      </c>
      <c r="H188" s="81">
        <v>2000</v>
      </c>
      <c r="I188" s="81">
        <v>0</v>
      </c>
      <c r="J188" s="81">
        <v>0</v>
      </c>
      <c r="K188" s="81">
        <v>0</v>
      </c>
      <c r="L188" s="81"/>
      <c r="M188" s="81"/>
      <c r="N188" s="81"/>
      <c r="O188" s="81"/>
      <c r="P188" s="81">
        <v>0</v>
      </c>
      <c r="Q188" s="81"/>
      <c r="R188" s="81"/>
      <c r="S188" s="81"/>
      <c r="T188" s="81"/>
      <c r="U188" s="81"/>
      <c r="V188" s="81"/>
      <c r="W188" s="81">
        <f t="shared" si="8"/>
        <v>3850</v>
      </c>
      <c r="X188" s="81">
        <v>8215</v>
      </c>
      <c r="Y188" s="150">
        <f t="shared" si="9"/>
        <v>4365</v>
      </c>
    </row>
    <row r="189" spans="1:25" ht="20.100000000000001" customHeight="1" x14ac:dyDescent="0.25">
      <c r="A189" s="90" t="s">
        <v>378</v>
      </c>
      <c r="B189" s="90" t="s">
        <v>428</v>
      </c>
      <c r="C189" s="90" t="s">
        <v>429</v>
      </c>
      <c r="D189" s="139" t="s">
        <v>370</v>
      </c>
      <c r="E189" s="81">
        <v>0</v>
      </c>
      <c r="F189" s="81">
        <v>0</v>
      </c>
      <c r="G189" s="81">
        <v>0</v>
      </c>
      <c r="H189" s="81">
        <v>560</v>
      </c>
      <c r="I189" s="81">
        <v>0</v>
      </c>
      <c r="J189" s="81">
        <v>0</v>
      </c>
      <c r="K189" s="81">
        <v>0</v>
      </c>
      <c r="L189" s="81"/>
      <c r="M189" s="81"/>
      <c r="N189" s="81"/>
      <c r="O189" s="81"/>
      <c r="P189" s="81">
        <v>0</v>
      </c>
      <c r="Q189" s="81"/>
      <c r="R189" s="81"/>
      <c r="S189" s="81"/>
      <c r="T189" s="81"/>
      <c r="U189" s="81"/>
      <c r="V189" s="81"/>
      <c r="W189" s="81">
        <f t="shared" si="8"/>
        <v>560</v>
      </c>
      <c r="X189" s="81">
        <v>736</v>
      </c>
      <c r="Y189" s="150">
        <f t="shared" si="9"/>
        <v>176</v>
      </c>
    </row>
    <row r="190" spans="1:25" ht="20.100000000000001" customHeight="1" x14ac:dyDescent="0.25">
      <c r="A190" s="90" t="s">
        <v>406</v>
      </c>
      <c r="B190" s="90" t="s">
        <v>430</v>
      </c>
      <c r="C190" s="90" t="s">
        <v>431</v>
      </c>
      <c r="D190" s="139" t="s">
        <v>370</v>
      </c>
      <c r="E190" s="81">
        <v>19600</v>
      </c>
      <c r="F190" s="81">
        <v>100</v>
      </c>
      <c r="G190" s="81">
        <v>39200</v>
      </c>
      <c r="H190" s="81">
        <v>100000</v>
      </c>
      <c r="I190" s="81">
        <v>0</v>
      </c>
      <c r="J190" s="81">
        <v>0</v>
      </c>
      <c r="K190" s="81">
        <v>0</v>
      </c>
      <c r="L190" s="81"/>
      <c r="M190" s="81"/>
      <c r="N190" s="81"/>
      <c r="O190" s="81"/>
      <c r="P190" s="81">
        <v>0</v>
      </c>
      <c r="Q190" s="81"/>
      <c r="R190" s="81"/>
      <c r="S190" s="81"/>
      <c r="T190" s="81"/>
      <c r="U190" s="81"/>
      <c r="V190" s="81"/>
      <c r="W190" s="81">
        <f t="shared" si="8"/>
        <v>158900</v>
      </c>
      <c r="X190" s="81">
        <v>307192</v>
      </c>
      <c r="Y190" s="150">
        <f t="shared" si="9"/>
        <v>148292</v>
      </c>
    </row>
    <row r="191" spans="1:25" ht="20.100000000000001" customHeight="1" x14ac:dyDescent="0.25">
      <c r="A191" s="90" t="s">
        <v>432</v>
      </c>
      <c r="B191" s="90" t="s">
        <v>433</v>
      </c>
      <c r="C191" s="90" t="s">
        <v>434</v>
      </c>
      <c r="D191" s="139" t="s">
        <v>370</v>
      </c>
      <c r="E191" s="81">
        <v>75</v>
      </c>
      <c r="F191" s="81">
        <v>300</v>
      </c>
      <c r="G191" s="81">
        <v>144</v>
      </c>
      <c r="H191" s="81">
        <v>700</v>
      </c>
      <c r="I191" s="81">
        <v>0</v>
      </c>
      <c r="J191" s="81">
        <v>0</v>
      </c>
      <c r="K191" s="81">
        <v>0</v>
      </c>
      <c r="L191" s="81"/>
      <c r="M191" s="81"/>
      <c r="N191" s="81"/>
      <c r="O191" s="81"/>
      <c r="P191" s="81">
        <v>0</v>
      </c>
      <c r="Q191" s="81"/>
      <c r="R191" s="81"/>
      <c r="S191" s="81"/>
      <c r="T191" s="81"/>
      <c r="U191" s="81"/>
      <c r="V191" s="81"/>
      <c r="W191" s="81">
        <f t="shared" si="8"/>
        <v>1219</v>
      </c>
      <c r="X191" s="81">
        <v>1298</v>
      </c>
      <c r="Y191" s="150">
        <f t="shared" si="9"/>
        <v>79</v>
      </c>
    </row>
    <row r="192" spans="1:25" ht="20.100000000000001" customHeight="1" x14ac:dyDescent="0.25">
      <c r="A192" s="90"/>
      <c r="B192" s="90"/>
      <c r="C192" s="90"/>
      <c r="D192" s="139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>
        <f t="shared" si="8"/>
        <v>0</v>
      </c>
      <c r="X192" s="81"/>
      <c r="Y192" s="150">
        <f t="shared" si="9"/>
        <v>0</v>
      </c>
    </row>
    <row r="193" spans="1:25" ht="20.100000000000001" customHeight="1" x14ac:dyDescent="0.25">
      <c r="A193" s="90"/>
      <c r="B193" s="90"/>
      <c r="C193" s="90"/>
      <c r="D193" s="139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>
        <f t="shared" si="8"/>
        <v>0</v>
      </c>
      <c r="X193" s="81"/>
      <c r="Y193" s="150">
        <f t="shared" si="9"/>
        <v>0</v>
      </c>
    </row>
    <row r="194" spans="1:25" ht="20.100000000000001" customHeight="1" x14ac:dyDescent="0.25">
      <c r="A194" s="90"/>
      <c r="B194" s="90"/>
      <c r="C194" s="90"/>
      <c r="D194" s="139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>
        <f t="shared" si="8"/>
        <v>0</v>
      </c>
      <c r="X194" s="81"/>
      <c r="Y194" s="150">
        <f t="shared" si="9"/>
        <v>0</v>
      </c>
    </row>
    <row r="195" spans="1:25" ht="20.100000000000001" customHeight="1" x14ac:dyDescent="0.25">
      <c r="A195" s="90"/>
      <c r="B195" s="90"/>
      <c r="C195" s="90"/>
      <c r="D195" s="139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>
        <f t="shared" si="8"/>
        <v>0</v>
      </c>
      <c r="X195" s="81"/>
      <c r="Y195" s="150">
        <f t="shared" si="9"/>
        <v>0</v>
      </c>
    </row>
    <row r="196" spans="1:25" ht="20.100000000000001" customHeight="1" x14ac:dyDescent="0.25">
      <c r="A196" s="90"/>
      <c r="B196" s="90"/>
      <c r="C196" s="90"/>
      <c r="D196" s="139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>
        <f t="shared" ref="W196:W259" si="10">SUM(E196:T196)</f>
        <v>0</v>
      </c>
      <c r="X196" s="81"/>
      <c r="Y196" s="150">
        <f t="shared" ref="Y196:Y215" si="11">MAX(0,X196-W196)</f>
        <v>0</v>
      </c>
    </row>
    <row r="197" spans="1:25" ht="20.100000000000001" customHeight="1" x14ac:dyDescent="0.25">
      <c r="A197" s="90"/>
      <c r="B197" s="90"/>
      <c r="C197" s="90"/>
      <c r="D197" s="139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>
        <f t="shared" si="10"/>
        <v>0</v>
      </c>
      <c r="X197" s="81"/>
      <c r="Y197" s="150">
        <f t="shared" si="11"/>
        <v>0</v>
      </c>
    </row>
    <row r="198" spans="1:25" ht="20.100000000000001" customHeight="1" x14ac:dyDescent="0.25">
      <c r="A198" s="90"/>
      <c r="B198" s="90"/>
      <c r="C198" s="90"/>
      <c r="D198" s="139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>
        <f t="shared" si="10"/>
        <v>0</v>
      </c>
      <c r="X198" s="81"/>
      <c r="Y198" s="150">
        <f t="shared" si="11"/>
        <v>0</v>
      </c>
    </row>
    <row r="199" spans="1:25" ht="20.100000000000001" customHeight="1" x14ac:dyDescent="0.25">
      <c r="A199" s="90"/>
      <c r="B199" s="90"/>
      <c r="C199" s="90"/>
      <c r="D199" s="139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>
        <f t="shared" si="10"/>
        <v>0</v>
      </c>
      <c r="X199" s="81"/>
      <c r="Y199" s="150">
        <f t="shared" si="11"/>
        <v>0</v>
      </c>
    </row>
    <row r="200" spans="1:25" ht="20.100000000000001" customHeight="1" x14ac:dyDescent="0.25">
      <c r="A200" s="90"/>
      <c r="B200" s="90"/>
      <c r="C200" s="90"/>
      <c r="D200" s="139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>
        <f t="shared" si="10"/>
        <v>0</v>
      </c>
      <c r="X200" s="81"/>
      <c r="Y200" s="150">
        <f t="shared" si="11"/>
        <v>0</v>
      </c>
    </row>
    <row r="201" spans="1:25" ht="20.100000000000001" customHeight="1" x14ac:dyDescent="0.25">
      <c r="A201" s="90"/>
      <c r="B201" s="90"/>
      <c r="C201" s="90"/>
      <c r="D201" s="139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>
        <f t="shared" si="10"/>
        <v>0</v>
      </c>
      <c r="X201" s="81"/>
      <c r="Y201" s="150">
        <f t="shared" si="11"/>
        <v>0</v>
      </c>
    </row>
    <row r="202" spans="1:25" ht="20.100000000000001" customHeight="1" x14ac:dyDescent="0.25">
      <c r="A202" s="90"/>
      <c r="B202" s="90"/>
      <c r="C202" s="90"/>
      <c r="D202" s="139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>
        <f t="shared" si="10"/>
        <v>0</v>
      </c>
      <c r="X202" s="81"/>
      <c r="Y202" s="150">
        <f t="shared" si="11"/>
        <v>0</v>
      </c>
    </row>
    <row r="203" spans="1:25" ht="20.100000000000001" customHeight="1" x14ac:dyDescent="0.25">
      <c r="A203" s="90"/>
      <c r="B203" s="90"/>
      <c r="C203" s="90"/>
      <c r="D203" s="139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>
        <f t="shared" si="10"/>
        <v>0</v>
      </c>
      <c r="X203" s="81"/>
      <c r="Y203" s="150">
        <f t="shared" si="11"/>
        <v>0</v>
      </c>
    </row>
    <row r="204" spans="1:25" ht="20.100000000000001" customHeight="1" x14ac:dyDescent="0.25">
      <c r="A204" s="90"/>
      <c r="B204" s="90"/>
      <c r="C204" s="90"/>
      <c r="D204" s="139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>
        <f t="shared" si="10"/>
        <v>0</v>
      </c>
      <c r="X204" s="81"/>
      <c r="Y204" s="150">
        <f t="shared" si="11"/>
        <v>0</v>
      </c>
    </row>
    <row r="205" spans="1:25" ht="20.100000000000001" customHeight="1" x14ac:dyDescent="0.25">
      <c r="A205" s="90"/>
      <c r="B205" s="90"/>
      <c r="C205" s="90"/>
      <c r="D205" s="139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>
        <f t="shared" si="10"/>
        <v>0</v>
      </c>
      <c r="X205" s="81"/>
      <c r="Y205" s="150">
        <f t="shared" si="11"/>
        <v>0</v>
      </c>
    </row>
    <row r="206" spans="1:25" ht="20.100000000000001" customHeight="1" x14ac:dyDescent="0.25">
      <c r="A206" s="90"/>
      <c r="B206" s="90"/>
      <c r="C206" s="90"/>
      <c r="D206" s="139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>
        <f t="shared" si="10"/>
        <v>0</v>
      </c>
      <c r="X206" s="81"/>
      <c r="Y206" s="150">
        <f t="shared" si="11"/>
        <v>0</v>
      </c>
    </row>
    <row r="207" spans="1:25" ht="20.100000000000001" customHeight="1" x14ac:dyDescent="0.25">
      <c r="A207" s="90"/>
      <c r="B207" s="90"/>
      <c r="C207" s="90"/>
      <c r="D207" s="139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>
        <f t="shared" si="10"/>
        <v>0</v>
      </c>
      <c r="X207" s="81"/>
      <c r="Y207" s="150">
        <f t="shared" si="11"/>
        <v>0</v>
      </c>
    </row>
    <row r="208" spans="1:25" ht="20.100000000000001" customHeight="1" x14ac:dyDescent="0.25">
      <c r="A208" s="90"/>
      <c r="B208" s="90"/>
      <c r="C208" s="90"/>
      <c r="D208" s="139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>
        <f t="shared" si="10"/>
        <v>0</v>
      </c>
      <c r="X208" s="81"/>
      <c r="Y208" s="150">
        <f t="shared" si="11"/>
        <v>0</v>
      </c>
    </row>
    <row r="209" spans="1:25" ht="20.100000000000001" customHeight="1" x14ac:dyDescent="0.25">
      <c r="A209" s="90"/>
      <c r="B209" s="90"/>
      <c r="C209" s="90"/>
      <c r="D209" s="139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>
        <f t="shared" si="10"/>
        <v>0</v>
      </c>
      <c r="X209" s="81"/>
      <c r="Y209" s="150">
        <f t="shared" si="11"/>
        <v>0</v>
      </c>
    </row>
    <row r="210" spans="1:25" ht="20.100000000000001" customHeight="1" x14ac:dyDescent="0.25">
      <c r="A210" s="90"/>
      <c r="B210" s="90"/>
      <c r="C210" s="90"/>
      <c r="D210" s="139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>
        <f t="shared" si="10"/>
        <v>0</v>
      </c>
      <c r="X210" s="81"/>
      <c r="Y210" s="150">
        <f t="shared" si="11"/>
        <v>0</v>
      </c>
    </row>
    <row r="211" spans="1:25" ht="20.100000000000001" customHeight="1" x14ac:dyDescent="0.25">
      <c r="A211" s="90"/>
      <c r="B211" s="90"/>
      <c r="C211" s="90"/>
      <c r="D211" s="139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>
        <f t="shared" si="10"/>
        <v>0</v>
      </c>
      <c r="X211" s="81"/>
      <c r="Y211" s="150">
        <f t="shared" si="11"/>
        <v>0</v>
      </c>
    </row>
    <row r="212" spans="1:25" ht="20.100000000000001" customHeight="1" x14ac:dyDescent="0.25">
      <c r="A212" s="90"/>
      <c r="B212" s="90"/>
      <c r="C212" s="90"/>
      <c r="D212" s="139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>
        <f t="shared" si="10"/>
        <v>0</v>
      </c>
      <c r="X212" s="81"/>
      <c r="Y212" s="150">
        <f t="shared" si="11"/>
        <v>0</v>
      </c>
    </row>
    <row r="213" spans="1:25" ht="20.100000000000001" customHeight="1" x14ac:dyDescent="0.25">
      <c r="A213" s="90"/>
      <c r="B213" s="90"/>
      <c r="C213" s="90"/>
      <c r="D213" s="139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>
        <f t="shared" si="10"/>
        <v>0</v>
      </c>
      <c r="X213" s="81"/>
      <c r="Y213" s="150">
        <f t="shared" si="11"/>
        <v>0</v>
      </c>
    </row>
    <row r="214" spans="1:25" ht="20.100000000000001" customHeight="1" x14ac:dyDescent="0.25">
      <c r="A214" s="90"/>
      <c r="B214" s="90"/>
      <c r="C214" s="90"/>
      <c r="D214" s="139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>
        <f t="shared" si="10"/>
        <v>0</v>
      </c>
      <c r="X214" s="81"/>
      <c r="Y214" s="150">
        <f t="shared" si="11"/>
        <v>0</v>
      </c>
    </row>
    <row r="215" spans="1:25" ht="20.100000000000001" customHeight="1" x14ac:dyDescent="0.25">
      <c r="A215" s="90"/>
      <c r="B215" s="90"/>
      <c r="C215" s="90"/>
      <c r="D215" s="139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>
        <f t="shared" si="10"/>
        <v>0</v>
      </c>
      <c r="X215" s="81"/>
      <c r="Y215" s="150">
        <f t="shared" si="11"/>
        <v>0</v>
      </c>
    </row>
    <row r="216" spans="1:25" ht="20.100000000000001" customHeight="1" x14ac:dyDescent="0.25">
      <c r="A216" s="90"/>
      <c r="B216" s="90"/>
      <c r="C216" s="90"/>
      <c r="D216" s="139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>
        <f t="shared" si="10"/>
        <v>0</v>
      </c>
      <c r="X216" s="81"/>
      <c r="Y216" s="150">
        <f t="shared" ref="Y216:Y247" si="12">MAX(X216-W216,0)</f>
        <v>0</v>
      </c>
    </row>
    <row r="217" spans="1:25" ht="20.100000000000001" customHeight="1" x14ac:dyDescent="0.25">
      <c r="A217" s="90"/>
      <c r="B217" s="90"/>
      <c r="C217" s="90"/>
      <c r="D217" s="139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>
        <f t="shared" si="10"/>
        <v>0</v>
      </c>
      <c r="X217" s="81"/>
      <c r="Y217" s="150">
        <f t="shared" si="12"/>
        <v>0</v>
      </c>
    </row>
    <row r="218" spans="1:25" ht="20.100000000000001" customHeight="1" x14ac:dyDescent="0.25">
      <c r="A218" s="90"/>
      <c r="B218" s="90"/>
      <c r="C218" s="90"/>
      <c r="D218" s="139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>
        <f t="shared" si="10"/>
        <v>0</v>
      </c>
      <c r="X218" s="81"/>
      <c r="Y218" s="150">
        <f t="shared" si="12"/>
        <v>0</v>
      </c>
    </row>
    <row r="219" spans="1:25" ht="20.100000000000001" customHeight="1" x14ac:dyDescent="0.25">
      <c r="A219" s="90"/>
      <c r="B219" s="90"/>
      <c r="C219" s="90"/>
      <c r="D219" s="139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>
        <f t="shared" si="10"/>
        <v>0</v>
      </c>
      <c r="X219" s="81"/>
      <c r="Y219" s="150">
        <f t="shared" si="12"/>
        <v>0</v>
      </c>
    </row>
    <row r="220" spans="1:25" x14ac:dyDescent="0.25">
      <c r="A220" s="90"/>
      <c r="B220" s="90"/>
      <c r="C220" s="90"/>
      <c r="D220" s="139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>
        <f t="shared" si="10"/>
        <v>0</v>
      </c>
      <c r="X220" s="81"/>
      <c r="Y220" s="150">
        <f t="shared" si="12"/>
        <v>0</v>
      </c>
    </row>
    <row r="221" spans="1:25" x14ac:dyDescent="0.25">
      <c r="A221" s="90"/>
      <c r="B221" s="90"/>
      <c r="C221" s="90"/>
      <c r="D221" s="139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>
        <f t="shared" si="10"/>
        <v>0</v>
      </c>
      <c r="X221" s="81"/>
      <c r="Y221" s="150">
        <f t="shared" si="12"/>
        <v>0</v>
      </c>
    </row>
    <row r="222" spans="1:25" x14ac:dyDescent="0.25">
      <c r="A222" s="90"/>
      <c r="B222" s="90"/>
      <c r="C222" s="90"/>
      <c r="D222" s="139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>
        <f t="shared" si="10"/>
        <v>0</v>
      </c>
      <c r="X222" s="81"/>
      <c r="Y222" s="150">
        <f t="shared" si="12"/>
        <v>0</v>
      </c>
    </row>
    <row r="223" spans="1:25" x14ac:dyDescent="0.25">
      <c r="A223" s="90"/>
      <c r="B223" s="90"/>
      <c r="C223" s="90"/>
      <c r="D223" s="139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>
        <f t="shared" si="10"/>
        <v>0</v>
      </c>
      <c r="X223" s="81"/>
      <c r="Y223" s="150">
        <f t="shared" si="12"/>
        <v>0</v>
      </c>
    </row>
    <row r="224" spans="1:25" x14ac:dyDescent="0.25">
      <c r="A224" s="90"/>
      <c r="B224" s="90"/>
      <c r="C224" s="90"/>
      <c r="D224" s="139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>
        <f t="shared" si="10"/>
        <v>0</v>
      </c>
      <c r="X224" s="81"/>
      <c r="Y224" s="150">
        <f t="shared" si="12"/>
        <v>0</v>
      </c>
    </row>
    <row r="225" spans="1:25" x14ac:dyDescent="0.25">
      <c r="A225" s="90"/>
      <c r="B225" s="90"/>
      <c r="C225" s="90"/>
      <c r="D225" s="139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>
        <f t="shared" si="10"/>
        <v>0</v>
      </c>
      <c r="X225" s="81"/>
      <c r="Y225" s="150">
        <f t="shared" si="12"/>
        <v>0</v>
      </c>
    </row>
    <row r="226" spans="1:25" x14ac:dyDescent="0.25">
      <c r="A226" s="90"/>
      <c r="B226" s="90"/>
      <c r="C226" s="90"/>
      <c r="D226" s="139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>
        <f t="shared" si="10"/>
        <v>0</v>
      </c>
      <c r="X226" s="81"/>
      <c r="Y226" s="150">
        <f t="shared" si="12"/>
        <v>0</v>
      </c>
    </row>
    <row r="227" spans="1:25" x14ac:dyDescent="0.25">
      <c r="A227" s="90"/>
      <c r="B227" s="90"/>
      <c r="C227" s="90"/>
      <c r="D227" s="139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>
        <f t="shared" si="10"/>
        <v>0</v>
      </c>
      <c r="X227" s="81"/>
      <c r="Y227" s="150">
        <f t="shared" si="12"/>
        <v>0</v>
      </c>
    </row>
    <row r="228" spans="1:25" x14ac:dyDescent="0.25">
      <c r="A228" s="90"/>
      <c r="B228" s="90"/>
      <c r="C228" s="90"/>
      <c r="D228" s="139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>
        <f t="shared" si="10"/>
        <v>0</v>
      </c>
      <c r="X228" s="81"/>
      <c r="Y228" s="150">
        <f t="shared" si="12"/>
        <v>0</v>
      </c>
    </row>
    <row r="229" spans="1:25" x14ac:dyDescent="0.25">
      <c r="A229" s="90"/>
      <c r="B229" s="90"/>
      <c r="C229" s="90"/>
      <c r="D229" s="139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>
        <f t="shared" si="10"/>
        <v>0</v>
      </c>
      <c r="X229" s="81"/>
      <c r="Y229" s="150">
        <f t="shared" si="12"/>
        <v>0</v>
      </c>
    </row>
    <row r="230" spans="1:25" x14ac:dyDescent="0.25">
      <c r="A230" s="90"/>
      <c r="B230" s="90"/>
      <c r="C230" s="90"/>
      <c r="D230" s="139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>
        <f t="shared" si="10"/>
        <v>0</v>
      </c>
      <c r="X230" s="81"/>
      <c r="Y230" s="150">
        <f t="shared" si="12"/>
        <v>0</v>
      </c>
    </row>
    <row r="231" spans="1:25" x14ac:dyDescent="0.25">
      <c r="A231" s="90"/>
      <c r="B231" s="90"/>
      <c r="C231" s="90"/>
      <c r="D231" s="139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>
        <f t="shared" si="10"/>
        <v>0</v>
      </c>
      <c r="X231" s="81"/>
      <c r="Y231" s="150">
        <f t="shared" si="12"/>
        <v>0</v>
      </c>
    </row>
    <row r="232" spans="1:25" x14ac:dyDescent="0.25">
      <c r="A232" s="90"/>
      <c r="B232" s="90"/>
      <c r="C232" s="90"/>
      <c r="D232" s="139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>
        <f t="shared" si="10"/>
        <v>0</v>
      </c>
      <c r="X232" s="81"/>
      <c r="Y232" s="150">
        <f t="shared" si="12"/>
        <v>0</v>
      </c>
    </row>
    <row r="233" spans="1:25" x14ac:dyDescent="0.25">
      <c r="A233" s="90"/>
      <c r="B233" s="90"/>
      <c r="C233" s="90"/>
      <c r="D233" s="139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>
        <f t="shared" si="10"/>
        <v>0</v>
      </c>
      <c r="X233" s="81"/>
      <c r="Y233" s="150">
        <f t="shared" si="12"/>
        <v>0</v>
      </c>
    </row>
    <row r="234" spans="1:25" x14ac:dyDescent="0.25">
      <c r="A234" s="90"/>
      <c r="B234" s="90"/>
      <c r="C234" s="90"/>
      <c r="D234" s="139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>
        <f t="shared" si="10"/>
        <v>0</v>
      </c>
      <c r="X234" s="81"/>
      <c r="Y234" s="150">
        <f t="shared" si="12"/>
        <v>0</v>
      </c>
    </row>
    <row r="235" spans="1:25" x14ac:dyDescent="0.25">
      <c r="A235" s="90"/>
      <c r="B235" s="90"/>
      <c r="C235" s="90"/>
      <c r="D235" s="139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>
        <f t="shared" si="10"/>
        <v>0</v>
      </c>
      <c r="X235" s="81"/>
      <c r="Y235" s="150">
        <f t="shared" si="12"/>
        <v>0</v>
      </c>
    </row>
    <row r="236" spans="1:25" x14ac:dyDescent="0.25">
      <c r="A236" s="90"/>
      <c r="B236" s="90"/>
      <c r="C236" s="90"/>
      <c r="D236" s="139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>
        <f t="shared" si="10"/>
        <v>0</v>
      </c>
      <c r="X236" s="81"/>
      <c r="Y236" s="150">
        <f t="shared" si="12"/>
        <v>0</v>
      </c>
    </row>
    <row r="237" spans="1:25" x14ac:dyDescent="0.25">
      <c r="A237" s="90"/>
      <c r="B237" s="90"/>
      <c r="C237" s="90"/>
      <c r="D237" s="139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>
        <f t="shared" si="10"/>
        <v>0</v>
      </c>
      <c r="X237" s="81"/>
      <c r="Y237" s="150">
        <f t="shared" si="12"/>
        <v>0</v>
      </c>
    </row>
    <row r="238" spans="1:25" x14ac:dyDescent="0.25">
      <c r="A238" s="90"/>
      <c r="B238" s="90"/>
      <c r="C238" s="90"/>
      <c r="D238" s="139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>
        <f t="shared" si="10"/>
        <v>0</v>
      </c>
      <c r="X238" s="81"/>
      <c r="Y238" s="150">
        <f t="shared" si="12"/>
        <v>0</v>
      </c>
    </row>
    <row r="239" spans="1:25" x14ac:dyDescent="0.25">
      <c r="A239" s="90"/>
      <c r="B239" s="90"/>
      <c r="C239" s="90"/>
      <c r="D239" s="139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>
        <f t="shared" si="10"/>
        <v>0</v>
      </c>
      <c r="X239" s="81"/>
      <c r="Y239" s="150">
        <f t="shared" si="12"/>
        <v>0</v>
      </c>
    </row>
    <row r="240" spans="1:25" x14ac:dyDescent="0.25">
      <c r="A240" s="90"/>
      <c r="B240" s="90"/>
      <c r="C240" s="90"/>
      <c r="D240" s="139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>
        <f t="shared" si="10"/>
        <v>0</v>
      </c>
      <c r="X240" s="81"/>
      <c r="Y240" s="150">
        <f t="shared" si="12"/>
        <v>0</v>
      </c>
    </row>
    <row r="241" spans="1:25" x14ac:dyDescent="0.25">
      <c r="A241" s="90"/>
      <c r="B241" s="90"/>
      <c r="C241" s="90"/>
      <c r="D241" s="139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>
        <f t="shared" si="10"/>
        <v>0</v>
      </c>
      <c r="X241" s="81"/>
      <c r="Y241" s="150">
        <f t="shared" si="12"/>
        <v>0</v>
      </c>
    </row>
    <row r="242" spans="1:25" x14ac:dyDescent="0.25">
      <c r="A242" s="90"/>
      <c r="B242" s="90"/>
      <c r="C242" s="90"/>
      <c r="D242" s="139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>
        <f t="shared" si="10"/>
        <v>0</v>
      </c>
      <c r="X242" s="81"/>
      <c r="Y242" s="150">
        <f t="shared" si="12"/>
        <v>0</v>
      </c>
    </row>
    <row r="243" spans="1:25" x14ac:dyDescent="0.25">
      <c r="A243" s="90"/>
      <c r="B243" s="90"/>
      <c r="C243" s="90"/>
      <c r="D243" s="139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>
        <f t="shared" si="10"/>
        <v>0</v>
      </c>
      <c r="X243" s="81"/>
      <c r="Y243" s="150">
        <f t="shared" si="12"/>
        <v>0</v>
      </c>
    </row>
    <row r="244" spans="1:25" x14ac:dyDescent="0.25">
      <c r="A244" s="90"/>
      <c r="B244" s="90"/>
      <c r="C244" s="90"/>
      <c r="D244" s="139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>
        <f t="shared" si="10"/>
        <v>0</v>
      </c>
      <c r="X244" s="81"/>
      <c r="Y244" s="150">
        <f t="shared" si="12"/>
        <v>0</v>
      </c>
    </row>
    <row r="245" spans="1:25" x14ac:dyDescent="0.25">
      <c r="A245" s="90"/>
      <c r="B245" s="90"/>
      <c r="C245" s="90"/>
      <c r="D245" s="139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>
        <f t="shared" si="10"/>
        <v>0</v>
      </c>
      <c r="X245" s="81"/>
      <c r="Y245" s="150">
        <f t="shared" si="12"/>
        <v>0</v>
      </c>
    </row>
    <row r="246" spans="1:25" x14ac:dyDescent="0.25">
      <c r="A246" s="90"/>
      <c r="B246" s="90"/>
      <c r="C246" s="90"/>
      <c r="D246" s="139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>
        <f t="shared" si="10"/>
        <v>0</v>
      </c>
      <c r="X246" s="81"/>
      <c r="Y246" s="150">
        <f t="shared" si="12"/>
        <v>0</v>
      </c>
    </row>
    <row r="247" spans="1:25" x14ac:dyDescent="0.25">
      <c r="A247" s="90"/>
      <c r="B247" s="90"/>
      <c r="C247" s="90"/>
      <c r="D247" s="139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>
        <f t="shared" si="10"/>
        <v>0</v>
      </c>
      <c r="X247" s="81"/>
      <c r="Y247" s="150">
        <f t="shared" si="12"/>
        <v>0</v>
      </c>
    </row>
    <row r="248" spans="1:25" x14ac:dyDescent="0.25">
      <c r="A248" s="90"/>
      <c r="B248" s="90"/>
      <c r="C248" s="90"/>
      <c r="D248" s="139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>
        <f t="shared" si="10"/>
        <v>0</v>
      </c>
      <c r="X248" s="81"/>
      <c r="Y248" s="150">
        <f t="shared" ref="Y248:Y279" si="13">MAX(X248-W248,0)</f>
        <v>0</v>
      </c>
    </row>
    <row r="249" spans="1:25" x14ac:dyDescent="0.25">
      <c r="A249" s="90"/>
      <c r="B249" s="90"/>
      <c r="C249" s="90"/>
      <c r="D249" s="139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>
        <f t="shared" si="10"/>
        <v>0</v>
      </c>
      <c r="X249" s="81"/>
      <c r="Y249" s="150">
        <f t="shared" si="13"/>
        <v>0</v>
      </c>
    </row>
    <row r="250" spans="1:25" x14ac:dyDescent="0.25">
      <c r="A250" s="90"/>
      <c r="B250" s="90"/>
      <c r="C250" s="90"/>
      <c r="D250" s="139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>
        <f t="shared" si="10"/>
        <v>0</v>
      </c>
      <c r="X250" s="81"/>
      <c r="Y250" s="150">
        <f t="shared" si="13"/>
        <v>0</v>
      </c>
    </row>
    <row r="251" spans="1:25" x14ac:dyDescent="0.25">
      <c r="A251" s="90"/>
      <c r="B251" s="90"/>
      <c r="C251" s="90"/>
      <c r="D251" s="139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>
        <f t="shared" si="10"/>
        <v>0</v>
      </c>
      <c r="X251" s="81"/>
      <c r="Y251" s="150">
        <f t="shared" si="13"/>
        <v>0</v>
      </c>
    </row>
    <row r="252" spans="1:25" x14ac:dyDescent="0.25">
      <c r="A252" s="90"/>
      <c r="B252" s="90"/>
      <c r="C252" s="90"/>
      <c r="D252" s="139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>
        <f t="shared" si="10"/>
        <v>0</v>
      </c>
      <c r="X252" s="81"/>
      <c r="Y252" s="150">
        <f t="shared" si="13"/>
        <v>0</v>
      </c>
    </row>
    <row r="253" spans="1:25" x14ac:dyDescent="0.25">
      <c r="A253" s="90"/>
      <c r="B253" s="90"/>
      <c r="C253" s="90"/>
      <c r="D253" s="139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>
        <f t="shared" si="10"/>
        <v>0</v>
      </c>
      <c r="X253" s="81"/>
      <c r="Y253" s="150">
        <f t="shared" si="13"/>
        <v>0</v>
      </c>
    </row>
    <row r="254" spans="1:25" x14ac:dyDescent="0.25">
      <c r="A254" s="90"/>
      <c r="B254" s="90"/>
      <c r="C254" s="90"/>
      <c r="D254" s="139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>
        <f t="shared" si="10"/>
        <v>0</v>
      </c>
      <c r="X254" s="81"/>
      <c r="Y254" s="150">
        <f t="shared" si="13"/>
        <v>0</v>
      </c>
    </row>
    <row r="255" spans="1:25" x14ac:dyDescent="0.25">
      <c r="A255" s="90"/>
      <c r="B255" s="90"/>
      <c r="C255" s="90"/>
      <c r="D255" s="139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>
        <f t="shared" si="10"/>
        <v>0</v>
      </c>
      <c r="X255" s="81"/>
      <c r="Y255" s="150">
        <f t="shared" si="13"/>
        <v>0</v>
      </c>
    </row>
    <row r="256" spans="1:25" x14ac:dyDescent="0.25">
      <c r="A256" s="90"/>
      <c r="B256" s="90"/>
      <c r="C256" s="90"/>
      <c r="D256" s="139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>
        <f t="shared" si="10"/>
        <v>0</v>
      </c>
      <c r="X256" s="81"/>
      <c r="Y256" s="150">
        <f t="shared" si="13"/>
        <v>0</v>
      </c>
    </row>
    <row r="257" spans="1:25" x14ac:dyDescent="0.25">
      <c r="A257" s="90"/>
      <c r="B257" s="90"/>
      <c r="C257" s="90"/>
      <c r="D257" s="139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>
        <f t="shared" si="10"/>
        <v>0</v>
      </c>
      <c r="X257" s="81"/>
      <c r="Y257" s="150">
        <f t="shared" si="13"/>
        <v>0</v>
      </c>
    </row>
    <row r="258" spans="1:25" x14ac:dyDescent="0.25">
      <c r="A258" s="90"/>
      <c r="B258" s="90"/>
      <c r="C258" s="90"/>
      <c r="D258" s="139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>
        <f t="shared" si="10"/>
        <v>0</v>
      </c>
      <c r="X258" s="81"/>
      <c r="Y258" s="150">
        <f t="shared" si="13"/>
        <v>0</v>
      </c>
    </row>
    <row r="259" spans="1:25" x14ac:dyDescent="0.25">
      <c r="A259" s="90"/>
      <c r="B259" s="90"/>
      <c r="C259" s="90"/>
      <c r="D259" s="139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>
        <f t="shared" si="10"/>
        <v>0</v>
      </c>
      <c r="X259" s="81"/>
      <c r="Y259" s="150">
        <f t="shared" si="13"/>
        <v>0</v>
      </c>
    </row>
    <row r="260" spans="1:25" x14ac:dyDescent="0.25">
      <c r="A260" s="90"/>
      <c r="B260" s="90"/>
      <c r="C260" s="90"/>
      <c r="D260" s="139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>
        <f t="shared" ref="W260:W322" si="14">SUM(E260:T260)</f>
        <v>0</v>
      </c>
      <c r="X260" s="81"/>
      <c r="Y260" s="150">
        <f t="shared" si="13"/>
        <v>0</v>
      </c>
    </row>
    <row r="261" spans="1:25" x14ac:dyDescent="0.25">
      <c r="A261" s="90"/>
      <c r="B261" s="90"/>
      <c r="C261" s="90"/>
      <c r="D261" s="139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>
        <f t="shared" si="14"/>
        <v>0</v>
      </c>
      <c r="X261" s="81"/>
      <c r="Y261" s="150">
        <f t="shared" si="13"/>
        <v>0</v>
      </c>
    </row>
    <row r="262" spans="1:25" x14ac:dyDescent="0.25">
      <c r="A262" s="90"/>
      <c r="B262" s="90"/>
      <c r="C262" s="90"/>
      <c r="D262" s="139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>
        <f t="shared" si="14"/>
        <v>0</v>
      </c>
      <c r="X262" s="81"/>
      <c r="Y262" s="150">
        <f t="shared" si="13"/>
        <v>0</v>
      </c>
    </row>
    <row r="263" spans="1:25" x14ac:dyDescent="0.25">
      <c r="A263" s="90"/>
      <c r="B263" s="90"/>
      <c r="C263" s="90"/>
      <c r="D263" s="139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>
        <f t="shared" si="14"/>
        <v>0</v>
      </c>
      <c r="X263" s="81"/>
      <c r="Y263" s="150">
        <f t="shared" si="13"/>
        <v>0</v>
      </c>
    </row>
    <row r="264" spans="1:25" x14ac:dyDescent="0.25">
      <c r="A264" s="90"/>
      <c r="B264" s="90"/>
      <c r="C264" s="90"/>
      <c r="D264" s="139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>
        <f t="shared" si="14"/>
        <v>0</v>
      </c>
      <c r="X264" s="81"/>
      <c r="Y264" s="150">
        <f t="shared" si="13"/>
        <v>0</v>
      </c>
    </row>
    <row r="265" spans="1:25" x14ac:dyDescent="0.25">
      <c r="A265" s="90"/>
      <c r="B265" s="90"/>
      <c r="C265" s="90"/>
      <c r="D265" s="139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>
        <f t="shared" si="14"/>
        <v>0</v>
      </c>
      <c r="X265" s="81"/>
      <c r="Y265" s="150">
        <f t="shared" si="13"/>
        <v>0</v>
      </c>
    </row>
    <row r="266" spans="1:25" x14ac:dyDescent="0.25">
      <c r="A266" s="90"/>
      <c r="B266" s="90"/>
      <c r="C266" s="90"/>
      <c r="D266" s="139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>
        <f t="shared" si="14"/>
        <v>0</v>
      </c>
      <c r="X266" s="81"/>
      <c r="Y266" s="150">
        <f t="shared" si="13"/>
        <v>0</v>
      </c>
    </row>
    <row r="267" spans="1:25" x14ac:dyDescent="0.25">
      <c r="A267" s="90"/>
      <c r="B267" s="90"/>
      <c r="C267" s="90"/>
      <c r="D267" s="139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>
        <f t="shared" si="14"/>
        <v>0</v>
      </c>
      <c r="X267" s="81"/>
      <c r="Y267" s="150">
        <f t="shared" si="13"/>
        <v>0</v>
      </c>
    </row>
    <row r="268" spans="1:25" x14ac:dyDescent="0.25">
      <c r="A268" s="90"/>
      <c r="B268" s="90"/>
      <c r="C268" s="90"/>
      <c r="D268" s="139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>
        <f t="shared" si="14"/>
        <v>0</v>
      </c>
      <c r="X268" s="81"/>
      <c r="Y268" s="150">
        <f t="shared" si="13"/>
        <v>0</v>
      </c>
    </row>
    <row r="269" spans="1:25" x14ac:dyDescent="0.25">
      <c r="A269" s="90"/>
      <c r="B269" s="90"/>
      <c r="C269" s="90"/>
      <c r="D269" s="139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>
        <f t="shared" si="14"/>
        <v>0</v>
      </c>
      <c r="X269" s="81"/>
      <c r="Y269" s="150">
        <f t="shared" si="13"/>
        <v>0</v>
      </c>
    </row>
    <row r="270" spans="1:25" x14ac:dyDescent="0.25">
      <c r="A270" s="90"/>
      <c r="B270" s="90"/>
      <c r="C270" s="90"/>
      <c r="D270" s="139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>
        <f t="shared" si="14"/>
        <v>0</v>
      </c>
      <c r="X270" s="81"/>
      <c r="Y270" s="150">
        <f t="shared" si="13"/>
        <v>0</v>
      </c>
    </row>
    <row r="271" spans="1:25" x14ac:dyDescent="0.25">
      <c r="A271" s="90"/>
      <c r="B271" s="90"/>
      <c r="C271" s="90"/>
      <c r="D271" s="139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>
        <f t="shared" si="14"/>
        <v>0</v>
      </c>
      <c r="X271" s="81"/>
      <c r="Y271" s="150">
        <f t="shared" si="13"/>
        <v>0</v>
      </c>
    </row>
    <row r="272" spans="1:25" x14ac:dyDescent="0.25">
      <c r="A272" s="90"/>
      <c r="B272" s="90"/>
      <c r="C272" s="90"/>
      <c r="D272" s="139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>
        <f t="shared" si="14"/>
        <v>0</v>
      </c>
      <c r="X272" s="81"/>
      <c r="Y272" s="150">
        <f t="shared" si="13"/>
        <v>0</v>
      </c>
    </row>
    <row r="273" spans="1:25" x14ac:dyDescent="0.25">
      <c r="A273" s="90"/>
      <c r="B273" s="90"/>
      <c r="C273" s="90"/>
      <c r="D273" s="139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>
        <f t="shared" si="14"/>
        <v>0</v>
      </c>
      <c r="X273" s="81"/>
      <c r="Y273" s="150">
        <f t="shared" si="13"/>
        <v>0</v>
      </c>
    </row>
    <row r="274" spans="1:25" x14ac:dyDescent="0.25">
      <c r="A274" s="90"/>
      <c r="B274" s="90"/>
      <c r="C274" s="90"/>
      <c r="D274" s="139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>
        <f t="shared" si="14"/>
        <v>0</v>
      </c>
      <c r="X274" s="81"/>
      <c r="Y274" s="150">
        <f t="shared" si="13"/>
        <v>0</v>
      </c>
    </row>
    <row r="275" spans="1:25" x14ac:dyDescent="0.25">
      <c r="A275" s="90"/>
      <c r="B275" s="90"/>
      <c r="C275" s="90"/>
      <c r="D275" s="139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>
        <f t="shared" si="14"/>
        <v>0</v>
      </c>
      <c r="X275" s="81"/>
      <c r="Y275" s="150">
        <f t="shared" si="13"/>
        <v>0</v>
      </c>
    </row>
    <row r="276" spans="1:25" x14ac:dyDescent="0.25">
      <c r="A276" s="90"/>
      <c r="B276" s="90"/>
      <c r="C276" s="90"/>
      <c r="D276" s="139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>
        <f t="shared" si="14"/>
        <v>0</v>
      </c>
      <c r="X276" s="81"/>
      <c r="Y276" s="150">
        <f t="shared" si="13"/>
        <v>0</v>
      </c>
    </row>
    <row r="277" spans="1:25" x14ac:dyDescent="0.25">
      <c r="A277" s="90"/>
      <c r="B277" s="90"/>
      <c r="C277" s="90"/>
      <c r="D277" s="139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>
        <f t="shared" si="14"/>
        <v>0</v>
      </c>
      <c r="X277" s="81"/>
      <c r="Y277" s="150">
        <f t="shared" si="13"/>
        <v>0</v>
      </c>
    </row>
    <row r="278" spans="1:25" x14ac:dyDescent="0.25">
      <c r="A278" s="90"/>
      <c r="B278" s="90"/>
      <c r="C278" s="90"/>
      <c r="D278" s="139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>
        <f t="shared" si="14"/>
        <v>0</v>
      </c>
      <c r="X278" s="81"/>
      <c r="Y278" s="150">
        <f t="shared" si="13"/>
        <v>0</v>
      </c>
    </row>
    <row r="279" spans="1:25" x14ac:dyDescent="0.25">
      <c r="A279" s="90"/>
      <c r="B279" s="90"/>
      <c r="C279" s="90"/>
      <c r="D279" s="139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>
        <f t="shared" si="14"/>
        <v>0</v>
      </c>
      <c r="X279" s="81"/>
      <c r="Y279" s="150">
        <f t="shared" si="13"/>
        <v>0</v>
      </c>
    </row>
    <row r="280" spans="1:25" x14ac:dyDescent="0.25">
      <c r="A280" s="90"/>
      <c r="B280" s="90"/>
      <c r="C280" s="90"/>
      <c r="D280" s="139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>
        <f t="shared" si="14"/>
        <v>0</v>
      </c>
      <c r="X280" s="81"/>
      <c r="Y280" s="150">
        <f t="shared" ref="Y280:Y311" si="15">MAX(X280-W280,0)</f>
        <v>0</v>
      </c>
    </row>
    <row r="281" spans="1:25" x14ac:dyDescent="0.25">
      <c r="A281" s="90"/>
      <c r="B281" s="90"/>
      <c r="C281" s="90"/>
      <c r="D281" s="139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>
        <f t="shared" si="14"/>
        <v>0</v>
      </c>
      <c r="X281" s="81"/>
      <c r="Y281" s="150">
        <f t="shared" si="15"/>
        <v>0</v>
      </c>
    </row>
    <row r="282" spans="1:25" x14ac:dyDescent="0.25">
      <c r="A282" s="90"/>
      <c r="B282" s="90"/>
      <c r="C282" s="90"/>
      <c r="D282" s="139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>
        <f t="shared" si="14"/>
        <v>0</v>
      </c>
      <c r="X282" s="81"/>
      <c r="Y282" s="150">
        <f t="shared" si="15"/>
        <v>0</v>
      </c>
    </row>
    <row r="283" spans="1:25" x14ac:dyDescent="0.25">
      <c r="A283" s="90"/>
      <c r="B283" s="90"/>
      <c r="C283" s="90"/>
      <c r="D283" s="139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>
        <f t="shared" si="14"/>
        <v>0</v>
      </c>
      <c r="X283" s="81"/>
      <c r="Y283" s="150">
        <f t="shared" si="15"/>
        <v>0</v>
      </c>
    </row>
    <row r="284" spans="1:25" x14ac:dyDescent="0.25">
      <c r="A284" s="90"/>
      <c r="B284" s="90"/>
      <c r="C284" s="90"/>
      <c r="D284" s="139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>
        <f t="shared" si="14"/>
        <v>0</v>
      </c>
      <c r="X284" s="81"/>
      <c r="Y284" s="150">
        <f t="shared" si="15"/>
        <v>0</v>
      </c>
    </row>
    <row r="285" spans="1:25" x14ac:dyDescent="0.25">
      <c r="A285" s="90"/>
      <c r="B285" s="90"/>
      <c r="C285" s="90"/>
      <c r="D285" s="139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>
        <f t="shared" si="14"/>
        <v>0</v>
      </c>
      <c r="X285" s="81"/>
      <c r="Y285" s="150">
        <f t="shared" si="15"/>
        <v>0</v>
      </c>
    </row>
    <row r="286" spans="1:25" x14ac:dyDescent="0.25">
      <c r="A286" s="90"/>
      <c r="B286" s="90"/>
      <c r="C286" s="90"/>
      <c r="D286" s="139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>
        <f t="shared" si="14"/>
        <v>0</v>
      </c>
      <c r="X286" s="81"/>
      <c r="Y286" s="150">
        <f t="shared" si="15"/>
        <v>0</v>
      </c>
    </row>
    <row r="287" spans="1:25" x14ac:dyDescent="0.25">
      <c r="A287" s="90"/>
      <c r="B287" s="90"/>
      <c r="C287" s="90"/>
      <c r="D287" s="139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>
        <f t="shared" si="14"/>
        <v>0</v>
      </c>
      <c r="X287" s="81"/>
      <c r="Y287" s="150">
        <f t="shared" si="15"/>
        <v>0</v>
      </c>
    </row>
    <row r="288" spans="1:25" x14ac:dyDescent="0.25">
      <c r="A288" s="90"/>
      <c r="B288" s="90"/>
      <c r="C288" s="90"/>
      <c r="D288" s="139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>
        <f t="shared" si="14"/>
        <v>0</v>
      </c>
      <c r="X288" s="81"/>
      <c r="Y288" s="150">
        <f t="shared" si="15"/>
        <v>0</v>
      </c>
    </row>
    <row r="289" spans="1:25" x14ac:dyDescent="0.25">
      <c r="A289" s="90"/>
      <c r="B289" s="90"/>
      <c r="C289" s="90"/>
      <c r="D289" s="139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>
        <f t="shared" si="14"/>
        <v>0</v>
      </c>
      <c r="X289" s="81"/>
      <c r="Y289" s="150">
        <f t="shared" si="15"/>
        <v>0</v>
      </c>
    </row>
    <row r="290" spans="1:25" x14ac:dyDescent="0.25">
      <c r="A290" s="90"/>
      <c r="B290" s="90"/>
      <c r="C290" s="90"/>
      <c r="D290" s="139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>
        <f t="shared" si="14"/>
        <v>0</v>
      </c>
      <c r="X290" s="81"/>
      <c r="Y290" s="150">
        <f t="shared" si="15"/>
        <v>0</v>
      </c>
    </row>
    <row r="291" spans="1:25" x14ac:dyDescent="0.25">
      <c r="A291" s="90"/>
      <c r="B291" s="90"/>
      <c r="C291" s="90"/>
      <c r="D291" s="139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>
        <f t="shared" si="14"/>
        <v>0</v>
      </c>
      <c r="X291" s="81"/>
      <c r="Y291" s="150">
        <f t="shared" si="15"/>
        <v>0</v>
      </c>
    </row>
    <row r="292" spans="1:25" x14ac:dyDescent="0.25">
      <c r="A292" s="90"/>
      <c r="B292" s="90"/>
      <c r="C292" s="90"/>
      <c r="D292" s="139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>
        <f t="shared" si="14"/>
        <v>0</v>
      </c>
      <c r="X292" s="81"/>
      <c r="Y292" s="150">
        <f t="shared" si="15"/>
        <v>0</v>
      </c>
    </row>
    <row r="293" spans="1:25" x14ac:dyDescent="0.25">
      <c r="A293" s="90"/>
      <c r="B293" s="90"/>
      <c r="C293" s="90"/>
      <c r="D293" s="139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>
        <f t="shared" si="14"/>
        <v>0</v>
      </c>
      <c r="X293" s="81"/>
      <c r="Y293" s="150">
        <f t="shared" si="15"/>
        <v>0</v>
      </c>
    </row>
    <row r="294" spans="1:25" x14ac:dyDescent="0.25">
      <c r="A294" s="90"/>
      <c r="B294" s="90"/>
      <c r="C294" s="90"/>
      <c r="D294" s="139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>
        <f t="shared" si="14"/>
        <v>0</v>
      </c>
      <c r="X294" s="81"/>
      <c r="Y294" s="150">
        <f t="shared" si="15"/>
        <v>0</v>
      </c>
    </row>
    <row r="295" spans="1:25" x14ac:dyDescent="0.25">
      <c r="A295" s="90"/>
      <c r="B295" s="90"/>
      <c r="C295" s="90"/>
      <c r="D295" s="139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>
        <f t="shared" si="14"/>
        <v>0</v>
      </c>
      <c r="X295" s="81"/>
      <c r="Y295" s="150">
        <f t="shared" si="15"/>
        <v>0</v>
      </c>
    </row>
    <row r="296" spans="1:25" x14ac:dyDescent="0.25">
      <c r="A296" s="90"/>
      <c r="B296" s="90"/>
      <c r="C296" s="90"/>
      <c r="D296" s="139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>
        <f t="shared" si="14"/>
        <v>0</v>
      </c>
      <c r="X296" s="81"/>
      <c r="Y296" s="150">
        <f t="shared" si="15"/>
        <v>0</v>
      </c>
    </row>
    <row r="297" spans="1:25" x14ac:dyDescent="0.25">
      <c r="A297" s="90"/>
      <c r="B297" s="90"/>
      <c r="C297" s="90"/>
      <c r="D297" s="139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>
        <f t="shared" si="14"/>
        <v>0</v>
      </c>
      <c r="X297" s="81"/>
      <c r="Y297" s="150">
        <f t="shared" si="15"/>
        <v>0</v>
      </c>
    </row>
    <row r="298" spans="1:25" x14ac:dyDescent="0.25">
      <c r="A298" s="90"/>
      <c r="B298" s="90"/>
      <c r="C298" s="90"/>
      <c r="D298" s="139"/>
      <c r="E298" s="81"/>
      <c r="F298" s="81"/>
      <c r="G298" s="81"/>
      <c r="H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>
        <f t="shared" si="14"/>
        <v>0</v>
      </c>
      <c r="X298" s="81"/>
      <c r="Y298" s="150">
        <f t="shared" si="15"/>
        <v>0</v>
      </c>
    </row>
    <row r="299" spans="1:25" x14ac:dyDescent="0.25">
      <c r="A299" s="90"/>
      <c r="B299" s="90"/>
      <c r="C299" s="90"/>
      <c r="D299" s="139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>
        <f t="shared" si="14"/>
        <v>0</v>
      </c>
      <c r="X299" s="81"/>
      <c r="Y299" s="150">
        <f t="shared" si="15"/>
        <v>0</v>
      </c>
    </row>
    <row r="300" spans="1:25" x14ac:dyDescent="0.25">
      <c r="A300" s="90"/>
      <c r="B300" s="90"/>
      <c r="C300" s="90"/>
      <c r="D300" s="139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>
        <f t="shared" si="14"/>
        <v>0</v>
      </c>
      <c r="X300" s="81"/>
      <c r="Y300" s="150">
        <f t="shared" si="15"/>
        <v>0</v>
      </c>
    </row>
    <row r="301" spans="1:25" x14ac:dyDescent="0.25">
      <c r="A301" s="90"/>
      <c r="B301" s="90"/>
      <c r="C301" s="90"/>
      <c r="D301" s="139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>
        <f t="shared" si="14"/>
        <v>0</v>
      </c>
      <c r="X301" s="81"/>
      <c r="Y301" s="150">
        <f t="shared" si="15"/>
        <v>0</v>
      </c>
    </row>
    <row r="302" spans="1:25" x14ac:dyDescent="0.25">
      <c r="A302" s="90"/>
      <c r="B302" s="90"/>
      <c r="C302" s="90"/>
      <c r="D302" s="139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>
        <f t="shared" si="14"/>
        <v>0</v>
      </c>
      <c r="X302" s="81"/>
      <c r="Y302" s="150">
        <f t="shared" si="15"/>
        <v>0</v>
      </c>
    </row>
    <row r="303" spans="1:25" x14ac:dyDescent="0.25">
      <c r="A303" s="90"/>
      <c r="B303" s="90"/>
      <c r="C303" s="90"/>
      <c r="D303" s="139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>
        <f t="shared" si="14"/>
        <v>0</v>
      </c>
      <c r="X303" s="81"/>
      <c r="Y303" s="150">
        <f t="shared" si="15"/>
        <v>0</v>
      </c>
    </row>
    <row r="304" spans="1:25" x14ac:dyDescent="0.25">
      <c r="A304" s="90"/>
      <c r="B304" s="90"/>
      <c r="C304" s="90"/>
      <c r="D304" s="139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>
        <f t="shared" si="14"/>
        <v>0</v>
      </c>
      <c r="X304" s="81"/>
      <c r="Y304" s="150">
        <f t="shared" si="15"/>
        <v>0</v>
      </c>
    </row>
    <row r="305" spans="1:25" x14ac:dyDescent="0.25">
      <c r="A305" s="90"/>
      <c r="B305" s="90"/>
      <c r="C305" s="90"/>
      <c r="D305" s="139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>
        <f t="shared" si="14"/>
        <v>0</v>
      </c>
      <c r="X305" s="81"/>
      <c r="Y305" s="150">
        <f t="shared" si="15"/>
        <v>0</v>
      </c>
    </row>
    <row r="306" spans="1:25" x14ac:dyDescent="0.25">
      <c r="A306" s="90"/>
      <c r="B306" s="90"/>
      <c r="C306" s="90"/>
      <c r="D306" s="139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>
        <f t="shared" si="14"/>
        <v>0</v>
      </c>
      <c r="X306" s="81"/>
      <c r="Y306" s="150">
        <f t="shared" si="15"/>
        <v>0</v>
      </c>
    </row>
    <row r="307" spans="1:25" x14ac:dyDescent="0.25">
      <c r="A307" s="90"/>
      <c r="B307" s="90"/>
      <c r="C307" s="90"/>
      <c r="D307" s="139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>
        <f t="shared" si="14"/>
        <v>0</v>
      </c>
      <c r="X307" s="81"/>
      <c r="Y307" s="150">
        <f t="shared" si="15"/>
        <v>0</v>
      </c>
    </row>
    <row r="308" spans="1:25" x14ac:dyDescent="0.25">
      <c r="A308" s="90"/>
      <c r="B308" s="90"/>
      <c r="C308" s="90"/>
      <c r="D308" s="139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>
        <f t="shared" si="14"/>
        <v>0</v>
      </c>
      <c r="X308" s="81"/>
      <c r="Y308" s="150">
        <f t="shared" si="15"/>
        <v>0</v>
      </c>
    </row>
    <row r="309" spans="1:25" x14ac:dyDescent="0.25">
      <c r="A309" s="90"/>
      <c r="B309" s="90"/>
      <c r="C309" s="90"/>
      <c r="D309" s="139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>
        <f t="shared" si="14"/>
        <v>0</v>
      </c>
      <c r="X309" s="81"/>
      <c r="Y309" s="150">
        <f t="shared" si="15"/>
        <v>0</v>
      </c>
    </row>
    <row r="310" spans="1:25" x14ac:dyDescent="0.25">
      <c r="A310" s="90"/>
      <c r="B310" s="90"/>
      <c r="C310" s="90"/>
      <c r="D310" s="139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>
        <f t="shared" si="14"/>
        <v>0</v>
      </c>
      <c r="X310" s="81"/>
      <c r="Y310" s="150">
        <f t="shared" si="15"/>
        <v>0</v>
      </c>
    </row>
    <row r="311" spans="1:25" x14ac:dyDescent="0.25">
      <c r="A311" s="90"/>
      <c r="B311" s="90"/>
      <c r="C311" s="90"/>
      <c r="D311" s="139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>
        <f t="shared" si="14"/>
        <v>0</v>
      </c>
      <c r="X311" s="81"/>
      <c r="Y311" s="150">
        <f t="shared" si="15"/>
        <v>0</v>
      </c>
    </row>
    <row r="312" spans="1:25" x14ac:dyDescent="0.25">
      <c r="A312" s="90"/>
      <c r="B312" s="90"/>
      <c r="C312" s="90"/>
      <c r="D312" s="139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>
        <f t="shared" si="14"/>
        <v>0</v>
      </c>
      <c r="X312" s="81"/>
      <c r="Y312" s="150">
        <f t="shared" ref="Y312:Y343" si="16">MAX(X312-W312,0)</f>
        <v>0</v>
      </c>
    </row>
    <row r="313" spans="1:25" x14ac:dyDescent="0.25">
      <c r="A313" s="90"/>
      <c r="B313" s="90"/>
      <c r="C313" s="90"/>
      <c r="D313" s="139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>
        <f t="shared" si="14"/>
        <v>0</v>
      </c>
      <c r="X313" s="81"/>
      <c r="Y313" s="150">
        <f t="shared" si="16"/>
        <v>0</v>
      </c>
    </row>
    <row r="314" spans="1:25" x14ac:dyDescent="0.25">
      <c r="A314" s="90"/>
      <c r="B314" s="90"/>
      <c r="C314" s="90"/>
      <c r="D314" s="139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>
        <f t="shared" si="14"/>
        <v>0</v>
      </c>
      <c r="X314" s="81"/>
      <c r="Y314" s="150">
        <f t="shared" si="16"/>
        <v>0</v>
      </c>
    </row>
    <row r="315" spans="1:25" x14ac:dyDescent="0.25">
      <c r="A315" s="90"/>
      <c r="B315" s="90"/>
      <c r="C315" s="90"/>
      <c r="D315" s="139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>
        <f t="shared" si="14"/>
        <v>0</v>
      </c>
      <c r="X315" s="81"/>
      <c r="Y315" s="150">
        <f t="shared" si="16"/>
        <v>0</v>
      </c>
    </row>
    <row r="316" spans="1:25" x14ac:dyDescent="0.25">
      <c r="A316" s="90"/>
      <c r="B316" s="90"/>
      <c r="C316" s="90"/>
      <c r="D316" s="139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>
        <f t="shared" si="14"/>
        <v>0</v>
      </c>
      <c r="X316" s="81"/>
      <c r="Y316" s="150">
        <f t="shared" si="16"/>
        <v>0</v>
      </c>
    </row>
    <row r="317" spans="1:25" x14ac:dyDescent="0.25">
      <c r="A317" s="90"/>
      <c r="B317" s="90"/>
      <c r="C317" s="90"/>
      <c r="D317" s="139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>
        <f t="shared" si="14"/>
        <v>0</v>
      </c>
      <c r="X317" s="81"/>
      <c r="Y317" s="150">
        <f t="shared" si="16"/>
        <v>0</v>
      </c>
    </row>
    <row r="318" spans="1:25" x14ac:dyDescent="0.25">
      <c r="B318" s="90"/>
      <c r="C318" s="90"/>
      <c r="D318" s="139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>
        <f t="shared" si="14"/>
        <v>0</v>
      </c>
      <c r="X318" s="81"/>
      <c r="Y318" s="150">
        <f t="shared" si="16"/>
        <v>0</v>
      </c>
    </row>
    <row r="319" spans="1:25" x14ac:dyDescent="0.25">
      <c r="B319" s="90"/>
      <c r="C319" s="90"/>
      <c r="D319" s="139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>
        <f t="shared" si="14"/>
        <v>0</v>
      </c>
      <c r="X319" s="81"/>
      <c r="Y319" s="150">
        <f t="shared" si="16"/>
        <v>0</v>
      </c>
    </row>
    <row r="320" spans="1:25" x14ac:dyDescent="0.25">
      <c r="B320" s="90"/>
      <c r="C320" s="90"/>
      <c r="D320" s="139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>
        <f t="shared" si="14"/>
        <v>0</v>
      </c>
      <c r="X320" s="81"/>
      <c r="Y320" s="150">
        <f t="shared" si="16"/>
        <v>0</v>
      </c>
    </row>
    <row r="321" spans="2:25" x14ac:dyDescent="0.25">
      <c r="B321" s="90"/>
      <c r="C321" s="90"/>
      <c r="D321" s="139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>
        <f t="shared" si="14"/>
        <v>0</v>
      </c>
      <c r="X321" s="81"/>
      <c r="Y321" s="150">
        <f t="shared" si="16"/>
        <v>0</v>
      </c>
    </row>
    <row r="322" spans="2:25" x14ac:dyDescent="0.25">
      <c r="B322" s="90"/>
      <c r="C322" s="90"/>
      <c r="D322" s="139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>
        <f t="shared" si="14"/>
        <v>0</v>
      </c>
      <c r="X322" s="81"/>
      <c r="Y322" s="150">
        <f t="shared" si="16"/>
        <v>0</v>
      </c>
    </row>
    <row r="323" spans="2:25" x14ac:dyDescent="0.25">
      <c r="B323" s="90"/>
      <c r="C323" s="90"/>
      <c r="D323" s="139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>
        <f t="shared" ref="W323:W354" si="17">SUM(E323:P323)</f>
        <v>0</v>
      </c>
      <c r="X323" s="81"/>
      <c r="Y323" s="150">
        <f t="shared" si="16"/>
        <v>0</v>
      </c>
    </row>
    <row r="324" spans="2:25" x14ac:dyDescent="0.25">
      <c r="B324" s="90"/>
      <c r="C324" s="90"/>
      <c r="D324" s="139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>
        <f t="shared" si="17"/>
        <v>0</v>
      </c>
      <c r="X324" s="81"/>
      <c r="Y324" s="150">
        <f t="shared" si="16"/>
        <v>0</v>
      </c>
    </row>
    <row r="325" spans="2:25" x14ac:dyDescent="0.25">
      <c r="B325" s="90"/>
      <c r="C325" s="90"/>
      <c r="D325" s="139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>
        <f t="shared" si="17"/>
        <v>0</v>
      </c>
      <c r="X325" s="81"/>
      <c r="Y325" s="150">
        <f t="shared" si="16"/>
        <v>0</v>
      </c>
    </row>
    <row r="326" spans="2:25" x14ac:dyDescent="0.25">
      <c r="B326" s="90"/>
      <c r="C326" s="90"/>
      <c r="D326" s="139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>
        <f t="shared" si="17"/>
        <v>0</v>
      </c>
      <c r="X326" s="81"/>
      <c r="Y326" s="150">
        <f t="shared" si="16"/>
        <v>0</v>
      </c>
    </row>
    <row r="327" spans="2:25" x14ac:dyDescent="0.25">
      <c r="B327" s="90"/>
      <c r="C327" s="90"/>
      <c r="D327" s="139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>
        <f t="shared" si="17"/>
        <v>0</v>
      </c>
      <c r="X327" s="81"/>
      <c r="Y327" s="150">
        <f t="shared" si="16"/>
        <v>0</v>
      </c>
    </row>
    <row r="328" spans="2:25" x14ac:dyDescent="0.25">
      <c r="B328" s="90"/>
      <c r="C328" s="90"/>
      <c r="D328" s="139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>
        <f t="shared" si="17"/>
        <v>0</v>
      </c>
      <c r="X328" s="81"/>
      <c r="Y328" s="150">
        <f t="shared" si="16"/>
        <v>0</v>
      </c>
    </row>
    <row r="329" spans="2:25" x14ac:dyDescent="0.25">
      <c r="B329" s="90"/>
      <c r="C329" s="90"/>
      <c r="D329" s="139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>
        <f t="shared" si="17"/>
        <v>0</v>
      </c>
      <c r="X329" s="81"/>
      <c r="Y329" s="150">
        <f t="shared" si="16"/>
        <v>0</v>
      </c>
    </row>
    <row r="330" spans="2:25" x14ac:dyDescent="0.25">
      <c r="B330" s="90"/>
      <c r="C330" s="90"/>
      <c r="D330" s="139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>
        <f t="shared" si="17"/>
        <v>0</v>
      </c>
      <c r="X330" s="81"/>
      <c r="Y330" s="150">
        <f t="shared" si="16"/>
        <v>0</v>
      </c>
    </row>
    <row r="331" spans="2:25" x14ac:dyDescent="0.25">
      <c r="B331" s="90"/>
      <c r="C331" s="90"/>
      <c r="D331" s="139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>
        <f t="shared" si="17"/>
        <v>0</v>
      </c>
      <c r="X331" s="81"/>
      <c r="Y331" s="150">
        <f t="shared" si="16"/>
        <v>0</v>
      </c>
    </row>
    <row r="332" spans="2:25" x14ac:dyDescent="0.25">
      <c r="B332" s="90"/>
      <c r="C332" s="90"/>
      <c r="D332" s="139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>
        <f t="shared" si="17"/>
        <v>0</v>
      </c>
      <c r="X332" s="81"/>
      <c r="Y332" s="150">
        <f t="shared" si="16"/>
        <v>0</v>
      </c>
    </row>
    <row r="333" spans="2:25" x14ac:dyDescent="0.25">
      <c r="B333" s="90"/>
      <c r="C333" s="90"/>
      <c r="D333" s="139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>
        <f t="shared" si="17"/>
        <v>0</v>
      </c>
      <c r="X333" s="81"/>
      <c r="Y333" s="150">
        <f t="shared" si="16"/>
        <v>0</v>
      </c>
    </row>
    <row r="334" spans="2:25" x14ac:dyDescent="0.25">
      <c r="B334" s="90"/>
      <c r="C334" s="90"/>
      <c r="D334" s="139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>
        <f t="shared" si="17"/>
        <v>0</v>
      </c>
      <c r="X334" s="81"/>
      <c r="Y334" s="150">
        <f t="shared" si="16"/>
        <v>0</v>
      </c>
    </row>
    <row r="335" spans="2:25" x14ac:dyDescent="0.25">
      <c r="B335" s="90"/>
      <c r="C335" s="90"/>
      <c r="D335" s="139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>
        <f t="shared" si="17"/>
        <v>0</v>
      </c>
      <c r="X335" s="81"/>
      <c r="Y335" s="150">
        <f t="shared" si="16"/>
        <v>0</v>
      </c>
    </row>
    <row r="336" spans="2:25" x14ac:dyDescent="0.25">
      <c r="B336" s="90"/>
      <c r="C336" s="90"/>
      <c r="D336" s="139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>
        <f t="shared" si="17"/>
        <v>0</v>
      </c>
      <c r="X336" s="81"/>
      <c r="Y336" s="150">
        <f t="shared" si="16"/>
        <v>0</v>
      </c>
    </row>
    <row r="337" spans="2:25" x14ac:dyDescent="0.25">
      <c r="B337" s="90"/>
      <c r="C337" s="90"/>
      <c r="D337" s="139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>
        <f t="shared" si="17"/>
        <v>0</v>
      </c>
      <c r="X337" s="81"/>
      <c r="Y337" s="150">
        <f t="shared" si="16"/>
        <v>0</v>
      </c>
    </row>
    <row r="338" spans="2:25" x14ac:dyDescent="0.25">
      <c r="B338" s="90"/>
      <c r="C338" s="90"/>
      <c r="D338" s="139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>
        <f t="shared" si="17"/>
        <v>0</v>
      </c>
      <c r="X338" s="81"/>
      <c r="Y338" s="150">
        <f t="shared" si="16"/>
        <v>0</v>
      </c>
    </row>
    <row r="339" spans="2:25" x14ac:dyDescent="0.25">
      <c r="B339" s="90"/>
      <c r="C339" s="90"/>
      <c r="D339" s="139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>
        <f t="shared" si="17"/>
        <v>0</v>
      </c>
      <c r="X339" s="81"/>
      <c r="Y339" s="150">
        <f t="shared" si="16"/>
        <v>0</v>
      </c>
    </row>
    <row r="340" spans="2:25" x14ac:dyDescent="0.25">
      <c r="B340" s="90"/>
      <c r="C340" s="90"/>
      <c r="D340" s="139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>
        <f t="shared" si="17"/>
        <v>0</v>
      </c>
      <c r="X340" s="81"/>
      <c r="Y340" s="150">
        <f t="shared" si="16"/>
        <v>0</v>
      </c>
    </row>
    <row r="341" spans="2:25" x14ac:dyDescent="0.25">
      <c r="B341" s="90"/>
      <c r="C341" s="90"/>
      <c r="D341" s="139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>
        <f t="shared" si="17"/>
        <v>0</v>
      </c>
      <c r="X341" s="81"/>
      <c r="Y341" s="150">
        <f t="shared" si="16"/>
        <v>0</v>
      </c>
    </row>
    <row r="342" spans="2:25" x14ac:dyDescent="0.25">
      <c r="B342" s="90"/>
      <c r="C342" s="90"/>
      <c r="D342" s="139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>
        <f t="shared" si="17"/>
        <v>0</v>
      </c>
      <c r="X342" s="81"/>
      <c r="Y342" s="150">
        <f t="shared" si="16"/>
        <v>0</v>
      </c>
    </row>
    <row r="343" spans="2:25" x14ac:dyDescent="0.25">
      <c r="B343" s="90"/>
      <c r="C343" s="90"/>
      <c r="D343" s="139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>
        <f t="shared" si="17"/>
        <v>0</v>
      </c>
      <c r="X343" s="81"/>
      <c r="Y343" s="150">
        <f t="shared" si="16"/>
        <v>0</v>
      </c>
    </row>
    <row r="344" spans="2:25" x14ac:dyDescent="0.25">
      <c r="B344" s="90"/>
      <c r="C344" s="90"/>
      <c r="D344" s="139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>
        <f t="shared" si="17"/>
        <v>0</v>
      </c>
      <c r="X344" s="81"/>
      <c r="Y344" s="150">
        <f t="shared" ref="Y344:Y375" si="18">MAX(X344-W344,0)</f>
        <v>0</v>
      </c>
    </row>
    <row r="345" spans="2:25" x14ac:dyDescent="0.25">
      <c r="B345" s="90"/>
      <c r="C345" s="90"/>
      <c r="D345" s="139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>
        <f t="shared" si="17"/>
        <v>0</v>
      </c>
      <c r="X345" s="81"/>
      <c r="Y345" s="150">
        <f t="shared" si="18"/>
        <v>0</v>
      </c>
    </row>
    <row r="346" spans="2:25" x14ac:dyDescent="0.25">
      <c r="B346" s="90"/>
      <c r="C346" s="90"/>
      <c r="D346" s="139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>
        <f t="shared" si="17"/>
        <v>0</v>
      </c>
      <c r="X346" s="81"/>
      <c r="Y346" s="150">
        <f t="shared" si="18"/>
        <v>0</v>
      </c>
    </row>
    <row r="347" spans="2:25" x14ac:dyDescent="0.25">
      <c r="B347" s="90"/>
      <c r="C347" s="90"/>
      <c r="D347" s="139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>
        <f t="shared" si="17"/>
        <v>0</v>
      </c>
      <c r="X347" s="81"/>
      <c r="Y347" s="150">
        <f t="shared" si="18"/>
        <v>0</v>
      </c>
    </row>
    <row r="348" spans="2:25" x14ac:dyDescent="0.25">
      <c r="B348" s="90"/>
      <c r="C348" s="90"/>
      <c r="D348" s="139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>
        <f t="shared" si="17"/>
        <v>0</v>
      </c>
      <c r="X348" s="81"/>
      <c r="Y348" s="150">
        <f t="shared" si="18"/>
        <v>0</v>
      </c>
    </row>
    <row r="349" spans="2:25" x14ac:dyDescent="0.25">
      <c r="B349" s="90"/>
      <c r="C349" s="90"/>
      <c r="D349" s="139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>
        <f t="shared" si="17"/>
        <v>0</v>
      </c>
      <c r="X349" s="81"/>
      <c r="Y349" s="150">
        <f t="shared" si="18"/>
        <v>0</v>
      </c>
    </row>
    <row r="350" spans="2:25" x14ac:dyDescent="0.25">
      <c r="B350" s="90"/>
      <c r="C350" s="90"/>
      <c r="D350" s="139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>
        <f t="shared" si="17"/>
        <v>0</v>
      </c>
      <c r="X350" s="81"/>
      <c r="Y350" s="150">
        <f t="shared" si="18"/>
        <v>0</v>
      </c>
    </row>
    <row r="351" spans="2:25" x14ac:dyDescent="0.25">
      <c r="B351" s="90"/>
      <c r="C351" s="90"/>
      <c r="D351" s="139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>
        <f t="shared" si="17"/>
        <v>0</v>
      </c>
      <c r="X351" s="81"/>
      <c r="Y351" s="150">
        <f t="shared" si="18"/>
        <v>0</v>
      </c>
    </row>
    <row r="352" spans="2:25" x14ac:dyDescent="0.25">
      <c r="B352" s="90"/>
      <c r="C352" s="90"/>
      <c r="D352" s="139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>
        <f t="shared" si="17"/>
        <v>0</v>
      </c>
      <c r="X352" s="81"/>
      <c r="Y352" s="150">
        <f t="shared" si="18"/>
        <v>0</v>
      </c>
    </row>
    <row r="353" spans="1:25" x14ac:dyDescent="0.25">
      <c r="B353" s="90"/>
      <c r="C353" s="90"/>
      <c r="D353" s="139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>
        <f t="shared" si="17"/>
        <v>0</v>
      </c>
      <c r="X353" s="81"/>
      <c r="Y353" s="150">
        <f t="shared" si="18"/>
        <v>0</v>
      </c>
    </row>
    <row r="354" spans="1:25" x14ac:dyDescent="0.25">
      <c r="B354" s="90"/>
      <c r="C354" s="90"/>
      <c r="D354" s="139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>
        <f t="shared" si="17"/>
        <v>0</v>
      </c>
      <c r="X354" s="81"/>
      <c r="Y354" s="150">
        <f t="shared" si="18"/>
        <v>0</v>
      </c>
    </row>
    <row r="355" spans="1:25" x14ac:dyDescent="0.25">
      <c r="B355" s="90"/>
      <c r="C355" s="90"/>
      <c r="D355" s="139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>
        <f t="shared" ref="W355:W375" si="19">SUM(E355:P355)</f>
        <v>0</v>
      </c>
      <c r="X355" s="81"/>
      <c r="Y355" s="150">
        <f t="shared" si="18"/>
        <v>0</v>
      </c>
    </row>
    <row r="356" spans="1:25" x14ac:dyDescent="0.25">
      <c r="B356" s="90"/>
      <c r="C356" s="90"/>
      <c r="D356" s="139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>
        <f t="shared" si="19"/>
        <v>0</v>
      </c>
      <c r="X356" s="81"/>
      <c r="Y356" s="150">
        <f t="shared" si="18"/>
        <v>0</v>
      </c>
    </row>
    <row r="357" spans="1:25" x14ac:dyDescent="0.25">
      <c r="B357" s="90"/>
      <c r="C357" s="90"/>
      <c r="D357" s="139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>
        <f t="shared" si="19"/>
        <v>0</v>
      </c>
      <c r="X357" s="81"/>
      <c r="Y357" s="150">
        <f t="shared" si="18"/>
        <v>0</v>
      </c>
    </row>
    <row r="358" spans="1:25" x14ac:dyDescent="0.25">
      <c r="B358" s="90"/>
      <c r="C358" s="90"/>
      <c r="D358" s="139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>
        <f t="shared" si="19"/>
        <v>0</v>
      </c>
      <c r="X358" s="81"/>
      <c r="Y358" s="150">
        <f t="shared" si="18"/>
        <v>0</v>
      </c>
    </row>
    <row r="359" spans="1:25" x14ac:dyDescent="0.25">
      <c r="B359" s="90"/>
      <c r="C359" s="90"/>
      <c r="D359" s="139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>
        <f t="shared" si="19"/>
        <v>0</v>
      </c>
      <c r="X359" s="81"/>
      <c r="Y359" s="150">
        <f t="shared" si="18"/>
        <v>0</v>
      </c>
    </row>
    <row r="360" spans="1:25" x14ac:dyDescent="0.25">
      <c r="B360" s="90"/>
      <c r="C360" s="90"/>
      <c r="D360" s="139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>
        <f t="shared" si="19"/>
        <v>0</v>
      </c>
      <c r="X360" s="81"/>
      <c r="Y360" s="150">
        <f t="shared" si="18"/>
        <v>0</v>
      </c>
    </row>
    <row r="361" spans="1:25" x14ac:dyDescent="0.25">
      <c r="B361" s="90"/>
      <c r="C361" s="90"/>
      <c r="D361" s="139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>
        <f t="shared" si="19"/>
        <v>0</v>
      </c>
      <c r="X361" s="81"/>
      <c r="Y361" s="150">
        <f t="shared" si="18"/>
        <v>0</v>
      </c>
    </row>
    <row r="362" spans="1:25" x14ac:dyDescent="0.25">
      <c r="B362" s="90"/>
      <c r="C362" s="90"/>
      <c r="D362" s="139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>
        <f t="shared" si="19"/>
        <v>0</v>
      </c>
      <c r="X362" s="81"/>
      <c r="Y362" s="150">
        <f t="shared" si="18"/>
        <v>0</v>
      </c>
    </row>
    <row r="363" spans="1:25" x14ac:dyDescent="0.25">
      <c r="B363" s="90"/>
      <c r="C363" s="90"/>
      <c r="D363" s="139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>
        <f t="shared" si="19"/>
        <v>0</v>
      </c>
      <c r="X363" s="81"/>
      <c r="Y363" s="150">
        <f t="shared" si="18"/>
        <v>0</v>
      </c>
    </row>
    <row r="364" spans="1:25" x14ac:dyDescent="0.25">
      <c r="B364" s="90"/>
      <c r="C364" s="90"/>
      <c r="D364" s="139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>
        <f t="shared" si="19"/>
        <v>0</v>
      </c>
      <c r="X364" s="81"/>
      <c r="Y364" s="150">
        <f t="shared" si="18"/>
        <v>0</v>
      </c>
    </row>
    <row r="365" spans="1:25" x14ac:dyDescent="0.25">
      <c r="B365" s="90"/>
      <c r="C365" s="90"/>
      <c r="D365" s="139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>
        <f t="shared" si="19"/>
        <v>0</v>
      </c>
      <c r="X365" s="81"/>
      <c r="Y365" s="150">
        <f t="shared" si="18"/>
        <v>0</v>
      </c>
    </row>
    <row r="366" spans="1:25" x14ac:dyDescent="0.25">
      <c r="A366" s="90"/>
      <c r="B366" s="90"/>
      <c r="C366" s="90"/>
      <c r="D366" s="139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>
        <f t="shared" si="19"/>
        <v>0</v>
      </c>
      <c r="X366" s="81"/>
      <c r="Y366" s="150">
        <f t="shared" si="18"/>
        <v>0</v>
      </c>
    </row>
    <row r="367" spans="1:25" x14ac:dyDescent="0.25">
      <c r="A367" s="90"/>
      <c r="B367" s="90"/>
      <c r="C367" s="90"/>
      <c r="D367" s="139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>
        <f t="shared" si="19"/>
        <v>0</v>
      </c>
      <c r="X367" s="81"/>
      <c r="Y367" s="150">
        <f t="shared" si="18"/>
        <v>0</v>
      </c>
    </row>
    <row r="368" spans="1:25" x14ac:dyDescent="0.25">
      <c r="A368" s="90"/>
      <c r="B368" s="90"/>
      <c r="C368" s="90"/>
      <c r="D368" s="139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>
        <f t="shared" si="19"/>
        <v>0</v>
      </c>
      <c r="X368" s="81"/>
      <c r="Y368" s="150">
        <f t="shared" si="18"/>
        <v>0</v>
      </c>
    </row>
    <row r="369" spans="1:25" x14ac:dyDescent="0.25">
      <c r="A369" s="90"/>
      <c r="B369" s="90"/>
      <c r="C369" s="90"/>
      <c r="D369" s="139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>
        <f t="shared" si="19"/>
        <v>0</v>
      </c>
      <c r="X369" s="81"/>
      <c r="Y369" s="150">
        <f t="shared" si="18"/>
        <v>0</v>
      </c>
    </row>
    <row r="370" spans="1:25" x14ac:dyDescent="0.25">
      <c r="A370" s="90"/>
      <c r="B370" s="90"/>
      <c r="C370" s="90"/>
      <c r="D370" s="139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>
        <f t="shared" si="19"/>
        <v>0</v>
      </c>
      <c r="X370" s="81"/>
      <c r="Y370" s="150">
        <f t="shared" si="18"/>
        <v>0</v>
      </c>
    </row>
    <row r="371" spans="1:25" x14ac:dyDescent="0.25">
      <c r="A371" s="90"/>
      <c r="B371" s="90"/>
      <c r="C371" s="90"/>
      <c r="D371" s="139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>
        <f t="shared" si="19"/>
        <v>0</v>
      </c>
      <c r="X371" s="81"/>
      <c r="Y371" s="150">
        <f t="shared" si="18"/>
        <v>0</v>
      </c>
    </row>
    <row r="372" spans="1:25" x14ac:dyDescent="0.25">
      <c r="A372" s="90"/>
      <c r="B372" s="90"/>
      <c r="C372" s="90"/>
      <c r="D372" s="139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>
        <f t="shared" si="19"/>
        <v>0</v>
      </c>
      <c r="X372" s="81"/>
      <c r="Y372" s="150">
        <f t="shared" si="18"/>
        <v>0</v>
      </c>
    </row>
    <row r="373" spans="1:25" x14ac:dyDescent="0.25">
      <c r="A373" s="90"/>
      <c r="B373" s="90"/>
      <c r="C373" s="90"/>
      <c r="D373" s="139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>
        <f t="shared" si="19"/>
        <v>0</v>
      </c>
      <c r="X373" s="81"/>
      <c r="Y373" s="150">
        <f t="shared" si="18"/>
        <v>0</v>
      </c>
    </row>
    <row r="374" spans="1:25" x14ac:dyDescent="0.25">
      <c r="A374" s="90"/>
      <c r="B374" s="90"/>
      <c r="C374" s="90"/>
      <c r="D374" s="139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>
        <f t="shared" si="19"/>
        <v>0</v>
      </c>
      <c r="X374" s="81"/>
      <c r="Y374" s="150">
        <f t="shared" si="18"/>
        <v>0</v>
      </c>
    </row>
    <row r="375" spans="1:25" x14ac:dyDescent="0.25">
      <c r="A375" s="90"/>
      <c r="B375" s="90"/>
      <c r="C375" s="90"/>
      <c r="D375" s="139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>
        <f t="shared" si="19"/>
        <v>0</v>
      </c>
      <c r="X375" s="81"/>
      <c r="Y375" s="150">
        <f t="shared" si="18"/>
        <v>0</v>
      </c>
    </row>
    <row r="376" spans="1:25" x14ac:dyDescent="0.25">
      <c r="A376" s="83"/>
      <c r="B376" s="83"/>
      <c r="C376" s="83"/>
      <c r="D376" s="143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150"/>
    </row>
    <row r="377" spans="1:25" x14ac:dyDescent="0.25">
      <c r="A377" s="83"/>
      <c r="B377" s="83"/>
      <c r="C377" s="97"/>
      <c r="D377" s="140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150"/>
    </row>
    <row r="378" spans="1:25" x14ac:dyDescent="0.25">
      <c r="A378" s="83"/>
      <c r="B378" s="97"/>
      <c r="C378" s="97"/>
      <c r="D378" s="140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150"/>
    </row>
    <row r="379" spans="1:25" x14ac:dyDescent="0.25">
      <c r="A379" s="83"/>
      <c r="B379" s="97"/>
      <c r="C379" s="97"/>
      <c r="D379" s="140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150"/>
    </row>
    <row r="380" spans="1:25" x14ac:dyDescent="0.25">
      <c r="A380" s="83"/>
      <c r="B380" s="97"/>
      <c r="C380" s="83"/>
      <c r="D380" s="143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150"/>
    </row>
    <row r="381" spans="1:25" x14ac:dyDescent="0.25">
      <c r="A381" s="83"/>
      <c r="B381" s="97"/>
      <c r="C381" s="97"/>
      <c r="D381" s="140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150"/>
    </row>
    <row r="382" spans="1:25" x14ac:dyDescent="0.25">
      <c r="A382" s="83"/>
      <c r="B382" s="97"/>
      <c r="C382" s="97"/>
      <c r="D382" s="140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150"/>
    </row>
    <row r="383" spans="1:25" x14ac:dyDescent="0.25">
      <c r="A383" s="83"/>
      <c r="B383" s="97"/>
      <c r="C383" s="97"/>
      <c r="D383" s="140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150"/>
    </row>
    <row r="384" spans="1:25" x14ac:dyDescent="0.25">
      <c r="A384" s="83"/>
      <c r="B384" s="83"/>
      <c r="C384" s="97"/>
      <c r="D384" s="140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150"/>
    </row>
    <row r="385" spans="1:25" x14ac:dyDescent="0.25">
      <c r="A385" s="83"/>
      <c r="B385" s="97"/>
      <c r="C385" s="97"/>
      <c r="D385" s="140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150"/>
    </row>
    <row r="386" spans="1:25" x14ac:dyDescent="0.25">
      <c r="A386" s="83"/>
      <c r="B386" s="97"/>
      <c r="C386" s="97"/>
      <c r="D386" s="140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150"/>
    </row>
    <row r="387" spans="1:25" x14ac:dyDescent="0.25">
      <c r="A387" s="83"/>
      <c r="B387" s="83"/>
      <c r="C387" s="83"/>
      <c r="D387" s="143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150"/>
    </row>
    <row r="388" spans="1:25" x14ac:dyDescent="0.25">
      <c r="A388" s="83"/>
      <c r="B388" s="97"/>
      <c r="C388" s="83"/>
      <c r="D388" s="143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150"/>
    </row>
    <row r="389" spans="1:25" x14ac:dyDescent="0.25">
      <c r="A389" s="83"/>
      <c r="B389" s="97"/>
      <c r="C389" s="97"/>
      <c r="D389" s="140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150"/>
    </row>
    <row r="390" spans="1:25" x14ac:dyDescent="0.25">
      <c r="A390" s="83"/>
      <c r="B390" s="97"/>
      <c r="C390" s="97"/>
      <c r="D390" s="140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150"/>
    </row>
    <row r="391" spans="1:25" x14ac:dyDescent="0.25">
      <c r="A391" s="83"/>
      <c r="B391" s="97"/>
      <c r="C391" s="97"/>
      <c r="D391" s="140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150"/>
    </row>
    <row r="392" spans="1:25" x14ac:dyDescent="0.25">
      <c r="A392" s="83"/>
      <c r="B392" s="97"/>
      <c r="C392" s="97"/>
      <c r="D392" s="140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150"/>
    </row>
    <row r="393" spans="1:25" x14ac:dyDescent="0.25">
      <c r="A393" s="83"/>
      <c r="B393" s="97"/>
      <c r="C393" s="97"/>
      <c r="D393" s="140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150"/>
    </row>
    <row r="394" spans="1:25" x14ac:dyDescent="0.25">
      <c r="A394" s="83"/>
      <c r="B394" s="97"/>
      <c r="C394" s="97"/>
      <c r="D394" s="140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150"/>
    </row>
    <row r="395" spans="1:25" x14ac:dyDescent="0.25">
      <c r="A395" s="83"/>
      <c r="B395" s="97"/>
      <c r="C395" s="97"/>
      <c r="D395" s="140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150"/>
    </row>
    <row r="396" spans="1:25" x14ac:dyDescent="0.25">
      <c r="A396" s="83"/>
      <c r="B396" s="97"/>
      <c r="C396" s="97"/>
      <c r="D396" s="140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150"/>
    </row>
    <row r="397" spans="1:25" x14ac:dyDescent="0.25">
      <c r="A397" s="83"/>
      <c r="B397" s="97"/>
      <c r="C397" s="97"/>
      <c r="D397" s="140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150"/>
    </row>
    <row r="398" spans="1:25" x14ac:dyDescent="0.25">
      <c r="A398" s="83"/>
      <c r="B398" s="83"/>
      <c r="C398" s="83"/>
      <c r="D398" s="143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150"/>
    </row>
    <row r="399" spans="1:25" x14ac:dyDescent="0.25">
      <c r="A399" s="83"/>
      <c r="B399" s="97"/>
      <c r="C399" s="97"/>
      <c r="D399" s="140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>
        <f t="shared" ref="W399:W408" si="20">SUM(E399:P399)</f>
        <v>0</v>
      </c>
      <c r="X399" s="81"/>
      <c r="Y399" s="150">
        <f t="shared" ref="Y399:Y401" si="21">MAX(X399-W399,0)</f>
        <v>0</v>
      </c>
    </row>
    <row r="400" spans="1:25" x14ac:dyDescent="0.25">
      <c r="A400" s="83"/>
      <c r="B400" s="97"/>
      <c r="C400" s="97"/>
      <c r="D400" s="140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>
        <f t="shared" si="20"/>
        <v>0</v>
      </c>
      <c r="X400" s="81"/>
      <c r="Y400" s="150">
        <f t="shared" si="21"/>
        <v>0</v>
      </c>
    </row>
    <row r="401" spans="1:25" x14ac:dyDescent="0.25">
      <c r="A401" s="83"/>
      <c r="B401" s="83"/>
      <c r="C401" s="97"/>
      <c r="D401" s="140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>
        <f t="shared" si="20"/>
        <v>0</v>
      </c>
      <c r="X401" s="81"/>
      <c r="Y401" s="150">
        <f t="shared" si="21"/>
        <v>0</v>
      </c>
    </row>
    <row r="402" spans="1:25" x14ac:dyDescent="0.25">
      <c r="A402" s="83"/>
      <c r="B402" s="83"/>
      <c r="C402" s="97"/>
      <c r="D402" s="140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>
        <f t="shared" si="20"/>
        <v>0</v>
      </c>
      <c r="X402" s="81"/>
      <c r="Y402" s="150">
        <f t="shared" ref="Y402:Y407" si="22">MAX(X402-W402,0)</f>
        <v>0</v>
      </c>
    </row>
    <row r="403" spans="1:25" x14ac:dyDescent="0.25">
      <c r="A403" s="83"/>
      <c r="B403" s="83"/>
      <c r="C403" s="97"/>
      <c r="D403" s="140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>
        <f t="shared" si="20"/>
        <v>0</v>
      </c>
      <c r="X403" s="81"/>
      <c r="Y403" s="150">
        <f t="shared" si="22"/>
        <v>0</v>
      </c>
    </row>
    <row r="404" spans="1:25" x14ac:dyDescent="0.25">
      <c r="A404" s="83"/>
      <c r="B404" s="97"/>
      <c r="C404" s="83"/>
      <c r="D404" s="143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>
        <f t="shared" si="20"/>
        <v>0</v>
      </c>
      <c r="X404" s="81"/>
      <c r="Y404" s="150">
        <f t="shared" si="22"/>
        <v>0</v>
      </c>
    </row>
    <row r="405" spans="1:25" x14ac:dyDescent="0.25">
      <c r="A405" s="83"/>
      <c r="B405" s="83"/>
      <c r="C405" s="83"/>
      <c r="D405" s="143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>
        <f t="shared" si="20"/>
        <v>0</v>
      </c>
      <c r="X405" s="81"/>
      <c r="Y405" s="150">
        <f t="shared" si="22"/>
        <v>0</v>
      </c>
    </row>
    <row r="406" spans="1:25" x14ac:dyDescent="0.25">
      <c r="A406" s="83"/>
      <c r="B406" s="83"/>
      <c r="C406" s="83"/>
      <c r="D406" s="143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>
        <f t="shared" si="20"/>
        <v>0</v>
      </c>
      <c r="X406" s="81"/>
      <c r="Y406" s="150">
        <f t="shared" si="22"/>
        <v>0</v>
      </c>
    </row>
    <row r="407" spans="1:25" x14ac:dyDescent="0.25">
      <c r="A407" s="83"/>
      <c r="B407" s="83"/>
      <c r="C407" s="83"/>
      <c r="D407" s="143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>
        <f t="shared" si="20"/>
        <v>0</v>
      </c>
      <c r="X407" s="81"/>
      <c r="Y407" s="150">
        <f t="shared" si="22"/>
        <v>0</v>
      </c>
    </row>
    <row r="408" spans="1:25" x14ac:dyDescent="0.25">
      <c r="A408" s="83"/>
      <c r="B408" s="83"/>
      <c r="C408" s="143"/>
      <c r="D408" s="143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>
        <f t="shared" si="20"/>
        <v>0</v>
      </c>
      <c r="X408" s="81"/>
      <c r="Y408" s="150">
        <f t="shared" ref="Y408" si="23">MAX(X408-W408,0)</f>
        <v>0</v>
      </c>
    </row>
  </sheetData>
  <mergeCells count="1">
    <mergeCell ref="A1:Y1"/>
  </mergeCells>
  <phoneticPr fontId="65" type="noConversion"/>
  <conditionalFormatting sqref="Y1 Y3:Y1048576">
    <cfRule type="cellIs" dxfId="115" priority="1" operator="greaterThan">
      <formula>0</formula>
    </cfRule>
    <cfRule type="cellIs" dxfId="114" priority="2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2"/>
  <dimension ref="A1:BM1428"/>
  <sheetViews>
    <sheetView showGridLines="0" workbookViewId="0">
      <selection activeCell="J3" sqref="J3"/>
    </sheetView>
  </sheetViews>
  <sheetFormatPr defaultColWidth="8.5703125" defaultRowHeight="15" x14ac:dyDescent="0.25"/>
  <cols>
    <col min="1" max="1" width="8" customWidth="1"/>
    <col min="2" max="2" width="13.7109375" hidden="1" customWidth="1"/>
    <col min="3" max="3" width="11.85546875" hidden="1" customWidth="1"/>
    <col min="4" max="4" width="6.7109375" hidden="1" customWidth="1"/>
    <col min="5" max="5" width="22.140625" customWidth="1"/>
    <col min="6" max="6" width="41.5703125" customWidth="1"/>
    <col min="7" max="7" width="10" hidden="1" customWidth="1"/>
    <col min="8" max="8" width="17.42578125" customWidth="1"/>
    <col min="9" max="9" width="16.7109375" customWidth="1"/>
    <col min="10" max="10" width="24.42578125" style="7" customWidth="1"/>
    <col min="11" max="11" width="14.28515625" customWidth="1"/>
    <col min="12" max="12" width="12.42578125" customWidth="1"/>
    <col min="13" max="13" width="12.5703125" customWidth="1"/>
    <col min="14" max="14" width="14.28515625" customWidth="1"/>
    <col min="15" max="15" width="18" customWidth="1"/>
    <col min="16" max="16" width="17.28515625" customWidth="1"/>
    <col min="17" max="18" width="14.42578125" customWidth="1"/>
    <col min="19" max="19" width="15" customWidth="1"/>
    <col min="20" max="20" width="30.7109375" customWidth="1"/>
    <col min="21" max="21" width="14.5703125" customWidth="1"/>
    <col min="22" max="22" width="22" hidden="1" customWidth="1"/>
    <col min="23" max="26" width="30" hidden="1" customWidth="1"/>
    <col min="27" max="27" width="20" hidden="1" customWidth="1"/>
    <col min="28" max="28" width="27" hidden="1" customWidth="1"/>
    <col min="29" max="29" width="17" hidden="1" customWidth="1"/>
    <col min="30" max="30" width="30" hidden="1" customWidth="1"/>
    <col min="31" max="31" width="17.28515625" hidden="1" customWidth="1"/>
    <col min="32" max="32" width="9.5703125" hidden="1" customWidth="1"/>
    <col min="33" max="35" width="30" hidden="1" customWidth="1"/>
    <col min="36" max="36" width="22" hidden="1" customWidth="1"/>
    <col min="37" max="41" width="30" hidden="1" customWidth="1"/>
    <col min="42" max="42" width="16" customWidth="1"/>
    <col min="43" max="44" width="30" customWidth="1"/>
    <col min="45" max="45" width="21" customWidth="1"/>
    <col min="46" max="46" width="30" customWidth="1"/>
    <col min="47" max="47" width="27" customWidth="1"/>
    <col min="48" max="55" width="30" customWidth="1"/>
    <col min="56" max="56" width="18" customWidth="1"/>
    <col min="57" max="57" width="23" customWidth="1"/>
    <col min="58" max="58" width="30" customWidth="1"/>
    <col min="59" max="63" width="20" customWidth="1"/>
  </cols>
  <sheetData>
    <row r="1" spans="1:63" ht="27.95" customHeight="1" x14ac:dyDescent="0.25">
      <c r="A1" s="394" t="s">
        <v>439</v>
      </c>
      <c r="B1" s="375"/>
      <c r="C1" s="375"/>
      <c r="D1" s="375"/>
      <c r="E1" s="375"/>
      <c r="F1" s="375"/>
      <c r="G1" s="375"/>
      <c r="H1" s="375"/>
      <c r="I1" s="375"/>
      <c r="J1" s="396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BK1" s="103"/>
    </row>
    <row r="2" spans="1:63" ht="45" x14ac:dyDescent="0.25">
      <c r="A2" s="101" t="s">
        <v>102</v>
      </c>
      <c r="B2" s="101" t="s">
        <v>440</v>
      </c>
      <c r="C2" s="101" t="s">
        <v>441</v>
      </c>
      <c r="D2" s="101" t="s">
        <v>442</v>
      </c>
      <c r="E2" s="101" t="s">
        <v>100</v>
      </c>
      <c r="F2" s="101" t="s">
        <v>101</v>
      </c>
      <c r="G2" s="101" t="s">
        <v>102</v>
      </c>
      <c r="H2" s="101" t="s">
        <v>443</v>
      </c>
      <c r="I2" s="101" t="s">
        <v>444</v>
      </c>
      <c r="J2" s="101" t="s">
        <v>445</v>
      </c>
      <c r="K2" s="101" t="s">
        <v>446</v>
      </c>
      <c r="L2" s="101" t="s">
        <v>447</v>
      </c>
      <c r="M2" s="101" t="s">
        <v>110</v>
      </c>
      <c r="N2" s="101" t="s">
        <v>448</v>
      </c>
      <c r="O2" s="101" t="s">
        <v>449</v>
      </c>
      <c r="P2" s="101" t="s">
        <v>450</v>
      </c>
      <c r="Q2" s="101" t="s">
        <v>451</v>
      </c>
      <c r="R2" s="101" t="s">
        <v>452</v>
      </c>
      <c r="S2" s="101" t="s">
        <v>453</v>
      </c>
      <c r="T2" s="101" t="s">
        <v>454</v>
      </c>
      <c r="U2" s="101" t="s">
        <v>455</v>
      </c>
      <c r="V2" s="101" t="s">
        <v>456</v>
      </c>
      <c r="W2" s="101" t="s">
        <v>457</v>
      </c>
      <c r="X2" s="101" t="s">
        <v>458</v>
      </c>
      <c r="Y2" s="101" t="s">
        <v>459</v>
      </c>
      <c r="Z2" s="101" t="s">
        <v>460</v>
      </c>
      <c r="AA2" s="101" t="s">
        <v>461</v>
      </c>
      <c r="AB2" s="101" t="s">
        <v>462</v>
      </c>
      <c r="AC2" s="101" t="s">
        <v>463</v>
      </c>
      <c r="AD2" s="101" t="s">
        <v>464</v>
      </c>
      <c r="AE2" s="101" t="s">
        <v>465</v>
      </c>
      <c r="AF2" s="101" t="s">
        <v>466</v>
      </c>
      <c r="AG2" s="101" t="s">
        <v>467</v>
      </c>
      <c r="AH2" s="101" t="s">
        <v>468</v>
      </c>
      <c r="AI2" s="101" t="s">
        <v>469</v>
      </c>
      <c r="AJ2" s="101" t="s">
        <v>470</v>
      </c>
      <c r="AK2" s="101" t="s">
        <v>471</v>
      </c>
      <c r="AL2" s="101" t="s">
        <v>472</v>
      </c>
      <c r="AM2" s="101" t="s">
        <v>473</v>
      </c>
      <c r="AN2" s="101" t="s">
        <v>474</v>
      </c>
      <c r="AO2" s="101" t="s">
        <v>475</v>
      </c>
      <c r="AP2" s="101" t="s">
        <v>476</v>
      </c>
      <c r="AQ2" s="101" t="s">
        <v>477</v>
      </c>
      <c r="AR2" s="101" t="s">
        <v>478</v>
      </c>
      <c r="AS2" s="101" t="s">
        <v>479</v>
      </c>
      <c r="AT2" s="101" t="s">
        <v>480</v>
      </c>
      <c r="AU2" s="101" t="s">
        <v>481</v>
      </c>
      <c r="AV2" s="101" t="s">
        <v>482</v>
      </c>
      <c r="AW2" s="101" t="s">
        <v>483</v>
      </c>
      <c r="AX2" s="101" t="s">
        <v>484</v>
      </c>
      <c r="AY2" s="101" t="s">
        <v>485</v>
      </c>
      <c r="AZ2" s="101" t="s">
        <v>486</v>
      </c>
      <c r="BA2" s="101" t="s">
        <v>487</v>
      </c>
      <c r="BB2" s="101" t="s">
        <v>488</v>
      </c>
      <c r="BC2" s="101" t="s">
        <v>489</v>
      </c>
      <c r="BD2" s="101" t="s">
        <v>490</v>
      </c>
      <c r="BE2" s="101" t="s">
        <v>491</v>
      </c>
      <c r="BF2" s="101" t="s">
        <v>492</v>
      </c>
      <c r="BG2" s="102" t="s">
        <v>448</v>
      </c>
      <c r="BH2" s="102" t="s">
        <v>493</v>
      </c>
      <c r="BI2" s="102" t="s">
        <v>494</v>
      </c>
      <c r="BJ2" s="102" t="s">
        <v>493</v>
      </c>
      <c r="BK2" s="102" t="s">
        <v>494</v>
      </c>
    </row>
    <row r="3" spans="1:63" ht="30" x14ac:dyDescent="0.25">
      <c r="A3" s="8" t="s">
        <v>113</v>
      </c>
      <c r="B3" s="8">
        <v>89.7</v>
      </c>
      <c r="C3" s="8">
        <v>131141.4</v>
      </c>
      <c r="D3" s="8">
        <v>22480</v>
      </c>
      <c r="E3" s="8" t="s">
        <v>111</v>
      </c>
      <c r="F3" s="8" t="s">
        <v>112</v>
      </c>
      <c r="G3" s="8" t="s">
        <v>113</v>
      </c>
      <c r="H3" s="8">
        <v>1462</v>
      </c>
      <c r="I3" s="9">
        <f t="shared" ref="I3:I12" si="0">J3*B3</f>
        <v>59560.800000000003</v>
      </c>
      <c r="J3" s="10">
        <f>REMESSAS!W3</f>
        <v>664</v>
      </c>
      <c r="K3" s="11">
        <f t="shared" ref="K3:K66" si="1">MAX(H3-J3,0)</f>
        <v>798</v>
      </c>
      <c r="L3" s="11">
        <f t="shared" ref="L3:L66" si="2">MAX(J3-H3,0)</f>
        <v>0</v>
      </c>
      <c r="M3" s="11">
        <f t="shared" ref="M3:M66" si="3">J3-H3</f>
        <v>-798</v>
      </c>
      <c r="N3" s="11">
        <v>0</v>
      </c>
      <c r="O3" s="76">
        <v>598</v>
      </c>
      <c r="P3" s="76">
        <v>66</v>
      </c>
      <c r="Q3" s="76"/>
      <c r="R3" s="76"/>
      <c r="S3" s="3">
        <f t="shared" ref="S3:S66" si="4">IFERROR(J3/H3,0)</f>
        <v>0.45417236662106703</v>
      </c>
      <c r="T3" s="1" t="str">
        <f t="shared" ref="T3:T66" si="5">IF(H3=0,"Sem planejamento",IF(J3=0,"Crítico",IF(J3&lt;H3,"Recebimento Parcial",IF(J3=H3,"Atendido","Excedente"))))</f>
        <v>Recebimento Parcial</v>
      </c>
      <c r="U3" s="1" t="s">
        <v>114</v>
      </c>
      <c r="V3" s="1" t="s">
        <v>75</v>
      </c>
      <c r="W3" s="1" t="s">
        <v>495</v>
      </c>
      <c r="X3" s="2">
        <f t="shared" ref="X3:X66" si="6">IF(K3&lt;=0,0,IF(V3="P1 - Estrutural",ROUNDUP(K3,0),IF(V3="P2 - Pré-montagem",ROUNDUP(K3,0),IF(S3&lt;0.5,ROUNDUP(K3*0.5,0),0))))</f>
        <v>399</v>
      </c>
      <c r="Y3" s="1" t="str">
        <f t="shared" ref="Y3:Y66" si="7">IF(X3=0,"Monitorar",IF(V3="P1 - Estrutural","Enviar nesta semana",IF(V3="P2 - Pré-montagem","Programar pré-montagem/embarque","Enviar se houver espaço")))</f>
        <v>Enviar se houver espaço</v>
      </c>
      <c r="Z3" s="1" t="str">
        <f t="shared" ref="Z3:Z66" si="8">IF(AND(V3="P1 - Estrutural",K3&gt;0),"🔴 ALERTA P1",IF(AND(V3="P2 - Pré-montagem",K3&gt;0),"🟡 ALERTA P2",IF(AND(V3="P3 - Complementar",X3&gt;0),"🟢 PLANEJAR","OK")))</f>
        <v>OK</v>
      </c>
      <c r="AA3" s="11">
        <f t="shared" ref="AA3:AA66" si="9">IFERROR(H3/5,0)</f>
        <v>292.39999999999998</v>
      </c>
      <c r="AB3" s="11">
        <f t="shared" ref="AB3:AB66" si="10">IFERROR(MAX(K3/5,0),0)</f>
        <v>159.6</v>
      </c>
      <c r="AC3" s="1" t="s">
        <v>496</v>
      </c>
      <c r="AD3" s="1">
        <v>0</v>
      </c>
      <c r="AE3" s="1">
        <v>0</v>
      </c>
      <c r="AF3" s="1">
        <v>0</v>
      </c>
      <c r="AG3" s="1">
        <v>294</v>
      </c>
      <c r="AH3" s="1">
        <v>0</v>
      </c>
      <c r="AI3" s="76">
        <v>130</v>
      </c>
      <c r="AJ3" s="76">
        <f t="shared" ref="AJ3:AJ66" si="11">MAX($J3-$AI3,0)</f>
        <v>534</v>
      </c>
      <c r="AK3" s="1">
        <v>0</v>
      </c>
      <c r="AL3" s="1">
        <v>0</v>
      </c>
      <c r="AM3" s="1" t="str">
        <f t="shared" ref="AM3:AM66" si="12">IF($AI3&gt;0,IF($AJ3&lt;0,"CRÍTICO",IF($AJ3&lt;=$AK3,"ATENÇÃO","OK")),"")</f>
        <v>OK</v>
      </c>
      <c r="AN3" s="1">
        <f t="shared" ref="AN3:AN66" si="13">IF($AI3&gt;0,MAX($AK3-$AJ3,0),0)</f>
        <v>0</v>
      </c>
      <c r="AO3" s="1">
        <v>0</v>
      </c>
      <c r="AP3" s="61">
        <f t="shared" ref="AP3:AP66" si="14">$AW3</f>
        <v>0</v>
      </c>
      <c r="AQ3" s="61">
        <v>0</v>
      </c>
      <c r="AR3" s="76">
        <v>0</v>
      </c>
      <c r="AS3" s="76">
        <f t="shared" ref="AS3:AS66" si="15">MAX($J3-$O3,0)</f>
        <v>66</v>
      </c>
      <c r="AT3" s="69" t="str">
        <f t="shared" ref="AT3:AT66" si="16">IF($O3=0,"OK",IF($J3-$O3&lt;0,"CRÍTICO",IF($J3-$O3&lt;($H3*0.1),"ATENÇÃO","OK")))</f>
        <v>ATENÇÃO</v>
      </c>
      <c r="AU3" s="77">
        <f t="shared" ref="AU3:AU66" si="17">MAX($O3+$H3-$J3,0)</f>
        <v>1396</v>
      </c>
      <c r="AV3" s="61" t="str">
        <f t="shared" ref="AV3:AV66" si="18">IF($AI3&gt;0,"Fluxo JOIST: apontamento x consumo por item",IF($AR3&gt;0,"Fluxo RUA: SIM no apontamento x mapa de ruas",IF($AX3&gt;1,"TAG comum em mais de uma rua: sem sinalização automática",IF($AX3=0,"Sem mapa/sem consumo automático","Aguardando baixa"))))</f>
        <v>Fluxo JOIST: apontamento x consumo por item</v>
      </c>
      <c r="AW3" s="70"/>
      <c r="AX3" s="70">
        <v>0</v>
      </c>
      <c r="AY3" s="71" t="str">
        <f t="shared" ref="AY3:AY66" si="19">IF($AI3&gt;0,"BAIXA POR JOIST",IF($BD3&gt;0,"BAIXA POR RUA PROPORCIONAL",IF($AX3=0,"NÃO MAPEADO","MAPEADO")))</f>
        <v>BAIXA POR JOIST</v>
      </c>
      <c r="AZ3" s="70" t="s">
        <v>497</v>
      </c>
      <c r="BA3" s="71" t="str">
        <f t="shared" ref="BA3:BA66" si="20">IF($AR3&gt;0,"BAIXADO POR RUA",IF($BD3&gt;0,"AGUARDANDO RUA=SIM",""))</f>
        <v/>
      </c>
      <c r="BB3" s="70" t="str">
        <f t="shared" ref="BB3:BB66" si="21">IF($AX3&gt;1,"TAG comum: baixa parcial conforme QTD_NA_RUA no Mapa_Ruas_Estrutural",IF($AX3=1,"TAG particular: baixa conforme rua",IF($AI3&gt;0,"Baixa por apontamento de JOIST","Verificar cadastro")))</f>
        <v>Baixa por apontamento de JOIST</v>
      </c>
      <c r="BC3" s="78">
        <v>0</v>
      </c>
      <c r="BD3" s="78">
        <f t="shared" ref="BD3:BD66" si="22">$AR3</f>
        <v>0</v>
      </c>
      <c r="BE3" s="78">
        <v>294</v>
      </c>
      <c r="BF3">
        <v>0</v>
      </c>
      <c r="BG3">
        <v>0</v>
      </c>
      <c r="BH3">
        <v>294</v>
      </c>
      <c r="BI3" s="103">
        <v>46263.348506944443</v>
      </c>
      <c r="BJ3">
        <v>130</v>
      </c>
      <c r="BK3" s="103">
        <v>46247.596365740741</v>
      </c>
    </row>
    <row r="4" spans="1:63" ht="30" x14ac:dyDescent="0.25">
      <c r="A4" s="8" t="s">
        <v>116</v>
      </c>
      <c r="B4" s="8">
        <v>70.8</v>
      </c>
      <c r="C4" s="8">
        <v>115687.2</v>
      </c>
      <c r="D4" s="8">
        <v>21200</v>
      </c>
      <c r="E4" s="8" t="s">
        <v>115</v>
      </c>
      <c r="F4" s="8" t="s">
        <v>112</v>
      </c>
      <c r="G4" s="8" t="s">
        <v>116</v>
      </c>
      <c r="H4" s="8">
        <v>1634</v>
      </c>
      <c r="I4" s="9">
        <f t="shared" si="0"/>
        <v>52675.199999999997</v>
      </c>
      <c r="J4" s="10">
        <f>REMESSAS!W4</f>
        <v>744</v>
      </c>
      <c r="K4" s="11">
        <f t="shared" si="1"/>
        <v>890</v>
      </c>
      <c r="L4" s="11">
        <f t="shared" si="2"/>
        <v>0</v>
      </c>
      <c r="M4" s="11">
        <f t="shared" si="3"/>
        <v>-890</v>
      </c>
      <c r="N4" s="11">
        <v>0</v>
      </c>
      <c r="O4" s="76">
        <v>598</v>
      </c>
      <c r="P4" s="76">
        <v>146</v>
      </c>
      <c r="Q4" s="76"/>
      <c r="R4" s="76"/>
      <c r="S4" s="3">
        <f t="shared" si="4"/>
        <v>0.45532435740514077</v>
      </c>
      <c r="T4" s="1" t="str">
        <f t="shared" si="5"/>
        <v>Recebimento Parcial</v>
      </c>
      <c r="U4" s="1" t="s">
        <v>114</v>
      </c>
      <c r="V4" s="1" t="s">
        <v>75</v>
      </c>
      <c r="W4" s="1" t="s">
        <v>495</v>
      </c>
      <c r="X4" s="2">
        <f t="shared" si="6"/>
        <v>445</v>
      </c>
      <c r="Y4" s="1" t="str">
        <f t="shared" si="7"/>
        <v>Enviar se houver espaço</v>
      </c>
      <c r="Z4" s="1" t="str">
        <f t="shared" si="8"/>
        <v>OK</v>
      </c>
      <c r="AA4" s="11">
        <f t="shared" si="9"/>
        <v>326.8</v>
      </c>
      <c r="AB4" s="11">
        <f t="shared" si="10"/>
        <v>178</v>
      </c>
      <c r="AC4" s="1" t="s">
        <v>496</v>
      </c>
      <c r="AD4" s="1">
        <v>0</v>
      </c>
      <c r="AE4" s="1">
        <v>0</v>
      </c>
      <c r="AF4" s="1">
        <v>0</v>
      </c>
      <c r="AG4" s="1">
        <v>294</v>
      </c>
      <c r="AH4" s="1">
        <v>0</v>
      </c>
      <c r="AI4" s="76">
        <v>130</v>
      </c>
      <c r="AJ4" s="76">
        <f t="shared" si="11"/>
        <v>614</v>
      </c>
      <c r="AK4" s="1">
        <v>0</v>
      </c>
      <c r="AL4" s="1">
        <v>0</v>
      </c>
      <c r="AM4" s="1" t="str">
        <f t="shared" si="12"/>
        <v>OK</v>
      </c>
      <c r="AN4" s="1">
        <f t="shared" si="13"/>
        <v>0</v>
      </c>
      <c r="AO4" s="1">
        <v>0</v>
      </c>
      <c r="AP4" s="61">
        <f t="shared" si="14"/>
        <v>0</v>
      </c>
      <c r="AQ4" s="61">
        <v>0</v>
      </c>
      <c r="AR4" s="76">
        <v>0</v>
      </c>
      <c r="AS4" s="76">
        <f t="shared" si="15"/>
        <v>146</v>
      </c>
      <c r="AT4" s="69" t="str">
        <f t="shared" si="16"/>
        <v>ATENÇÃO</v>
      </c>
      <c r="AU4" s="77">
        <f t="shared" si="17"/>
        <v>1488</v>
      </c>
      <c r="AV4" s="61" t="str">
        <f t="shared" si="18"/>
        <v>Fluxo JOIST: apontamento x consumo por item</v>
      </c>
      <c r="AW4" s="70"/>
      <c r="AX4" s="70">
        <v>0</v>
      </c>
      <c r="AY4" s="71" t="str">
        <f t="shared" si="19"/>
        <v>BAIXA POR JOIST</v>
      </c>
      <c r="AZ4" s="70" t="s">
        <v>497</v>
      </c>
      <c r="BA4" s="71" t="str">
        <f t="shared" si="20"/>
        <v/>
      </c>
      <c r="BB4" s="70" t="str">
        <f t="shared" si="21"/>
        <v>Baixa por apontamento de JOIST</v>
      </c>
      <c r="BC4" s="78">
        <v>0</v>
      </c>
      <c r="BD4" s="78">
        <f t="shared" si="22"/>
        <v>0</v>
      </c>
      <c r="BE4" s="78">
        <v>294</v>
      </c>
      <c r="BF4">
        <v>0</v>
      </c>
      <c r="BG4">
        <v>0</v>
      </c>
      <c r="BH4">
        <v>294</v>
      </c>
      <c r="BI4" s="103">
        <v>46263.348506944443</v>
      </c>
      <c r="BJ4">
        <v>130</v>
      </c>
      <c r="BK4" s="103">
        <v>46247.596365740741</v>
      </c>
    </row>
    <row r="5" spans="1:63" ht="30" x14ac:dyDescent="0.25">
      <c r="A5" s="8" t="s">
        <v>117</v>
      </c>
      <c r="B5" s="8">
        <v>91.2</v>
      </c>
      <c r="C5" s="8">
        <v>15686.4</v>
      </c>
      <c r="D5" s="8">
        <v>22845</v>
      </c>
      <c r="E5" s="8" t="s">
        <v>111</v>
      </c>
      <c r="F5" s="8" t="s">
        <v>112</v>
      </c>
      <c r="G5" s="8" t="s">
        <v>117</v>
      </c>
      <c r="H5" s="8">
        <v>172</v>
      </c>
      <c r="I5" s="9">
        <f t="shared" si="0"/>
        <v>7843.2</v>
      </c>
      <c r="J5" s="10">
        <f>REMESSAS!W5</f>
        <v>86</v>
      </c>
      <c r="K5" s="11">
        <f t="shared" si="1"/>
        <v>86</v>
      </c>
      <c r="L5" s="11">
        <f t="shared" si="2"/>
        <v>0</v>
      </c>
      <c r="M5" s="11">
        <f t="shared" si="3"/>
        <v>-86</v>
      </c>
      <c r="N5" s="11">
        <v>0</v>
      </c>
      <c r="O5" s="76">
        <v>0</v>
      </c>
      <c r="P5" s="76">
        <v>86</v>
      </c>
      <c r="Q5" s="76"/>
      <c r="R5" s="76"/>
      <c r="S5" s="3">
        <f t="shared" si="4"/>
        <v>0.5</v>
      </c>
      <c r="T5" s="1" t="str">
        <f t="shared" si="5"/>
        <v>Recebimento Parcial</v>
      </c>
      <c r="U5" s="1" t="s">
        <v>114</v>
      </c>
      <c r="V5" s="1" t="s">
        <v>75</v>
      </c>
      <c r="W5" s="1" t="s">
        <v>495</v>
      </c>
      <c r="X5" s="2">
        <f t="shared" si="6"/>
        <v>0</v>
      </c>
      <c r="Y5" s="1" t="str">
        <f t="shared" si="7"/>
        <v>Monitorar</v>
      </c>
      <c r="Z5" s="1" t="str">
        <f t="shared" si="8"/>
        <v>OK</v>
      </c>
      <c r="AA5" s="11">
        <f t="shared" si="9"/>
        <v>34.4</v>
      </c>
      <c r="AB5" s="11">
        <f t="shared" si="10"/>
        <v>17.2</v>
      </c>
      <c r="AC5" s="1" t="s">
        <v>496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76">
        <v>0</v>
      </c>
      <c r="AJ5" s="76">
        <f t="shared" si="11"/>
        <v>86</v>
      </c>
      <c r="AK5" s="1">
        <v>0</v>
      </c>
      <c r="AL5" s="1">
        <v>0</v>
      </c>
      <c r="AM5" s="1" t="str">
        <f t="shared" si="12"/>
        <v/>
      </c>
      <c r="AN5" s="1">
        <f t="shared" si="13"/>
        <v>0</v>
      </c>
      <c r="AO5" s="1">
        <v>0</v>
      </c>
      <c r="AP5" s="61">
        <f t="shared" si="14"/>
        <v>0</v>
      </c>
      <c r="AQ5" s="61">
        <v>0</v>
      </c>
      <c r="AR5" s="76">
        <v>0</v>
      </c>
      <c r="AS5" s="76">
        <f t="shared" si="15"/>
        <v>86</v>
      </c>
      <c r="AT5" s="69" t="str">
        <f t="shared" si="16"/>
        <v>OK</v>
      </c>
      <c r="AU5" s="77">
        <f t="shared" si="17"/>
        <v>86</v>
      </c>
      <c r="AV5" s="61" t="str">
        <f t="shared" si="18"/>
        <v>Sem mapa/sem consumo automático</v>
      </c>
      <c r="AW5" s="70"/>
      <c r="AX5" s="70">
        <v>0</v>
      </c>
      <c r="AY5" s="71" t="str">
        <f t="shared" si="19"/>
        <v>NÃO MAPEADO</v>
      </c>
      <c r="AZ5" s="70" t="s">
        <v>497</v>
      </c>
      <c r="BA5" s="71" t="str">
        <f t="shared" si="20"/>
        <v/>
      </c>
      <c r="BB5" s="70" t="str">
        <f t="shared" si="21"/>
        <v>Verificar cadastro</v>
      </c>
      <c r="BC5" s="78">
        <v>0</v>
      </c>
      <c r="BD5" s="78">
        <f t="shared" si="22"/>
        <v>0</v>
      </c>
      <c r="BE5" s="78">
        <v>0</v>
      </c>
      <c r="BF5">
        <v>0</v>
      </c>
      <c r="BG5">
        <v>0</v>
      </c>
      <c r="BH5">
        <v>0</v>
      </c>
      <c r="BJ5">
        <v>0</v>
      </c>
      <c r="BK5" s="103"/>
    </row>
    <row r="6" spans="1:63" ht="30" x14ac:dyDescent="0.25">
      <c r="A6" s="8" t="s">
        <v>120</v>
      </c>
      <c r="B6" s="8">
        <v>2.8</v>
      </c>
      <c r="C6" s="8">
        <v>9150.4</v>
      </c>
      <c r="D6" s="8">
        <v>1152</v>
      </c>
      <c r="E6" s="8" t="s">
        <v>118</v>
      </c>
      <c r="F6" s="8" t="s">
        <v>119</v>
      </c>
      <c r="G6" s="8" t="s">
        <v>120</v>
      </c>
      <c r="H6" s="8">
        <v>3268</v>
      </c>
      <c r="I6" s="9">
        <f t="shared" si="0"/>
        <v>7834.4</v>
      </c>
      <c r="J6" s="10">
        <f>REMESSAS!W6</f>
        <v>2798</v>
      </c>
      <c r="K6" s="11">
        <f t="shared" si="1"/>
        <v>470</v>
      </c>
      <c r="L6" s="11">
        <f t="shared" si="2"/>
        <v>0</v>
      </c>
      <c r="M6" s="11">
        <f t="shared" si="3"/>
        <v>-470</v>
      </c>
      <c r="N6" s="149">
        <v>0</v>
      </c>
      <c r="O6" s="76">
        <v>1196</v>
      </c>
      <c r="P6" s="76">
        <v>1602</v>
      </c>
      <c r="Q6" s="76"/>
      <c r="R6" s="76"/>
      <c r="S6" s="3">
        <f t="shared" si="4"/>
        <v>0.85618115055079558</v>
      </c>
      <c r="T6" s="1" t="str">
        <f t="shared" si="5"/>
        <v>Recebimento Parcial</v>
      </c>
      <c r="U6" s="1" t="s">
        <v>114</v>
      </c>
      <c r="V6" s="1" t="s">
        <v>75</v>
      </c>
      <c r="W6" s="1" t="s">
        <v>495</v>
      </c>
      <c r="X6" s="2">
        <f t="shared" si="6"/>
        <v>0</v>
      </c>
      <c r="Y6" s="1" t="str">
        <f t="shared" si="7"/>
        <v>Monitorar</v>
      </c>
      <c r="Z6" s="1" t="str">
        <f t="shared" si="8"/>
        <v>OK</v>
      </c>
      <c r="AA6" s="11">
        <f t="shared" si="9"/>
        <v>653.6</v>
      </c>
      <c r="AB6" s="11">
        <f t="shared" si="10"/>
        <v>94</v>
      </c>
      <c r="AC6" s="1" t="s">
        <v>496</v>
      </c>
      <c r="AD6" s="1">
        <v>0</v>
      </c>
      <c r="AE6" s="1">
        <v>0</v>
      </c>
      <c r="AF6" s="1">
        <v>0</v>
      </c>
      <c r="AG6" s="1">
        <v>588</v>
      </c>
      <c r="AH6" s="1">
        <v>0</v>
      </c>
      <c r="AI6" s="76">
        <v>260</v>
      </c>
      <c r="AJ6" s="76">
        <f t="shared" si="11"/>
        <v>2538</v>
      </c>
      <c r="AK6" s="1">
        <v>0</v>
      </c>
      <c r="AL6" s="1">
        <v>0</v>
      </c>
      <c r="AM6" s="1" t="str">
        <f t="shared" si="12"/>
        <v>OK</v>
      </c>
      <c r="AN6" s="1">
        <f t="shared" si="13"/>
        <v>0</v>
      </c>
      <c r="AO6" s="1">
        <v>0</v>
      </c>
      <c r="AP6" s="61">
        <f t="shared" si="14"/>
        <v>0</v>
      </c>
      <c r="AQ6" s="61">
        <v>0</v>
      </c>
      <c r="AR6" s="76">
        <v>0</v>
      </c>
      <c r="AS6" s="76">
        <f t="shared" si="15"/>
        <v>1602</v>
      </c>
      <c r="AT6" s="69" t="str">
        <f t="shared" si="16"/>
        <v>OK</v>
      </c>
      <c r="AU6" s="77">
        <f t="shared" si="17"/>
        <v>1666</v>
      </c>
      <c r="AV6" s="61" t="str">
        <f t="shared" si="18"/>
        <v>Fluxo JOIST: apontamento x consumo por item</v>
      </c>
      <c r="AW6" s="70"/>
      <c r="AX6" s="70">
        <v>0</v>
      </c>
      <c r="AY6" s="71" t="str">
        <f t="shared" si="19"/>
        <v>BAIXA POR JOIST</v>
      </c>
      <c r="AZ6" s="70" t="s">
        <v>497</v>
      </c>
      <c r="BA6" s="71" t="str">
        <f t="shared" si="20"/>
        <v/>
      </c>
      <c r="BB6" s="70" t="str">
        <f t="shared" si="21"/>
        <v>Baixa por apontamento de JOIST</v>
      </c>
      <c r="BC6" s="78">
        <v>0</v>
      </c>
      <c r="BD6" s="78">
        <f t="shared" si="22"/>
        <v>0</v>
      </c>
      <c r="BE6" s="78">
        <v>588</v>
      </c>
      <c r="BF6">
        <v>0</v>
      </c>
      <c r="BG6">
        <v>0</v>
      </c>
      <c r="BH6">
        <v>588</v>
      </c>
      <c r="BI6" s="103">
        <v>46263.348506944443</v>
      </c>
      <c r="BJ6">
        <v>260</v>
      </c>
      <c r="BK6" s="103">
        <v>46247.596365740741</v>
      </c>
    </row>
    <row r="7" spans="1:63" ht="30" x14ac:dyDescent="0.25">
      <c r="A7" s="8" t="s">
        <v>121</v>
      </c>
      <c r="B7" s="8">
        <v>3</v>
      </c>
      <c r="C7" s="8">
        <v>9804</v>
      </c>
      <c r="D7" s="8">
        <v>1225</v>
      </c>
      <c r="E7" s="8" t="s">
        <v>118</v>
      </c>
      <c r="F7" s="8" t="s">
        <v>119</v>
      </c>
      <c r="G7" s="8" t="s">
        <v>121</v>
      </c>
      <c r="H7" s="8">
        <v>3268</v>
      </c>
      <c r="I7" s="9">
        <f t="shared" si="0"/>
        <v>8400</v>
      </c>
      <c r="J7" s="10">
        <f>REMESSAS!W7</f>
        <v>2800</v>
      </c>
      <c r="K7" s="11">
        <f t="shared" si="1"/>
        <v>468</v>
      </c>
      <c r="L7" s="11">
        <f t="shared" si="2"/>
        <v>0</v>
      </c>
      <c r="M7" s="11">
        <f t="shared" si="3"/>
        <v>-468</v>
      </c>
      <c r="N7" s="11">
        <v>0</v>
      </c>
      <c r="O7" s="76">
        <v>1196</v>
      </c>
      <c r="P7" s="76">
        <v>1604</v>
      </c>
      <c r="Q7" s="76"/>
      <c r="R7" s="76"/>
      <c r="S7" s="3">
        <f t="shared" si="4"/>
        <v>0.85679314565483478</v>
      </c>
      <c r="T7" s="1" t="str">
        <f t="shared" si="5"/>
        <v>Recebimento Parcial</v>
      </c>
      <c r="U7" s="1" t="s">
        <v>114</v>
      </c>
      <c r="V7" s="1" t="s">
        <v>75</v>
      </c>
      <c r="W7" s="1" t="s">
        <v>495</v>
      </c>
      <c r="X7" s="2">
        <f t="shared" si="6"/>
        <v>0</v>
      </c>
      <c r="Y7" s="1" t="str">
        <f t="shared" si="7"/>
        <v>Monitorar</v>
      </c>
      <c r="Z7" s="1" t="str">
        <f t="shared" si="8"/>
        <v>OK</v>
      </c>
      <c r="AA7" s="11">
        <f t="shared" si="9"/>
        <v>653.6</v>
      </c>
      <c r="AB7" s="11">
        <f t="shared" si="10"/>
        <v>93.6</v>
      </c>
      <c r="AC7" s="1" t="s">
        <v>496</v>
      </c>
      <c r="AD7" s="1">
        <v>0</v>
      </c>
      <c r="AE7" s="1">
        <v>0</v>
      </c>
      <c r="AF7" s="1">
        <v>0</v>
      </c>
      <c r="AG7" s="1">
        <v>588</v>
      </c>
      <c r="AH7" s="1">
        <v>0</v>
      </c>
      <c r="AI7" s="76">
        <v>260</v>
      </c>
      <c r="AJ7" s="76">
        <f t="shared" si="11"/>
        <v>2540</v>
      </c>
      <c r="AK7" s="1">
        <v>0</v>
      </c>
      <c r="AL7" s="1">
        <v>0</v>
      </c>
      <c r="AM7" s="1" t="str">
        <f t="shared" si="12"/>
        <v>OK</v>
      </c>
      <c r="AN7" s="1">
        <f t="shared" si="13"/>
        <v>0</v>
      </c>
      <c r="AO7" s="1">
        <v>0</v>
      </c>
      <c r="AP7" s="61">
        <f t="shared" si="14"/>
        <v>0</v>
      </c>
      <c r="AQ7" s="61">
        <v>0</v>
      </c>
      <c r="AR7" s="76">
        <v>0</v>
      </c>
      <c r="AS7" s="76">
        <f t="shared" si="15"/>
        <v>1604</v>
      </c>
      <c r="AT7" s="69" t="str">
        <f t="shared" si="16"/>
        <v>OK</v>
      </c>
      <c r="AU7" s="77">
        <f t="shared" si="17"/>
        <v>1664</v>
      </c>
      <c r="AV7" s="61" t="str">
        <f t="shared" si="18"/>
        <v>Fluxo JOIST: apontamento x consumo por item</v>
      </c>
      <c r="AW7" s="70"/>
      <c r="AX7" s="70">
        <v>0</v>
      </c>
      <c r="AY7" s="71" t="str">
        <f t="shared" si="19"/>
        <v>BAIXA POR JOIST</v>
      </c>
      <c r="AZ7" s="70" t="s">
        <v>497</v>
      </c>
      <c r="BA7" s="71" t="str">
        <f t="shared" si="20"/>
        <v/>
      </c>
      <c r="BB7" s="70" t="str">
        <f t="shared" si="21"/>
        <v>Baixa por apontamento de JOIST</v>
      </c>
      <c r="BC7" s="78">
        <v>0</v>
      </c>
      <c r="BD7" s="78">
        <f t="shared" si="22"/>
        <v>0</v>
      </c>
      <c r="BE7" s="78">
        <v>588</v>
      </c>
      <c r="BF7">
        <v>0</v>
      </c>
      <c r="BG7">
        <v>0</v>
      </c>
      <c r="BH7">
        <v>588</v>
      </c>
      <c r="BI7" s="103">
        <v>46263.348506944443</v>
      </c>
      <c r="BJ7">
        <v>260</v>
      </c>
      <c r="BK7" s="103">
        <v>46247.596365740741</v>
      </c>
    </row>
    <row r="8" spans="1:63" ht="30" x14ac:dyDescent="0.25">
      <c r="A8" s="8" t="s">
        <v>123</v>
      </c>
      <c r="B8" s="8">
        <v>2.4</v>
      </c>
      <c r="C8" s="8">
        <v>101961.59999999999</v>
      </c>
      <c r="D8" s="8">
        <v>1252</v>
      </c>
      <c r="E8" s="8" t="s">
        <v>122</v>
      </c>
      <c r="F8" s="8" t="s">
        <v>119</v>
      </c>
      <c r="G8" s="8" t="s">
        <v>123</v>
      </c>
      <c r="H8" s="8">
        <v>42484</v>
      </c>
      <c r="I8" s="9">
        <f t="shared" si="0"/>
        <v>43804.799999999996</v>
      </c>
      <c r="J8" s="10">
        <f>REMESSAS!W8</f>
        <v>18252</v>
      </c>
      <c r="K8" s="11">
        <f t="shared" si="1"/>
        <v>24232</v>
      </c>
      <c r="L8" s="11">
        <f t="shared" si="2"/>
        <v>0</v>
      </c>
      <c r="M8" s="11">
        <f t="shared" si="3"/>
        <v>-24232</v>
      </c>
      <c r="N8" s="11">
        <v>0</v>
      </c>
      <c r="O8" s="76">
        <v>15548</v>
      </c>
      <c r="P8" s="76">
        <v>2704</v>
      </c>
      <c r="Q8" s="76"/>
      <c r="R8" s="76"/>
      <c r="S8" s="3">
        <f t="shared" si="4"/>
        <v>0.42962056303549573</v>
      </c>
      <c r="T8" s="1" t="str">
        <f t="shared" si="5"/>
        <v>Recebimento Parcial</v>
      </c>
      <c r="U8" s="1" t="s">
        <v>114</v>
      </c>
      <c r="V8" s="1" t="s">
        <v>75</v>
      </c>
      <c r="W8" s="1" t="s">
        <v>495</v>
      </c>
      <c r="X8" s="2">
        <f t="shared" si="6"/>
        <v>12116</v>
      </c>
      <c r="Y8" s="1" t="str">
        <f t="shared" si="7"/>
        <v>Enviar se houver espaço</v>
      </c>
      <c r="Z8" s="1" t="str">
        <f t="shared" si="8"/>
        <v>OK</v>
      </c>
      <c r="AA8" s="11">
        <f t="shared" si="9"/>
        <v>8496.7999999999993</v>
      </c>
      <c r="AB8" s="11">
        <f t="shared" si="10"/>
        <v>4846.3999999999996</v>
      </c>
      <c r="AC8" s="1" t="s">
        <v>496</v>
      </c>
      <c r="AD8" s="1">
        <v>0</v>
      </c>
      <c r="AE8" s="1">
        <v>0</v>
      </c>
      <c r="AF8" s="1">
        <v>0</v>
      </c>
      <c r="AG8" s="1">
        <v>7644</v>
      </c>
      <c r="AH8" s="1">
        <v>0</v>
      </c>
      <c r="AI8" s="76">
        <v>3380</v>
      </c>
      <c r="AJ8" s="76">
        <f t="shared" si="11"/>
        <v>14872</v>
      </c>
      <c r="AK8" s="1">
        <v>0</v>
      </c>
      <c r="AL8" s="1">
        <v>0</v>
      </c>
      <c r="AM8" s="1" t="str">
        <f t="shared" si="12"/>
        <v>OK</v>
      </c>
      <c r="AN8" s="1">
        <f t="shared" si="13"/>
        <v>0</v>
      </c>
      <c r="AO8" s="1">
        <v>0</v>
      </c>
      <c r="AP8" s="61">
        <f t="shared" si="14"/>
        <v>0</v>
      </c>
      <c r="AQ8" s="61">
        <v>0</v>
      </c>
      <c r="AR8" s="76">
        <v>0</v>
      </c>
      <c r="AS8" s="76">
        <f t="shared" si="15"/>
        <v>2704</v>
      </c>
      <c r="AT8" s="69" t="str">
        <f t="shared" si="16"/>
        <v>ATENÇÃO</v>
      </c>
      <c r="AU8" s="77">
        <f t="shared" si="17"/>
        <v>39780</v>
      </c>
      <c r="AV8" s="61" t="str">
        <f t="shared" si="18"/>
        <v>Fluxo JOIST: apontamento x consumo por item</v>
      </c>
      <c r="AW8" s="70"/>
      <c r="AX8" s="70">
        <v>0</v>
      </c>
      <c r="AY8" s="71" t="str">
        <f t="shared" si="19"/>
        <v>BAIXA POR JOIST</v>
      </c>
      <c r="AZ8" s="70" t="s">
        <v>497</v>
      </c>
      <c r="BA8" s="71" t="str">
        <f t="shared" si="20"/>
        <v/>
      </c>
      <c r="BB8" s="70" t="str">
        <f t="shared" si="21"/>
        <v>Baixa por apontamento de JOIST</v>
      </c>
      <c r="BC8" s="78">
        <v>0</v>
      </c>
      <c r="BD8" s="78">
        <f t="shared" si="22"/>
        <v>0</v>
      </c>
      <c r="BE8" s="78">
        <v>7644</v>
      </c>
      <c r="BF8">
        <v>0</v>
      </c>
      <c r="BG8">
        <v>0</v>
      </c>
      <c r="BH8">
        <v>7644</v>
      </c>
      <c r="BI8" s="103">
        <v>46263.348506944443</v>
      </c>
      <c r="BJ8">
        <v>3380</v>
      </c>
      <c r="BK8" s="103">
        <v>46247.596365740741</v>
      </c>
    </row>
    <row r="9" spans="1:63" ht="30" x14ac:dyDescent="0.25">
      <c r="A9" s="8" t="s">
        <v>126</v>
      </c>
      <c r="B9" s="8">
        <v>0.2</v>
      </c>
      <c r="C9" s="8">
        <v>10457.6</v>
      </c>
      <c r="D9" s="8">
        <v>242</v>
      </c>
      <c r="E9" s="8" t="s">
        <v>124</v>
      </c>
      <c r="F9" s="8" t="s">
        <v>125</v>
      </c>
      <c r="G9" s="8" t="s">
        <v>126</v>
      </c>
      <c r="H9" s="8">
        <v>52288</v>
      </c>
      <c r="I9" s="9">
        <f t="shared" si="0"/>
        <v>5680</v>
      </c>
      <c r="J9" s="10">
        <f>REMESSAS!W9</f>
        <v>28400</v>
      </c>
      <c r="K9" s="11">
        <f t="shared" si="1"/>
        <v>23888</v>
      </c>
      <c r="L9" s="11">
        <f t="shared" si="2"/>
        <v>0</v>
      </c>
      <c r="M9" s="11">
        <f t="shared" si="3"/>
        <v>-23888</v>
      </c>
      <c r="N9" s="11">
        <v>0</v>
      </c>
      <c r="O9" s="76">
        <v>19136</v>
      </c>
      <c r="P9" s="76">
        <v>9264</v>
      </c>
      <c r="Q9" s="76"/>
      <c r="R9" s="76"/>
      <c r="S9" s="3">
        <f t="shared" si="4"/>
        <v>0.54314565483476129</v>
      </c>
      <c r="T9" s="1" t="str">
        <f t="shared" si="5"/>
        <v>Recebimento Parcial</v>
      </c>
      <c r="U9" s="1" t="s">
        <v>114</v>
      </c>
      <c r="V9" s="1" t="s">
        <v>75</v>
      </c>
      <c r="W9" s="1" t="s">
        <v>495</v>
      </c>
      <c r="X9" s="2">
        <f t="shared" si="6"/>
        <v>0</v>
      </c>
      <c r="Y9" s="1" t="str">
        <f t="shared" si="7"/>
        <v>Monitorar</v>
      </c>
      <c r="Z9" s="1" t="str">
        <f t="shared" si="8"/>
        <v>OK</v>
      </c>
      <c r="AA9" s="11">
        <f t="shared" si="9"/>
        <v>10457.6</v>
      </c>
      <c r="AB9" s="11">
        <f t="shared" si="10"/>
        <v>4777.6000000000004</v>
      </c>
      <c r="AC9" s="1" t="s">
        <v>496</v>
      </c>
      <c r="AD9" s="1">
        <v>0</v>
      </c>
      <c r="AE9" s="1">
        <v>0</v>
      </c>
      <c r="AF9" s="1">
        <v>0</v>
      </c>
      <c r="AG9" s="1">
        <v>9408</v>
      </c>
      <c r="AH9" s="1">
        <v>0</v>
      </c>
      <c r="AI9" s="76">
        <v>4160</v>
      </c>
      <c r="AJ9" s="76">
        <f t="shared" si="11"/>
        <v>24240</v>
      </c>
      <c r="AK9" s="1">
        <v>0</v>
      </c>
      <c r="AL9" s="1">
        <v>0</v>
      </c>
      <c r="AM9" s="1" t="str">
        <f t="shared" si="12"/>
        <v>OK</v>
      </c>
      <c r="AN9" s="1">
        <f t="shared" si="13"/>
        <v>0</v>
      </c>
      <c r="AO9" s="1">
        <v>0</v>
      </c>
      <c r="AP9" s="61">
        <f t="shared" si="14"/>
        <v>0</v>
      </c>
      <c r="AQ9" s="61">
        <v>0</v>
      </c>
      <c r="AR9" s="76">
        <v>0</v>
      </c>
      <c r="AS9" s="76">
        <f t="shared" si="15"/>
        <v>9264</v>
      </c>
      <c r="AT9" s="69" t="str">
        <f t="shared" si="16"/>
        <v>OK</v>
      </c>
      <c r="AU9" s="77">
        <f t="shared" si="17"/>
        <v>43024</v>
      </c>
      <c r="AV9" s="61" t="str">
        <f t="shared" si="18"/>
        <v>Fluxo JOIST: apontamento x consumo por item</v>
      </c>
      <c r="AW9" s="70"/>
      <c r="AX9" s="70">
        <v>0</v>
      </c>
      <c r="AY9" s="71" t="str">
        <f t="shared" si="19"/>
        <v>BAIXA POR JOIST</v>
      </c>
      <c r="AZ9" s="70" t="s">
        <v>497</v>
      </c>
      <c r="BA9" s="71" t="str">
        <f t="shared" si="20"/>
        <v/>
      </c>
      <c r="BB9" s="70" t="str">
        <f t="shared" si="21"/>
        <v>Baixa por apontamento de JOIST</v>
      </c>
      <c r="BC9" s="78">
        <v>0</v>
      </c>
      <c r="BD9" s="78">
        <f t="shared" si="22"/>
        <v>0</v>
      </c>
      <c r="BE9" s="78">
        <v>9408</v>
      </c>
      <c r="BF9">
        <v>0</v>
      </c>
      <c r="BG9">
        <v>0</v>
      </c>
      <c r="BH9">
        <v>9408</v>
      </c>
      <c r="BI9" s="103">
        <v>46263.348506944443</v>
      </c>
      <c r="BJ9">
        <v>4160</v>
      </c>
      <c r="BK9" s="103">
        <v>46247.596365740741</v>
      </c>
    </row>
    <row r="10" spans="1:63" ht="30" x14ac:dyDescent="0.25">
      <c r="A10" s="8" t="s">
        <v>128</v>
      </c>
      <c r="B10" s="8">
        <v>0.3</v>
      </c>
      <c r="C10" s="8">
        <v>1960.8</v>
      </c>
      <c r="D10" s="8">
        <v>150</v>
      </c>
      <c r="E10" s="8" t="s">
        <v>127</v>
      </c>
      <c r="F10" s="8" t="s">
        <v>125</v>
      </c>
      <c r="G10" s="8" t="s">
        <v>128</v>
      </c>
      <c r="H10" s="8">
        <v>6536</v>
      </c>
      <c r="I10" s="9">
        <f t="shared" si="0"/>
        <v>1380</v>
      </c>
      <c r="J10" s="10">
        <f>REMESSAS!W10</f>
        <v>4600</v>
      </c>
      <c r="K10" s="11">
        <f t="shared" si="1"/>
        <v>1936</v>
      </c>
      <c r="L10" s="11">
        <f t="shared" si="2"/>
        <v>0</v>
      </c>
      <c r="M10" s="11">
        <f t="shared" si="3"/>
        <v>-1936</v>
      </c>
      <c r="N10" s="11">
        <v>0</v>
      </c>
      <c r="O10" s="76">
        <v>2392</v>
      </c>
      <c r="P10" s="76">
        <v>2208</v>
      </c>
      <c r="Q10" s="76"/>
      <c r="R10" s="76"/>
      <c r="S10" s="3">
        <f t="shared" si="4"/>
        <v>0.70379436964504283</v>
      </c>
      <c r="T10" s="1" t="str">
        <f t="shared" si="5"/>
        <v>Recebimento Parcial</v>
      </c>
      <c r="U10" s="1" t="s">
        <v>114</v>
      </c>
      <c r="V10" s="1" t="s">
        <v>75</v>
      </c>
      <c r="W10" s="1" t="s">
        <v>495</v>
      </c>
      <c r="X10" s="2">
        <f t="shared" si="6"/>
        <v>0</v>
      </c>
      <c r="Y10" s="1" t="str">
        <f t="shared" si="7"/>
        <v>Monitorar</v>
      </c>
      <c r="Z10" s="1" t="str">
        <f t="shared" si="8"/>
        <v>OK</v>
      </c>
      <c r="AA10" s="11">
        <f t="shared" si="9"/>
        <v>1307.2</v>
      </c>
      <c r="AB10" s="11">
        <f t="shared" si="10"/>
        <v>387.2</v>
      </c>
      <c r="AC10" s="1" t="s">
        <v>496</v>
      </c>
      <c r="AD10" s="1">
        <v>0</v>
      </c>
      <c r="AE10" s="1">
        <v>0</v>
      </c>
      <c r="AF10" s="1">
        <v>0</v>
      </c>
      <c r="AG10" s="1">
        <v>1176</v>
      </c>
      <c r="AH10" s="1">
        <v>0</v>
      </c>
      <c r="AI10" s="76">
        <v>520</v>
      </c>
      <c r="AJ10" s="76">
        <f t="shared" si="11"/>
        <v>4080</v>
      </c>
      <c r="AK10" s="1">
        <v>0</v>
      </c>
      <c r="AL10" s="1">
        <v>0</v>
      </c>
      <c r="AM10" s="1" t="str">
        <f t="shared" si="12"/>
        <v>OK</v>
      </c>
      <c r="AN10" s="1">
        <f t="shared" si="13"/>
        <v>0</v>
      </c>
      <c r="AO10" s="1">
        <v>0</v>
      </c>
      <c r="AP10" s="61">
        <f t="shared" si="14"/>
        <v>0</v>
      </c>
      <c r="AQ10" s="61">
        <v>0</v>
      </c>
      <c r="AR10" s="76">
        <v>0</v>
      </c>
      <c r="AS10" s="76">
        <f t="shared" si="15"/>
        <v>2208</v>
      </c>
      <c r="AT10" s="69" t="str">
        <f t="shared" si="16"/>
        <v>OK</v>
      </c>
      <c r="AU10" s="77">
        <f t="shared" si="17"/>
        <v>4328</v>
      </c>
      <c r="AV10" s="61" t="str">
        <f t="shared" si="18"/>
        <v>Fluxo JOIST: apontamento x consumo por item</v>
      </c>
      <c r="AW10" s="70"/>
      <c r="AX10" s="70">
        <v>0</v>
      </c>
      <c r="AY10" s="71" t="str">
        <f t="shared" si="19"/>
        <v>BAIXA POR JOIST</v>
      </c>
      <c r="AZ10" s="70" t="s">
        <v>497</v>
      </c>
      <c r="BA10" s="71" t="str">
        <f t="shared" si="20"/>
        <v/>
      </c>
      <c r="BB10" s="70" t="str">
        <f t="shared" si="21"/>
        <v>Baixa por apontamento de JOIST</v>
      </c>
      <c r="BC10" s="78">
        <v>0</v>
      </c>
      <c r="BD10" s="78">
        <f t="shared" si="22"/>
        <v>0</v>
      </c>
      <c r="BE10" s="78">
        <v>1176</v>
      </c>
      <c r="BF10">
        <v>0</v>
      </c>
      <c r="BG10">
        <v>0</v>
      </c>
      <c r="BH10">
        <v>1176</v>
      </c>
      <c r="BI10" s="103">
        <v>46263.348506944443</v>
      </c>
      <c r="BJ10">
        <v>520</v>
      </c>
      <c r="BK10" s="103">
        <v>46247.596365740741</v>
      </c>
    </row>
    <row r="11" spans="1:63" ht="30" x14ac:dyDescent="0.25">
      <c r="A11" s="8" t="s">
        <v>131</v>
      </c>
      <c r="B11" s="8">
        <v>3</v>
      </c>
      <c r="C11" s="8">
        <v>36765</v>
      </c>
      <c r="D11" s="8">
        <v>2620</v>
      </c>
      <c r="E11" s="8" t="s">
        <v>129</v>
      </c>
      <c r="F11" s="8" t="s">
        <v>130</v>
      </c>
      <c r="G11" s="8" t="s">
        <v>131</v>
      </c>
      <c r="H11" s="8">
        <v>12255</v>
      </c>
      <c r="I11" s="9">
        <f t="shared" si="0"/>
        <v>23700</v>
      </c>
      <c r="J11" s="10">
        <f>REMESSAS!W11</f>
        <v>7900</v>
      </c>
      <c r="K11" s="11">
        <f t="shared" si="1"/>
        <v>4355</v>
      </c>
      <c r="L11" s="11">
        <f t="shared" si="2"/>
        <v>0</v>
      </c>
      <c r="M11" s="11">
        <f t="shared" si="3"/>
        <v>-4355</v>
      </c>
      <c r="N11" s="11">
        <v>0</v>
      </c>
      <c r="O11" s="76">
        <v>4485</v>
      </c>
      <c r="P11" s="76">
        <v>3415</v>
      </c>
      <c r="Q11" s="76"/>
      <c r="R11" s="76"/>
      <c r="S11" s="3">
        <f t="shared" si="4"/>
        <v>0.64463484292125661</v>
      </c>
      <c r="T11" s="1" t="str">
        <f t="shared" si="5"/>
        <v>Recebimento Parcial</v>
      </c>
      <c r="U11" s="1" t="s">
        <v>114</v>
      </c>
      <c r="V11" s="1" t="s">
        <v>75</v>
      </c>
      <c r="W11" s="1" t="s">
        <v>495</v>
      </c>
      <c r="X11" s="2">
        <f t="shared" si="6"/>
        <v>0</v>
      </c>
      <c r="Y11" s="1" t="str">
        <f t="shared" si="7"/>
        <v>Monitorar</v>
      </c>
      <c r="Z11" s="1" t="str">
        <f t="shared" si="8"/>
        <v>OK</v>
      </c>
      <c r="AA11" s="11">
        <f t="shared" si="9"/>
        <v>2451</v>
      </c>
      <c r="AB11" s="11">
        <f t="shared" si="10"/>
        <v>871</v>
      </c>
      <c r="AC11" s="1" t="s">
        <v>496</v>
      </c>
      <c r="AD11" s="1">
        <v>0</v>
      </c>
      <c r="AE11" s="1">
        <v>0</v>
      </c>
      <c r="AF11" s="1">
        <v>0</v>
      </c>
      <c r="AG11" s="1">
        <v>2205</v>
      </c>
      <c r="AH11" s="1">
        <v>0</v>
      </c>
      <c r="AI11" s="76">
        <v>975</v>
      </c>
      <c r="AJ11" s="76">
        <f t="shared" si="11"/>
        <v>6925</v>
      </c>
      <c r="AK11" s="1">
        <v>0</v>
      </c>
      <c r="AL11" s="1">
        <v>0</v>
      </c>
      <c r="AM11" s="1" t="str">
        <f t="shared" si="12"/>
        <v>OK</v>
      </c>
      <c r="AN11" s="1">
        <f t="shared" si="13"/>
        <v>0</v>
      </c>
      <c r="AO11" s="1">
        <v>0</v>
      </c>
      <c r="AP11" s="61">
        <f t="shared" si="14"/>
        <v>0</v>
      </c>
      <c r="AQ11" s="61">
        <v>0</v>
      </c>
      <c r="AR11" s="76">
        <v>0</v>
      </c>
      <c r="AS11" s="76">
        <f t="shared" si="15"/>
        <v>3415</v>
      </c>
      <c r="AT11" s="69" t="str">
        <f t="shared" si="16"/>
        <v>OK</v>
      </c>
      <c r="AU11" s="77">
        <f t="shared" si="17"/>
        <v>8840</v>
      </c>
      <c r="AV11" s="61" t="str">
        <f t="shared" si="18"/>
        <v>Fluxo JOIST: apontamento x consumo por item</v>
      </c>
      <c r="AW11" s="70"/>
      <c r="AX11" s="70">
        <v>0</v>
      </c>
      <c r="AY11" s="71" t="str">
        <f t="shared" si="19"/>
        <v>BAIXA POR JOIST</v>
      </c>
      <c r="AZ11" s="70" t="s">
        <v>497</v>
      </c>
      <c r="BA11" s="71" t="str">
        <f t="shared" si="20"/>
        <v/>
      </c>
      <c r="BB11" s="70" t="str">
        <f t="shared" si="21"/>
        <v>Baixa por apontamento de JOIST</v>
      </c>
      <c r="BC11" s="78">
        <v>0</v>
      </c>
      <c r="BD11" s="78">
        <f t="shared" si="22"/>
        <v>0</v>
      </c>
      <c r="BE11" s="78">
        <v>2205</v>
      </c>
      <c r="BF11">
        <v>0</v>
      </c>
      <c r="BG11">
        <v>0</v>
      </c>
      <c r="BH11">
        <v>2205</v>
      </c>
      <c r="BI11" s="103">
        <v>46263.348506944443</v>
      </c>
      <c r="BJ11">
        <v>975</v>
      </c>
      <c r="BK11" s="103">
        <v>46247.596365740741</v>
      </c>
    </row>
    <row r="12" spans="1:63" ht="30" x14ac:dyDescent="0.25">
      <c r="A12" s="8" t="s">
        <v>132</v>
      </c>
      <c r="B12" s="8">
        <v>2.8</v>
      </c>
      <c r="C12" s="8">
        <v>34314</v>
      </c>
      <c r="D12" s="8">
        <v>2430</v>
      </c>
      <c r="E12" s="8" t="s">
        <v>129</v>
      </c>
      <c r="F12" s="8" t="s">
        <v>130</v>
      </c>
      <c r="G12" s="8" t="s">
        <v>132</v>
      </c>
      <c r="H12" s="8">
        <v>12255</v>
      </c>
      <c r="I12" s="9">
        <f t="shared" si="0"/>
        <v>19880</v>
      </c>
      <c r="J12" s="10">
        <f>REMESSAS!W12</f>
        <v>7100</v>
      </c>
      <c r="K12" s="11">
        <f t="shared" si="1"/>
        <v>5155</v>
      </c>
      <c r="L12" s="11">
        <f t="shared" si="2"/>
        <v>0</v>
      </c>
      <c r="M12" s="11">
        <f t="shared" si="3"/>
        <v>-5155</v>
      </c>
      <c r="N12" s="11">
        <v>0</v>
      </c>
      <c r="O12" s="76">
        <v>4485</v>
      </c>
      <c r="P12" s="76">
        <v>2615</v>
      </c>
      <c r="Q12" s="76"/>
      <c r="R12" s="76"/>
      <c r="S12" s="3">
        <f t="shared" si="4"/>
        <v>0.57935536515707875</v>
      </c>
      <c r="T12" s="1" t="str">
        <f t="shared" si="5"/>
        <v>Recebimento Parcial</v>
      </c>
      <c r="U12" s="1" t="s">
        <v>114</v>
      </c>
      <c r="V12" s="1" t="s">
        <v>75</v>
      </c>
      <c r="W12" s="1" t="s">
        <v>495</v>
      </c>
      <c r="X12" s="2">
        <f t="shared" si="6"/>
        <v>0</v>
      </c>
      <c r="Y12" s="1" t="str">
        <f t="shared" si="7"/>
        <v>Monitorar</v>
      </c>
      <c r="Z12" s="1" t="str">
        <f t="shared" si="8"/>
        <v>OK</v>
      </c>
      <c r="AA12" s="11">
        <f t="shared" si="9"/>
        <v>2451</v>
      </c>
      <c r="AB12" s="11">
        <f t="shared" si="10"/>
        <v>1031</v>
      </c>
      <c r="AC12" s="1" t="s">
        <v>496</v>
      </c>
      <c r="AD12" s="1">
        <v>0</v>
      </c>
      <c r="AE12" s="1">
        <v>0</v>
      </c>
      <c r="AF12" s="1">
        <v>0</v>
      </c>
      <c r="AG12" s="1">
        <v>2205</v>
      </c>
      <c r="AH12" s="1">
        <v>0</v>
      </c>
      <c r="AI12" s="76">
        <v>975</v>
      </c>
      <c r="AJ12" s="76">
        <f t="shared" si="11"/>
        <v>6125</v>
      </c>
      <c r="AK12" s="1">
        <v>0</v>
      </c>
      <c r="AL12" s="1">
        <v>0</v>
      </c>
      <c r="AM12" s="1" t="str">
        <f t="shared" si="12"/>
        <v>OK</v>
      </c>
      <c r="AN12" s="1">
        <f t="shared" si="13"/>
        <v>0</v>
      </c>
      <c r="AO12" s="1">
        <v>0</v>
      </c>
      <c r="AP12" s="61">
        <f t="shared" si="14"/>
        <v>0</v>
      </c>
      <c r="AQ12" s="61">
        <v>0</v>
      </c>
      <c r="AR12" s="76">
        <v>0</v>
      </c>
      <c r="AS12" s="76">
        <f t="shared" si="15"/>
        <v>2615</v>
      </c>
      <c r="AT12" s="69" t="str">
        <f t="shared" si="16"/>
        <v>OK</v>
      </c>
      <c r="AU12" s="77">
        <f t="shared" si="17"/>
        <v>9640</v>
      </c>
      <c r="AV12" s="61" t="str">
        <f t="shared" si="18"/>
        <v>Fluxo JOIST: apontamento x consumo por item</v>
      </c>
      <c r="AW12" s="70"/>
      <c r="AX12" s="70">
        <v>0</v>
      </c>
      <c r="AY12" s="71" t="str">
        <f t="shared" si="19"/>
        <v>BAIXA POR JOIST</v>
      </c>
      <c r="AZ12" s="70" t="s">
        <v>497</v>
      </c>
      <c r="BA12" s="71" t="str">
        <f t="shared" si="20"/>
        <v/>
      </c>
      <c r="BB12" s="70" t="str">
        <f t="shared" si="21"/>
        <v>Baixa por apontamento de JOIST</v>
      </c>
      <c r="BC12" s="78">
        <v>0</v>
      </c>
      <c r="BD12" s="78">
        <f t="shared" si="22"/>
        <v>0</v>
      </c>
      <c r="BE12" s="78">
        <v>2205</v>
      </c>
      <c r="BF12">
        <v>0</v>
      </c>
      <c r="BG12">
        <v>0</v>
      </c>
      <c r="BH12">
        <v>2205</v>
      </c>
      <c r="BI12" s="103">
        <v>46263.348506944443</v>
      </c>
      <c r="BJ12">
        <v>975</v>
      </c>
      <c r="BK12" s="103">
        <v>46247.596365740741</v>
      </c>
    </row>
    <row r="13" spans="1:63" ht="30" x14ac:dyDescent="0.25">
      <c r="A13" s="8" t="s">
        <v>134</v>
      </c>
      <c r="B13" s="8">
        <v>0.6</v>
      </c>
      <c r="C13" s="8">
        <v>29412</v>
      </c>
      <c r="D13" s="8">
        <v>1030</v>
      </c>
      <c r="E13" s="8" t="s">
        <v>133</v>
      </c>
      <c r="F13" s="8" t="s">
        <v>130</v>
      </c>
      <c r="G13" s="8" t="s">
        <v>134</v>
      </c>
      <c r="H13" s="8">
        <v>49020</v>
      </c>
      <c r="I13" s="9">
        <v>0</v>
      </c>
      <c r="J13" s="10">
        <f>REMESSAS!W13</f>
        <v>28000</v>
      </c>
      <c r="K13" s="11">
        <f t="shared" si="1"/>
        <v>21020</v>
      </c>
      <c r="L13" s="11">
        <f t="shared" si="2"/>
        <v>0</v>
      </c>
      <c r="M13" s="11">
        <f t="shared" si="3"/>
        <v>-21020</v>
      </c>
      <c r="N13" s="11">
        <v>0</v>
      </c>
      <c r="O13" s="76">
        <v>17940</v>
      </c>
      <c r="P13" s="76">
        <v>10060</v>
      </c>
      <c r="Q13" s="76"/>
      <c r="R13" s="76"/>
      <c r="S13" s="3">
        <f t="shared" si="4"/>
        <v>0.57119543043655652</v>
      </c>
      <c r="T13" s="1" t="str">
        <f t="shared" si="5"/>
        <v>Recebimento Parcial</v>
      </c>
      <c r="U13" s="1" t="s">
        <v>114</v>
      </c>
      <c r="V13" s="1" t="s">
        <v>75</v>
      </c>
      <c r="W13" s="1" t="s">
        <v>495</v>
      </c>
      <c r="X13" s="2">
        <f t="shared" si="6"/>
        <v>0</v>
      </c>
      <c r="Y13" s="1" t="str">
        <f t="shared" si="7"/>
        <v>Monitorar</v>
      </c>
      <c r="Z13" s="1" t="str">
        <f t="shared" si="8"/>
        <v>OK</v>
      </c>
      <c r="AA13" s="11">
        <f t="shared" si="9"/>
        <v>9804</v>
      </c>
      <c r="AB13" s="11">
        <f t="shared" si="10"/>
        <v>4204</v>
      </c>
      <c r="AC13" s="1" t="s">
        <v>496</v>
      </c>
      <c r="AD13" s="1">
        <v>0</v>
      </c>
      <c r="AE13" s="1">
        <v>0</v>
      </c>
      <c r="AF13" s="1">
        <v>0</v>
      </c>
      <c r="AG13" s="1">
        <v>8820</v>
      </c>
      <c r="AH13" s="1">
        <v>0</v>
      </c>
      <c r="AI13" s="76">
        <v>3900</v>
      </c>
      <c r="AJ13" s="76">
        <f t="shared" si="11"/>
        <v>24100</v>
      </c>
      <c r="AK13" s="1">
        <v>0</v>
      </c>
      <c r="AL13" s="1">
        <v>0</v>
      </c>
      <c r="AM13" s="1" t="str">
        <f t="shared" si="12"/>
        <v>OK</v>
      </c>
      <c r="AN13" s="1">
        <f t="shared" si="13"/>
        <v>0</v>
      </c>
      <c r="AO13" s="1">
        <v>0</v>
      </c>
      <c r="AP13" s="61">
        <f t="shared" si="14"/>
        <v>0</v>
      </c>
      <c r="AQ13" s="61">
        <v>0</v>
      </c>
      <c r="AR13" s="76">
        <v>0</v>
      </c>
      <c r="AS13" s="76">
        <f t="shared" si="15"/>
        <v>10060</v>
      </c>
      <c r="AT13" s="69" t="str">
        <f t="shared" si="16"/>
        <v>OK</v>
      </c>
      <c r="AU13" s="77">
        <f t="shared" si="17"/>
        <v>38960</v>
      </c>
      <c r="AV13" s="61" t="str">
        <f t="shared" si="18"/>
        <v>Fluxo JOIST: apontamento x consumo por item</v>
      </c>
      <c r="AW13" s="70"/>
      <c r="AX13" s="70">
        <v>0</v>
      </c>
      <c r="AY13" s="71" t="str">
        <f t="shared" si="19"/>
        <v>BAIXA POR JOIST</v>
      </c>
      <c r="AZ13" s="70" t="s">
        <v>497</v>
      </c>
      <c r="BA13" s="71" t="str">
        <f t="shared" si="20"/>
        <v/>
      </c>
      <c r="BB13" s="70" t="str">
        <f t="shared" si="21"/>
        <v>Baixa por apontamento de JOIST</v>
      </c>
      <c r="BC13" s="78">
        <v>0</v>
      </c>
      <c r="BD13" s="78">
        <f t="shared" si="22"/>
        <v>0</v>
      </c>
      <c r="BE13" s="78">
        <v>8820</v>
      </c>
      <c r="BF13">
        <v>0</v>
      </c>
      <c r="BG13">
        <v>0</v>
      </c>
      <c r="BH13">
        <v>8820</v>
      </c>
      <c r="BI13" s="103">
        <v>46263.348506944443</v>
      </c>
      <c r="BJ13">
        <v>3900</v>
      </c>
      <c r="BK13" s="103">
        <v>46247.596365740741</v>
      </c>
    </row>
    <row r="14" spans="1:63" ht="30" x14ac:dyDescent="0.25">
      <c r="A14" s="8" t="s">
        <v>137</v>
      </c>
      <c r="B14" s="8">
        <v>0</v>
      </c>
      <c r="C14" s="8">
        <v>0</v>
      </c>
      <c r="D14" s="8"/>
      <c r="E14" s="8" t="s">
        <v>135</v>
      </c>
      <c r="F14" s="8" t="s">
        <v>136</v>
      </c>
      <c r="G14" s="8" t="s">
        <v>137</v>
      </c>
      <c r="H14" s="8">
        <v>570</v>
      </c>
      <c r="I14" s="12">
        <v>0</v>
      </c>
      <c r="J14" s="10">
        <f>REMESSAS!W14</f>
        <v>86</v>
      </c>
      <c r="K14" s="11">
        <f t="shared" si="1"/>
        <v>484</v>
      </c>
      <c r="L14" s="11">
        <f t="shared" si="2"/>
        <v>0</v>
      </c>
      <c r="M14" s="11">
        <f t="shared" si="3"/>
        <v>-484</v>
      </c>
      <c r="N14" s="11">
        <v>0</v>
      </c>
      <c r="O14" s="76">
        <v>120</v>
      </c>
      <c r="P14" s="76">
        <v>0</v>
      </c>
      <c r="Q14" s="76"/>
      <c r="R14" s="76"/>
      <c r="S14" s="3">
        <f t="shared" si="4"/>
        <v>0.15087719298245614</v>
      </c>
      <c r="T14" s="1" t="str">
        <f t="shared" si="5"/>
        <v>Recebimento Parcial</v>
      </c>
      <c r="U14" s="1" t="s">
        <v>114</v>
      </c>
      <c r="V14" s="1" t="s">
        <v>75</v>
      </c>
      <c r="W14" s="1" t="s">
        <v>495</v>
      </c>
      <c r="X14" s="2">
        <f t="shared" si="6"/>
        <v>242</v>
      </c>
      <c r="Y14" s="1" t="str">
        <f t="shared" si="7"/>
        <v>Enviar se houver espaço</v>
      </c>
      <c r="Z14" s="1" t="str">
        <f t="shared" si="8"/>
        <v>OK</v>
      </c>
      <c r="AA14" s="11">
        <f t="shared" si="9"/>
        <v>114</v>
      </c>
      <c r="AB14" s="11">
        <f t="shared" si="10"/>
        <v>96.8</v>
      </c>
      <c r="AC14" s="1" t="s">
        <v>496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76">
        <v>0</v>
      </c>
      <c r="AJ14" s="76">
        <f t="shared" si="11"/>
        <v>86</v>
      </c>
      <c r="AK14" s="1">
        <v>0</v>
      </c>
      <c r="AL14" s="1">
        <v>0</v>
      </c>
      <c r="AM14" s="1" t="str">
        <f t="shared" si="12"/>
        <v/>
      </c>
      <c r="AN14" s="1">
        <f t="shared" si="13"/>
        <v>0</v>
      </c>
      <c r="AO14" s="1">
        <v>0</v>
      </c>
      <c r="AP14" s="61">
        <f t="shared" si="14"/>
        <v>0</v>
      </c>
      <c r="AQ14" s="61">
        <v>0</v>
      </c>
      <c r="AR14" s="76">
        <v>0</v>
      </c>
      <c r="AS14" s="76">
        <f t="shared" si="15"/>
        <v>0</v>
      </c>
      <c r="AT14" s="69" t="str">
        <f t="shared" si="16"/>
        <v>CRÍTICO</v>
      </c>
      <c r="AU14" s="77">
        <f t="shared" si="17"/>
        <v>604</v>
      </c>
      <c r="AV14" s="61" t="str">
        <f t="shared" si="18"/>
        <v>Sem mapa/sem consumo automático</v>
      </c>
      <c r="AW14" s="70"/>
      <c r="AX14" s="70">
        <v>0</v>
      </c>
      <c r="AY14" s="71" t="str">
        <f t="shared" si="19"/>
        <v>NÃO MAPEADO</v>
      </c>
      <c r="AZ14" s="70" t="s">
        <v>497</v>
      </c>
      <c r="BA14" s="71" t="str">
        <f t="shared" si="20"/>
        <v/>
      </c>
      <c r="BB14" s="70" t="str">
        <f t="shared" si="21"/>
        <v>Verificar cadastro</v>
      </c>
      <c r="BC14" s="78">
        <v>0</v>
      </c>
      <c r="BD14" s="78">
        <f t="shared" si="22"/>
        <v>0</v>
      </c>
      <c r="BE14" s="78">
        <v>0</v>
      </c>
      <c r="BF14">
        <v>0</v>
      </c>
      <c r="BG14">
        <v>0</v>
      </c>
      <c r="BH14">
        <v>0</v>
      </c>
      <c r="BJ14">
        <v>0</v>
      </c>
    </row>
    <row r="15" spans="1:63" ht="30" x14ac:dyDescent="0.25">
      <c r="A15" s="8" t="s">
        <v>140</v>
      </c>
      <c r="B15" s="8">
        <v>0.11</v>
      </c>
      <c r="C15" s="8">
        <v>19.86</v>
      </c>
      <c r="D15" s="8">
        <v>150</v>
      </c>
      <c r="E15" s="8" t="s">
        <v>138</v>
      </c>
      <c r="F15" s="8" t="s">
        <v>139</v>
      </c>
      <c r="G15" s="8" t="s">
        <v>140</v>
      </c>
      <c r="H15" s="8">
        <v>173</v>
      </c>
      <c r="I15" s="9">
        <v>0</v>
      </c>
      <c r="J15" s="10">
        <f>REMESSAS!W15</f>
        <v>0</v>
      </c>
      <c r="K15" s="11">
        <f t="shared" si="1"/>
        <v>173</v>
      </c>
      <c r="L15" s="11">
        <f t="shared" si="2"/>
        <v>0</v>
      </c>
      <c r="M15" s="11">
        <f t="shared" si="3"/>
        <v>-173</v>
      </c>
      <c r="N15" s="11">
        <v>0</v>
      </c>
      <c r="O15" s="76">
        <f>IF($A15="","",IFERROR(SUMIF(Consumo_Joists!$A:$A,$A15,Consumo_Joists!$P:$P),0)+IFERROR(SUMIF(Consumo_Quadrantes!$A:$A,$A15,Consumo_Quadrantes!$F:$F),0))</f>
        <v>0</v>
      </c>
      <c r="P15" s="76">
        <v>0</v>
      </c>
      <c r="Q15" s="76"/>
      <c r="R15" s="76"/>
      <c r="S15" s="3">
        <f t="shared" si="4"/>
        <v>0</v>
      </c>
      <c r="T15" s="1" t="str">
        <f t="shared" si="5"/>
        <v>Crítico</v>
      </c>
      <c r="U15" s="1" t="s">
        <v>498</v>
      </c>
      <c r="V15" s="1" t="s">
        <v>80</v>
      </c>
      <c r="W15" s="1" t="s">
        <v>499</v>
      </c>
      <c r="X15" s="2">
        <f t="shared" si="6"/>
        <v>87</v>
      </c>
      <c r="Y15" s="1" t="str">
        <f t="shared" si="7"/>
        <v>Enviar se houver espaço</v>
      </c>
      <c r="Z15" s="1" t="str">
        <f t="shared" si="8"/>
        <v>OK</v>
      </c>
      <c r="AA15" s="11">
        <f t="shared" si="9"/>
        <v>34.6</v>
      </c>
      <c r="AB15" s="11">
        <f t="shared" si="10"/>
        <v>34.6</v>
      </c>
      <c r="AC15" s="1"/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76">
        <v>0</v>
      </c>
      <c r="AJ15" s="76">
        <f t="shared" si="11"/>
        <v>0</v>
      </c>
      <c r="AK15" s="1">
        <v>0</v>
      </c>
      <c r="AL15" s="1">
        <v>0</v>
      </c>
      <c r="AM15" s="1" t="str">
        <f t="shared" si="12"/>
        <v/>
      </c>
      <c r="AN15" s="1">
        <f t="shared" si="13"/>
        <v>0</v>
      </c>
      <c r="AO15" s="1">
        <v>0</v>
      </c>
      <c r="AP15" s="61">
        <f t="shared" si="14"/>
        <v>0</v>
      </c>
      <c r="AQ15" s="61">
        <v>0</v>
      </c>
      <c r="AR15" s="76">
        <v>0</v>
      </c>
      <c r="AS15" s="76">
        <f t="shared" si="15"/>
        <v>0</v>
      </c>
      <c r="AT15" s="69" t="str">
        <f t="shared" si="16"/>
        <v>OK</v>
      </c>
      <c r="AU15" s="77">
        <f t="shared" si="17"/>
        <v>173</v>
      </c>
      <c r="AV15" s="61" t="str">
        <f t="shared" si="18"/>
        <v>Sem mapa/sem consumo automático</v>
      </c>
      <c r="AW15" s="70"/>
      <c r="AX15" s="70">
        <v>0</v>
      </c>
      <c r="AY15" s="71" t="str">
        <f t="shared" si="19"/>
        <v>NÃO MAPEADO</v>
      </c>
      <c r="AZ15" s="70"/>
      <c r="BA15" s="71" t="str">
        <f t="shared" si="20"/>
        <v/>
      </c>
      <c r="BB15" s="70" t="str">
        <f t="shared" si="21"/>
        <v>Verificar cadastro</v>
      </c>
      <c r="BC15" s="78">
        <v>0</v>
      </c>
      <c r="BD15" s="78">
        <f t="shared" si="22"/>
        <v>0</v>
      </c>
      <c r="BE15" s="78">
        <v>0</v>
      </c>
      <c r="BF15">
        <v>0</v>
      </c>
      <c r="BG15">
        <v>0</v>
      </c>
      <c r="BH15">
        <v>0</v>
      </c>
      <c r="BJ15">
        <v>0</v>
      </c>
      <c r="BK15" s="103"/>
    </row>
    <row r="16" spans="1:63" ht="30" x14ac:dyDescent="0.25">
      <c r="A16" s="8" t="s">
        <v>144</v>
      </c>
      <c r="B16" s="8">
        <v>3.53</v>
      </c>
      <c r="C16" s="8">
        <v>438.03</v>
      </c>
      <c r="D16" s="8">
        <v>300</v>
      </c>
      <c r="E16" s="8" t="s">
        <v>142</v>
      </c>
      <c r="F16" s="8" t="s">
        <v>143</v>
      </c>
      <c r="G16" s="8" t="s">
        <v>144</v>
      </c>
      <c r="H16" s="8">
        <v>124</v>
      </c>
      <c r="I16" s="12">
        <v>0</v>
      </c>
      <c r="J16" s="10">
        <f>REMESSAS!W16</f>
        <v>0</v>
      </c>
      <c r="K16" s="11">
        <f t="shared" si="1"/>
        <v>124</v>
      </c>
      <c r="L16" s="11">
        <f t="shared" si="2"/>
        <v>0</v>
      </c>
      <c r="M16" s="11">
        <f t="shared" si="3"/>
        <v>-124</v>
      </c>
      <c r="N16" s="11">
        <v>0</v>
      </c>
      <c r="O16" s="76">
        <f>IF($A16="","",IFERROR(SUMIF(Consumo_Joists!$A:$A,$A16,Consumo_Joists!$P:$P),0)+IFERROR(SUMIF(Consumo_Quadrantes!$A:$A,$A16,Consumo_Quadrantes!$F:$F),0))</f>
        <v>0</v>
      </c>
      <c r="P16" s="76">
        <v>0</v>
      </c>
      <c r="Q16" s="76"/>
      <c r="R16" s="76"/>
      <c r="S16" s="3">
        <f t="shared" si="4"/>
        <v>0</v>
      </c>
      <c r="T16" s="1" t="str">
        <f t="shared" si="5"/>
        <v>Crítico</v>
      </c>
      <c r="U16" s="1" t="s">
        <v>498</v>
      </c>
      <c r="V16" s="1" t="s">
        <v>80</v>
      </c>
      <c r="W16" s="1" t="s">
        <v>499</v>
      </c>
      <c r="X16" s="2">
        <f t="shared" si="6"/>
        <v>62</v>
      </c>
      <c r="Y16" s="1" t="str">
        <f t="shared" si="7"/>
        <v>Enviar se houver espaço</v>
      </c>
      <c r="Z16" s="1" t="str">
        <f t="shared" si="8"/>
        <v>OK</v>
      </c>
      <c r="AA16" s="11">
        <f t="shared" si="9"/>
        <v>24.8</v>
      </c>
      <c r="AB16" s="11">
        <f t="shared" si="10"/>
        <v>24.8</v>
      </c>
      <c r="AC16" s="1"/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76">
        <v>0</v>
      </c>
      <c r="AJ16" s="76">
        <f t="shared" si="11"/>
        <v>0</v>
      </c>
      <c r="AK16" s="1">
        <v>0</v>
      </c>
      <c r="AL16" s="1">
        <v>0</v>
      </c>
      <c r="AM16" s="1" t="str">
        <f t="shared" si="12"/>
        <v/>
      </c>
      <c r="AN16" s="1">
        <f t="shared" si="13"/>
        <v>0</v>
      </c>
      <c r="AO16" s="1">
        <v>0</v>
      </c>
      <c r="AP16" s="61">
        <f t="shared" si="14"/>
        <v>0</v>
      </c>
      <c r="AQ16" s="61">
        <v>0</v>
      </c>
      <c r="AR16" s="76">
        <v>0</v>
      </c>
      <c r="AS16" s="76">
        <f t="shared" si="15"/>
        <v>0</v>
      </c>
      <c r="AT16" s="69" t="str">
        <f t="shared" si="16"/>
        <v>OK</v>
      </c>
      <c r="AU16" s="77">
        <f t="shared" si="17"/>
        <v>124</v>
      </c>
      <c r="AV16" s="61" t="str">
        <f t="shared" si="18"/>
        <v>Sem mapa/sem consumo automático</v>
      </c>
      <c r="AW16" s="70"/>
      <c r="AX16" s="70">
        <v>0</v>
      </c>
      <c r="AY16" s="71" t="str">
        <f t="shared" si="19"/>
        <v>NÃO MAPEADO</v>
      </c>
      <c r="AZ16" s="70"/>
      <c r="BA16" s="71" t="str">
        <f t="shared" si="20"/>
        <v/>
      </c>
      <c r="BB16" s="70" t="str">
        <f t="shared" si="21"/>
        <v>Verificar cadastro</v>
      </c>
      <c r="BC16" s="78">
        <v>0</v>
      </c>
      <c r="BD16" s="78">
        <f t="shared" si="22"/>
        <v>0</v>
      </c>
      <c r="BE16" s="78">
        <v>0</v>
      </c>
      <c r="BF16">
        <v>0</v>
      </c>
      <c r="BG16">
        <v>0</v>
      </c>
      <c r="BH16">
        <v>0</v>
      </c>
      <c r="BJ16">
        <v>0</v>
      </c>
      <c r="BK16" s="103"/>
    </row>
    <row r="17" spans="1:63" ht="30" x14ac:dyDescent="0.25">
      <c r="A17" s="8" t="s">
        <v>147</v>
      </c>
      <c r="B17" s="8">
        <v>5.89</v>
      </c>
      <c r="C17" s="8">
        <v>94.3</v>
      </c>
      <c r="D17" s="8">
        <v>501</v>
      </c>
      <c r="E17" s="8" t="s">
        <v>145</v>
      </c>
      <c r="F17" s="8" t="s">
        <v>146</v>
      </c>
      <c r="G17" s="8" t="s">
        <v>147</v>
      </c>
      <c r="H17" s="8">
        <v>16</v>
      </c>
      <c r="I17" s="9">
        <v>0</v>
      </c>
      <c r="J17" s="10">
        <f>REMESSAS!W17</f>
        <v>0</v>
      </c>
      <c r="K17" s="11">
        <f t="shared" si="1"/>
        <v>16</v>
      </c>
      <c r="L17" s="11">
        <f t="shared" si="2"/>
        <v>0</v>
      </c>
      <c r="M17" s="11">
        <f t="shared" si="3"/>
        <v>-16</v>
      </c>
      <c r="N17" s="11">
        <v>0</v>
      </c>
      <c r="O17" s="76">
        <f>IF($A17="","",IFERROR(SUMIF(Consumo_Joists!$A:$A,$A17,Consumo_Joists!$P:$P),0)+IFERROR(SUMIF(Consumo_Quadrantes!$A:$A,$A17,Consumo_Quadrantes!$F:$F),0))</f>
        <v>0</v>
      </c>
      <c r="P17" s="76">
        <v>0</v>
      </c>
      <c r="Q17" s="76"/>
      <c r="R17" s="76"/>
      <c r="S17" s="3">
        <f t="shared" si="4"/>
        <v>0</v>
      </c>
      <c r="T17" s="1" t="str">
        <f t="shared" si="5"/>
        <v>Crítico</v>
      </c>
      <c r="U17" s="1" t="s">
        <v>498</v>
      </c>
      <c r="V17" s="1" t="s">
        <v>80</v>
      </c>
      <c r="W17" s="1" t="s">
        <v>499</v>
      </c>
      <c r="X17" s="2">
        <f t="shared" si="6"/>
        <v>8</v>
      </c>
      <c r="Y17" s="1" t="str">
        <f t="shared" si="7"/>
        <v>Enviar se houver espaço</v>
      </c>
      <c r="Z17" s="1" t="str">
        <f t="shared" si="8"/>
        <v>OK</v>
      </c>
      <c r="AA17" s="11">
        <f t="shared" si="9"/>
        <v>3.2</v>
      </c>
      <c r="AB17" s="11">
        <f t="shared" si="10"/>
        <v>3.2</v>
      </c>
      <c r="AC17" s="1"/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76">
        <v>0</v>
      </c>
      <c r="AJ17" s="76">
        <f t="shared" si="11"/>
        <v>0</v>
      </c>
      <c r="AK17" s="1">
        <v>0</v>
      </c>
      <c r="AL17" s="1">
        <v>0</v>
      </c>
      <c r="AM17" s="1" t="str">
        <f t="shared" si="12"/>
        <v/>
      </c>
      <c r="AN17" s="1">
        <f t="shared" si="13"/>
        <v>0</v>
      </c>
      <c r="AO17" s="1">
        <v>0</v>
      </c>
      <c r="AP17" s="61">
        <f t="shared" si="14"/>
        <v>0</v>
      </c>
      <c r="AQ17" s="61">
        <v>0</v>
      </c>
      <c r="AR17" s="76">
        <v>0</v>
      </c>
      <c r="AS17" s="76">
        <f t="shared" si="15"/>
        <v>0</v>
      </c>
      <c r="AT17" s="69" t="str">
        <f t="shared" si="16"/>
        <v>OK</v>
      </c>
      <c r="AU17" s="77">
        <f t="shared" si="17"/>
        <v>16</v>
      </c>
      <c r="AV17" s="61" t="str">
        <f t="shared" si="18"/>
        <v>Sem mapa/sem consumo automático</v>
      </c>
      <c r="AW17" s="70"/>
      <c r="AX17" s="70">
        <v>0</v>
      </c>
      <c r="AY17" s="71" t="str">
        <f t="shared" si="19"/>
        <v>NÃO MAPEADO</v>
      </c>
      <c r="AZ17" s="70"/>
      <c r="BA17" s="71" t="str">
        <f t="shared" si="20"/>
        <v/>
      </c>
      <c r="BB17" s="70" t="str">
        <f t="shared" si="21"/>
        <v>Verificar cadastro</v>
      </c>
      <c r="BC17" s="78">
        <v>0</v>
      </c>
      <c r="BD17" s="78">
        <f t="shared" si="22"/>
        <v>0</v>
      </c>
      <c r="BE17" s="78">
        <v>0</v>
      </c>
      <c r="BF17">
        <v>0</v>
      </c>
      <c r="BG17">
        <v>0</v>
      </c>
      <c r="BH17">
        <v>0</v>
      </c>
      <c r="BJ17">
        <v>0</v>
      </c>
      <c r="BK17" s="103"/>
    </row>
    <row r="18" spans="1:63" ht="30" x14ac:dyDescent="0.25">
      <c r="A18" s="8" t="s">
        <v>149</v>
      </c>
      <c r="B18" s="8">
        <v>5.23</v>
      </c>
      <c r="C18" s="8">
        <v>41.86</v>
      </c>
      <c r="D18" s="8">
        <v>444</v>
      </c>
      <c r="E18" s="8" t="s">
        <v>148</v>
      </c>
      <c r="F18" s="8" t="s">
        <v>146</v>
      </c>
      <c r="G18" s="8" t="s">
        <v>149</v>
      </c>
      <c r="H18" s="8">
        <v>8</v>
      </c>
      <c r="I18" s="9">
        <f t="shared" ref="I18:I27" si="23">J18*B18</f>
        <v>0</v>
      </c>
      <c r="J18" s="10">
        <f>REMESSAS!W18</f>
        <v>0</v>
      </c>
      <c r="K18" s="11">
        <f t="shared" si="1"/>
        <v>8</v>
      </c>
      <c r="L18" s="11">
        <f t="shared" si="2"/>
        <v>0</v>
      </c>
      <c r="M18" s="11">
        <f t="shared" si="3"/>
        <v>-8</v>
      </c>
      <c r="N18" s="11">
        <v>0</v>
      </c>
      <c r="O18" s="76">
        <f>IF($A18="","",IFERROR(SUMIF(Consumo_Joists!$A:$A,$A18,Consumo_Joists!$P:$P),0)+IFERROR(SUMIF(Consumo_Quadrantes!$A:$A,$A18,Consumo_Quadrantes!$F:$F),0))</f>
        <v>0</v>
      </c>
      <c r="P18" s="76">
        <v>0</v>
      </c>
      <c r="Q18" s="76"/>
      <c r="R18" s="76"/>
      <c r="S18" s="3">
        <f t="shared" si="4"/>
        <v>0</v>
      </c>
      <c r="T18" s="1" t="str">
        <f t="shared" si="5"/>
        <v>Crítico</v>
      </c>
      <c r="U18" s="1" t="s">
        <v>498</v>
      </c>
      <c r="V18" s="1" t="s">
        <v>80</v>
      </c>
      <c r="W18" s="1" t="s">
        <v>499</v>
      </c>
      <c r="X18" s="2">
        <f t="shared" si="6"/>
        <v>4</v>
      </c>
      <c r="Y18" s="1" t="str">
        <f t="shared" si="7"/>
        <v>Enviar se houver espaço</v>
      </c>
      <c r="Z18" s="1" t="str">
        <f t="shared" si="8"/>
        <v>OK</v>
      </c>
      <c r="AA18" s="11">
        <f t="shared" si="9"/>
        <v>1.6</v>
      </c>
      <c r="AB18" s="11">
        <f t="shared" si="10"/>
        <v>1.6</v>
      </c>
      <c r="AC18" s="1"/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76">
        <v>0</v>
      </c>
      <c r="AJ18" s="76">
        <f t="shared" si="11"/>
        <v>0</v>
      </c>
      <c r="AK18" s="1">
        <v>0</v>
      </c>
      <c r="AL18" s="1">
        <v>0</v>
      </c>
      <c r="AM18" s="1" t="str">
        <f t="shared" si="12"/>
        <v/>
      </c>
      <c r="AN18" s="1">
        <f t="shared" si="13"/>
        <v>0</v>
      </c>
      <c r="AO18" s="1">
        <v>0</v>
      </c>
      <c r="AP18" s="61">
        <f t="shared" si="14"/>
        <v>0</v>
      </c>
      <c r="AQ18" s="61">
        <v>0</v>
      </c>
      <c r="AR18" s="76">
        <v>0</v>
      </c>
      <c r="AS18" s="76">
        <f t="shared" si="15"/>
        <v>0</v>
      </c>
      <c r="AT18" s="69" t="str">
        <f t="shared" si="16"/>
        <v>OK</v>
      </c>
      <c r="AU18" s="77">
        <f t="shared" si="17"/>
        <v>8</v>
      </c>
      <c r="AV18" s="61" t="str">
        <f t="shared" si="18"/>
        <v>Sem mapa/sem consumo automático</v>
      </c>
      <c r="AW18" s="70"/>
      <c r="AX18" s="70">
        <v>0</v>
      </c>
      <c r="AY18" s="71" t="str">
        <f t="shared" si="19"/>
        <v>NÃO MAPEADO</v>
      </c>
      <c r="AZ18" s="70"/>
      <c r="BA18" s="71" t="str">
        <f t="shared" si="20"/>
        <v/>
      </c>
      <c r="BB18" s="70" t="str">
        <f t="shared" si="21"/>
        <v>Verificar cadastro</v>
      </c>
      <c r="BC18" s="78">
        <v>0</v>
      </c>
      <c r="BD18" s="78">
        <f t="shared" si="22"/>
        <v>0</v>
      </c>
      <c r="BE18" s="78">
        <v>0</v>
      </c>
      <c r="BF18">
        <v>0</v>
      </c>
      <c r="BG18">
        <v>0</v>
      </c>
      <c r="BH18">
        <v>0</v>
      </c>
      <c r="BJ18">
        <v>0</v>
      </c>
      <c r="BK18" s="103"/>
    </row>
    <row r="19" spans="1:63" ht="30" x14ac:dyDescent="0.25">
      <c r="A19" s="8" t="s">
        <v>152</v>
      </c>
      <c r="B19" s="8">
        <v>5.53</v>
      </c>
      <c r="C19" s="8">
        <v>675.18</v>
      </c>
      <c r="D19" s="8">
        <v>470</v>
      </c>
      <c r="E19" s="8" t="s">
        <v>150</v>
      </c>
      <c r="F19" s="8" t="s">
        <v>151</v>
      </c>
      <c r="G19" s="8" t="s">
        <v>152</v>
      </c>
      <c r="H19" s="8">
        <v>122</v>
      </c>
      <c r="I19" s="9">
        <f t="shared" si="23"/>
        <v>0</v>
      </c>
      <c r="J19" s="10">
        <f>REMESSAS!W19</f>
        <v>0</v>
      </c>
      <c r="K19" s="11">
        <f t="shared" si="1"/>
        <v>122</v>
      </c>
      <c r="L19" s="11">
        <f t="shared" si="2"/>
        <v>0</v>
      </c>
      <c r="M19" s="11">
        <f t="shared" si="3"/>
        <v>-122</v>
      </c>
      <c r="N19" s="11">
        <v>0</v>
      </c>
      <c r="O19" s="76">
        <f>IF($A19="","",IFERROR(SUMIF(Consumo_Joists!$A:$A,$A19,Consumo_Joists!$P:$P),0)+IFERROR(SUMIF(Consumo_Quadrantes!$A:$A,$A19,Consumo_Quadrantes!$F:$F),0))</f>
        <v>0</v>
      </c>
      <c r="P19" s="76">
        <v>0</v>
      </c>
      <c r="Q19" s="76"/>
      <c r="R19" s="76"/>
      <c r="S19" s="3">
        <f t="shared" si="4"/>
        <v>0</v>
      </c>
      <c r="T19" s="1" t="str">
        <f t="shared" si="5"/>
        <v>Crítico</v>
      </c>
      <c r="U19" s="1" t="s">
        <v>498</v>
      </c>
      <c r="V19" s="1" t="s">
        <v>80</v>
      </c>
      <c r="W19" s="1" t="s">
        <v>499</v>
      </c>
      <c r="X19" s="2">
        <f t="shared" si="6"/>
        <v>61</v>
      </c>
      <c r="Y19" s="1" t="str">
        <f t="shared" si="7"/>
        <v>Enviar se houver espaço</v>
      </c>
      <c r="Z19" s="1" t="str">
        <f t="shared" si="8"/>
        <v>OK</v>
      </c>
      <c r="AA19" s="11">
        <f t="shared" si="9"/>
        <v>24.4</v>
      </c>
      <c r="AB19" s="11">
        <f t="shared" si="10"/>
        <v>24.4</v>
      </c>
      <c r="AC19" s="1"/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76">
        <v>0</v>
      </c>
      <c r="AJ19" s="76">
        <f t="shared" si="11"/>
        <v>0</v>
      </c>
      <c r="AK19" s="1">
        <v>0</v>
      </c>
      <c r="AL19" s="1">
        <v>0</v>
      </c>
      <c r="AM19" s="1" t="str">
        <f t="shared" si="12"/>
        <v/>
      </c>
      <c r="AN19" s="1">
        <f t="shared" si="13"/>
        <v>0</v>
      </c>
      <c r="AO19" s="1">
        <v>0</v>
      </c>
      <c r="AP19" s="61">
        <f t="shared" si="14"/>
        <v>0</v>
      </c>
      <c r="AQ19" s="61">
        <v>0</v>
      </c>
      <c r="AR19" s="76">
        <v>0</v>
      </c>
      <c r="AS19" s="76">
        <f t="shared" si="15"/>
        <v>0</v>
      </c>
      <c r="AT19" s="69" t="str">
        <f t="shared" si="16"/>
        <v>OK</v>
      </c>
      <c r="AU19" s="77">
        <f t="shared" si="17"/>
        <v>122</v>
      </c>
      <c r="AV19" s="61" t="str">
        <f t="shared" si="18"/>
        <v>Sem mapa/sem consumo automático</v>
      </c>
      <c r="AW19" s="70"/>
      <c r="AX19" s="70">
        <v>0</v>
      </c>
      <c r="AY19" s="71" t="str">
        <f t="shared" si="19"/>
        <v>NÃO MAPEADO</v>
      </c>
      <c r="AZ19" s="70"/>
      <c r="BA19" s="71" t="str">
        <f t="shared" si="20"/>
        <v/>
      </c>
      <c r="BB19" s="70" t="str">
        <f t="shared" si="21"/>
        <v>Verificar cadastro</v>
      </c>
      <c r="BC19" s="78">
        <v>0</v>
      </c>
      <c r="BD19" s="78">
        <f t="shared" si="22"/>
        <v>0</v>
      </c>
      <c r="BE19" s="78">
        <v>0</v>
      </c>
      <c r="BF19">
        <v>0</v>
      </c>
      <c r="BG19">
        <v>0</v>
      </c>
      <c r="BH19">
        <v>0</v>
      </c>
      <c r="BJ19">
        <v>0</v>
      </c>
      <c r="BK19" s="103"/>
    </row>
    <row r="20" spans="1:63" ht="30" x14ac:dyDescent="0.25">
      <c r="A20" s="8" t="s">
        <v>153</v>
      </c>
      <c r="B20" s="8">
        <v>5.53</v>
      </c>
      <c r="C20" s="8">
        <v>11.07</v>
      </c>
      <c r="D20" s="8">
        <v>470</v>
      </c>
      <c r="E20" s="8" t="s">
        <v>150</v>
      </c>
      <c r="F20" s="8" t="s">
        <v>151</v>
      </c>
      <c r="G20" s="8" t="s">
        <v>153</v>
      </c>
      <c r="H20" s="8">
        <v>2</v>
      </c>
      <c r="I20" s="9">
        <f t="shared" si="23"/>
        <v>0</v>
      </c>
      <c r="J20" s="10">
        <f>REMESSAS!W20</f>
        <v>0</v>
      </c>
      <c r="K20" s="11">
        <f t="shared" si="1"/>
        <v>2</v>
      </c>
      <c r="L20" s="11">
        <f t="shared" si="2"/>
        <v>0</v>
      </c>
      <c r="M20" s="11">
        <f t="shared" si="3"/>
        <v>-2</v>
      </c>
      <c r="N20" s="11">
        <v>0</v>
      </c>
      <c r="O20" s="76">
        <f>IF($A20="","",IFERROR(SUMIF(Consumo_Joists!$A:$A,$A20,Consumo_Joists!$P:$P),0)+IFERROR(SUMIF(Consumo_Quadrantes!$A:$A,$A20,Consumo_Quadrantes!$F:$F),0))</f>
        <v>0</v>
      </c>
      <c r="P20" s="76">
        <v>0</v>
      </c>
      <c r="Q20" s="76"/>
      <c r="R20" s="76"/>
      <c r="S20" s="3">
        <f t="shared" si="4"/>
        <v>0</v>
      </c>
      <c r="T20" s="1" t="str">
        <f t="shared" si="5"/>
        <v>Crítico</v>
      </c>
      <c r="U20" s="1" t="s">
        <v>498</v>
      </c>
      <c r="V20" s="1" t="s">
        <v>80</v>
      </c>
      <c r="W20" s="1" t="s">
        <v>499</v>
      </c>
      <c r="X20" s="2">
        <f t="shared" si="6"/>
        <v>1</v>
      </c>
      <c r="Y20" s="1" t="str">
        <f t="shared" si="7"/>
        <v>Enviar se houver espaço</v>
      </c>
      <c r="Z20" s="1" t="str">
        <f t="shared" si="8"/>
        <v>OK</v>
      </c>
      <c r="AA20" s="11">
        <f t="shared" si="9"/>
        <v>0.4</v>
      </c>
      <c r="AB20" s="11">
        <f t="shared" si="10"/>
        <v>0.4</v>
      </c>
      <c r="AC20" s="1"/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76">
        <v>0</v>
      </c>
      <c r="AJ20" s="76">
        <f t="shared" si="11"/>
        <v>0</v>
      </c>
      <c r="AK20" s="1">
        <v>0</v>
      </c>
      <c r="AL20" s="1">
        <v>0</v>
      </c>
      <c r="AM20" s="1" t="str">
        <f t="shared" si="12"/>
        <v/>
      </c>
      <c r="AN20" s="1">
        <f t="shared" si="13"/>
        <v>0</v>
      </c>
      <c r="AO20" s="1">
        <v>0</v>
      </c>
      <c r="AP20" s="61">
        <f t="shared" si="14"/>
        <v>0</v>
      </c>
      <c r="AQ20" s="61">
        <v>0</v>
      </c>
      <c r="AR20" s="76">
        <v>0</v>
      </c>
      <c r="AS20" s="76">
        <f t="shared" si="15"/>
        <v>0</v>
      </c>
      <c r="AT20" s="69" t="str">
        <f t="shared" si="16"/>
        <v>OK</v>
      </c>
      <c r="AU20" s="77">
        <f t="shared" si="17"/>
        <v>2</v>
      </c>
      <c r="AV20" s="61" t="str">
        <f t="shared" si="18"/>
        <v>Sem mapa/sem consumo automático</v>
      </c>
      <c r="AW20" s="70"/>
      <c r="AX20" s="70">
        <v>0</v>
      </c>
      <c r="AY20" s="71" t="str">
        <f t="shared" si="19"/>
        <v>NÃO MAPEADO</v>
      </c>
      <c r="AZ20" s="70"/>
      <c r="BA20" s="71" t="str">
        <f t="shared" si="20"/>
        <v/>
      </c>
      <c r="BB20" s="70" t="str">
        <f t="shared" si="21"/>
        <v>Verificar cadastro</v>
      </c>
      <c r="BC20" s="78">
        <v>0</v>
      </c>
      <c r="BD20" s="78">
        <f t="shared" si="22"/>
        <v>0</v>
      </c>
      <c r="BE20" s="78">
        <v>0</v>
      </c>
      <c r="BF20">
        <v>0</v>
      </c>
      <c r="BG20">
        <v>0</v>
      </c>
      <c r="BH20">
        <v>0</v>
      </c>
      <c r="BJ20">
        <v>0</v>
      </c>
      <c r="BK20" s="103"/>
    </row>
    <row r="21" spans="1:63" ht="30" x14ac:dyDescent="0.25">
      <c r="A21" s="8" t="s">
        <v>156</v>
      </c>
      <c r="B21" s="8">
        <v>1.2</v>
      </c>
      <c r="C21" s="8">
        <v>309.19</v>
      </c>
      <c r="D21" s="8">
        <v>102</v>
      </c>
      <c r="E21" s="8" t="s">
        <v>154</v>
      </c>
      <c r="F21" s="8" t="s">
        <v>155</v>
      </c>
      <c r="G21" s="8" t="s">
        <v>156</v>
      </c>
      <c r="H21" s="8">
        <v>258</v>
      </c>
      <c r="I21" s="9">
        <f t="shared" si="23"/>
        <v>0</v>
      </c>
      <c r="J21" s="10">
        <f>REMESSAS!W21</f>
        <v>0</v>
      </c>
      <c r="K21" s="11">
        <f t="shared" si="1"/>
        <v>258</v>
      </c>
      <c r="L21" s="11">
        <f t="shared" si="2"/>
        <v>0</v>
      </c>
      <c r="M21" s="11">
        <f t="shared" si="3"/>
        <v>-258</v>
      </c>
      <c r="N21" s="11">
        <v>0</v>
      </c>
      <c r="O21" s="76">
        <f>IF($A21="","",IFERROR(SUMIF(Consumo_Joists!$A:$A,$A21,Consumo_Joists!$P:$P),0)+IFERROR(SUMIF(Consumo_Quadrantes!$A:$A,$A21,Consumo_Quadrantes!$F:$F),0))</f>
        <v>0</v>
      </c>
      <c r="P21" s="76">
        <v>0</v>
      </c>
      <c r="Q21" s="76"/>
      <c r="R21" s="76"/>
      <c r="S21" s="3">
        <f t="shared" si="4"/>
        <v>0</v>
      </c>
      <c r="T21" s="1" t="str">
        <f t="shared" si="5"/>
        <v>Crítico</v>
      </c>
      <c r="U21" s="1" t="s">
        <v>498</v>
      </c>
      <c r="V21" s="1" t="s">
        <v>80</v>
      </c>
      <c r="W21" s="1" t="s">
        <v>499</v>
      </c>
      <c r="X21" s="2">
        <f t="shared" si="6"/>
        <v>129</v>
      </c>
      <c r="Y21" s="1" t="str">
        <f t="shared" si="7"/>
        <v>Enviar se houver espaço</v>
      </c>
      <c r="Z21" s="1" t="str">
        <f t="shared" si="8"/>
        <v>OK</v>
      </c>
      <c r="AA21" s="11">
        <f t="shared" si="9"/>
        <v>51.6</v>
      </c>
      <c r="AB21" s="11">
        <f t="shared" si="10"/>
        <v>51.6</v>
      </c>
      <c r="AC21" s="1"/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76">
        <v>0</v>
      </c>
      <c r="AJ21" s="76">
        <f t="shared" si="11"/>
        <v>0</v>
      </c>
      <c r="AK21" s="1">
        <v>0</v>
      </c>
      <c r="AL21" s="1">
        <v>0</v>
      </c>
      <c r="AM21" s="1" t="str">
        <f t="shared" si="12"/>
        <v/>
      </c>
      <c r="AN21" s="1">
        <f t="shared" si="13"/>
        <v>0</v>
      </c>
      <c r="AO21" s="1">
        <v>0</v>
      </c>
      <c r="AP21" s="61">
        <f t="shared" si="14"/>
        <v>0</v>
      </c>
      <c r="AQ21" s="61">
        <v>0</v>
      </c>
      <c r="AR21" s="76">
        <v>0</v>
      </c>
      <c r="AS21" s="76">
        <f t="shared" si="15"/>
        <v>0</v>
      </c>
      <c r="AT21" s="69" t="str">
        <f t="shared" si="16"/>
        <v>OK</v>
      </c>
      <c r="AU21" s="77">
        <f t="shared" si="17"/>
        <v>258</v>
      </c>
      <c r="AV21" s="61" t="str">
        <f t="shared" si="18"/>
        <v>Sem mapa/sem consumo automático</v>
      </c>
      <c r="AW21" s="70"/>
      <c r="AX21" s="70">
        <v>0</v>
      </c>
      <c r="AY21" s="71" t="str">
        <f t="shared" si="19"/>
        <v>NÃO MAPEADO</v>
      </c>
      <c r="AZ21" s="70"/>
      <c r="BA21" s="71" t="str">
        <f t="shared" si="20"/>
        <v/>
      </c>
      <c r="BB21" s="70" t="str">
        <f t="shared" si="21"/>
        <v>Verificar cadastro</v>
      </c>
      <c r="BC21" s="78">
        <v>0</v>
      </c>
      <c r="BD21" s="78">
        <f t="shared" si="22"/>
        <v>0</v>
      </c>
      <c r="BE21" s="78">
        <v>0</v>
      </c>
      <c r="BF21">
        <v>0</v>
      </c>
      <c r="BG21">
        <v>0</v>
      </c>
      <c r="BH21">
        <v>0</v>
      </c>
      <c r="BJ21">
        <v>0</v>
      </c>
      <c r="BK21" s="103"/>
    </row>
    <row r="22" spans="1:63" ht="30" x14ac:dyDescent="0.25">
      <c r="A22" s="8" t="s">
        <v>159</v>
      </c>
      <c r="B22" s="8">
        <v>3.06</v>
      </c>
      <c r="C22" s="8">
        <v>893.96</v>
      </c>
      <c r="D22" s="8">
        <v>200</v>
      </c>
      <c r="E22" s="8" t="s">
        <v>157</v>
      </c>
      <c r="F22" s="8" t="s">
        <v>158</v>
      </c>
      <c r="G22" s="8" t="s">
        <v>159</v>
      </c>
      <c r="H22" s="8">
        <v>292</v>
      </c>
      <c r="I22" s="9">
        <f t="shared" si="23"/>
        <v>0</v>
      </c>
      <c r="J22" s="10">
        <f>REMESSAS!W22</f>
        <v>0</v>
      </c>
      <c r="K22" s="11">
        <f t="shared" si="1"/>
        <v>292</v>
      </c>
      <c r="L22" s="11">
        <f t="shared" si="2"/>
        <v>0</v>
      </c>
      <c r="M22" s="11">
        <f t="shared" si="3"/>
        <v>-292</v>
      </c>
      <c r="N22" s="11">
        <v>0</v>
      </c>
      <c r="O22" s="76">
        <f>IF($A22="","",IFERROR(SUMIF(Consumo_Joists!$A:$A,$A22,Consumo_Joists!$P:$P),0)+IFERROR(SUMIF(Consumo_Quadrantes!$A:$A,$A22,Consumo_Quadrantes!$F:$F),0))</f>
        <v>0</v>
      </c>
      <c r="P22" s="76">
        <v>0</v>
      </c>
      <c r="Q22" s="76"/>
      <c r="R22" s="76"/>
      <c r="S22" s="3">
        <f t="shared" si="4"/>
        <v>0</v>
      </c>
      <c r="T22" s="1" t="str">
        <f t="shared" si="5"/>
        <v>Crítico</v>
      </c>
      <c r="U22" s="1" t="s">
        <v>498</v>
      </c>
      <c r="V22" s="1" t="s">
        <v>80</v>
      </c>
      <c r="W22" s="1" t="s">
        <v>499</v>
      </c>
      <c r="X22" s="2">
        <f t="shared" si="6"/>
        <v>146</v>
      </c>
      <c r="Y22" s="1" t="str">
        <f t="shared" si="7"/>
        <v>Enviar se houver espaço</v>
      </c>
      <c r="Z22" s="1" t="str">
        <f t="shared" si="8"/>
        <v>OK</v>
      </c>
      <c r="AA22" s="11">
        <f t="shared" si="9"/>
        <v>58.4</v>
      </c>
      <c r="AB22" s="11">
        <f t="shared" si="10"/>
        <v>58.4</v>
      </c>
      <c r="AC22" s="1"/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76">
        <v>0</v>
      </c>
      <c r="AJ22" s="76">
        <f t="shared" si="11"/>
        <v>0</v>
      </c>
      <c r="AK22" s="1">
        <v>0</v>
      </c>
      <c r="AL22" s="1">
        <v>0</v>
      </c>
      <c r="AM22" s="1" t="str">
        <f t="shared" si="12"/>
        <v/>
      </c>
      <c r="AN22" s="1">
        <f t="shared" si="13"/>
        <v>0</v>
      </c>
      <c r="AO22" s="1">
        <v>0</v>
      </c>
      <c r="AP22" s="61">
        <f t="shared" si="14"/>
        <v>0</v>
      </c>
      <c r="AQ22" s="61">
        <v>0</v>
      </c>
      <c r="AR22" s="76">
        <v>0</v>
      </c>
      <c r="AS22" s="76">
        <f t="shared" si="15"/>
        <v>0</v>
      </c>
      <c r="AT22" s="69" t="str">
        <f t="shared" si="16"/>
        <v>OK</v>
      </c>
      <c r="AU22" s="77">
        <f t="shared" si="17"/>
        <v>292</v>
      </c>
      <c r="AV22" s="61" t="str">
        <f t="shared" si="18"/>
        <v>Sem mapa/sem consumo automático</v>
      </c>
      <c r="AW22" s="70"/>
      <c r="AX22" s="70">
        <v>0</v>
      </c>
      <c r="AY22" s="71" t="str">
        <f t="shared" si="19"/>
        <v>NÃO MAPEADO</v>
      </c>
      <c r="AZ22" s="70"/>
      <c r="BA22" s="71" t="str">
        <f t="shared" si="20"/>
        <v/>
      </c>
      <c r="BB22" s="70" t="str">
        <f t="shared" si="21"/>
        <v>Verificar cadastro</v>
      </c>
      <c r="BC22" s="78">
        <v>0</v>
      </c>
      <c r="BD22" s="78">
        <f t="shared" si="22"/>
        <v>0</v>
      </c>
      <c r="BE22" s="78">
        <v>0</v>
      </c>
      <c r="BF22">
        <v>0</v>
      </c>
      <c r="BG22">
        <v>0</v>
      </c>
      <c r="BH22">
        <v>0</v>
      </c>
      <c r="BJ22">
        <v>0</v>
      </c>
      <c r="BK22" s="103"/>
    </row>
    <row r="23" spans="1:63" ht="30" x14ac:dyDescent="0.25">
      <c r="A23" s="8" t="s">
        <v>162</v>
      </c>
      <c r="B23" s="8">
        <v>12.29</v>
      </c>
      <c r="C23" s="8">
        <v>2518.46</v>
      </c>
      <c r="D23" s="8">
        <v>602</v>
      </c>
      <c r="E23" s="8" t="s">
        <v>160</v>
      </c>
      <c r="F23" s="8" t="s">
        <v>161</v>
      </c>
      <c r="G23" s="8" t="s">
        <v>162</v>
      </c>
      <c r="H23" s="8">
        <v>205</v>
      </c>
      <c r="I23" s="9">
        <f t="shared" si="23"/>
        <v>0</v>
      </c>
      <c r="J23" s="10">
        <f>REMESSAS!W23</f>
        <v>0</v>
      </c>
      <c r="K23" s="11">
        <f t="shared" si="1"/>
        <v>205</v>
      </c>
      <c r="L23" s="11">
        <f t="shared" si="2"/>
        <v>0</v>
      </c>
      <c r="M23" s="11">
        <f t="shared" si="3"/>
        <v>-205</v>
      </c>
      <c r="N23" s="11">
        <v>0</v>
      </c>
      <c r="O23" s="76">
        <f>IF($A23="","",IFERROR(SUMIF(Consumo_Joists!$A:$A,$A23,Consumo_Joists!$P:$P),0)+IFERROR(SUMIF(Consumo_Quadrantes!$A:$A,$A23,Consumo_Quadrantes!$F:$F),0))</f>
        <v>0</v>
      </c>
      <c r="P23" s="76">
        <v>0</v>
      </c>
      <c r="Q23" s="76"/>
      <c r="R23" s="76"/>
      <c r="S23" s="3">
        <f t="shared" si="4"/>
        <v>0</v>
      </c>
      <c r="T23" s="1" t="str">
        <f t="shared" si="5"/>
        <v>Crítico</v>
      </c>
      <c r="U23" s="1" t="s">
        <v>498</v>
      </c>
      <c r="V23" s="1" t="s">
        <v>80</v>
      </c>
      <c r="W23" s="1" t="s">
        <v>499</v>
      </c>
      <c r="X23" s="2">
        <f t="shared" si="6"/>
        <v>103</v>
      </c>
      <c r="Y23" s="1" t="str">
        <f t="shared" si="7"/>
        <v>Enviar se houver espaço</v>
      </c>
      <c r="Z23" s="1" t="str">
        <f t="shared" si="8"/>
        <v>OK</v>
      </c>
      <c r="AA23" s="11">
        <f t="shared" si="9"/>
        <v>41</v>
      </c>
      <c r="AB23" s="11">
        <f t="shared" si="10"/>
        <v>41</v>
      </c>
      <c r="AC23" s="1"/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76">
        <v>0</v>
      </c>
      <c r="AJ23" s="76">
        <f t="shared" si="11"/>
        <v>0</v>
      </c>
      <c r="AK23" s="1">
        <v>0</v>
      </c>
      <c r="AL23" s="1">
        <v>0</v>
      </c>
      <c r="AM23" s="1" t="str">
        <f t="shared" si="12"/>
        <v/>
      </c>
      <c r="AN23" s="1">
        <f t="shared" si="13"/>
        <v>0</v>
      </c>
      <c r="AO23" s="1">
        <v>0</v>
      </c>
      <c r="AP23" s="61">
        <f t="shared" si="14"/>
        <v>0</v>
      </c>
      <c r="AQ23" s="61">
        <v>0</v>
      </c>
      <c r="AR23" s="76">
        <v>0</v>
      </c>
      <c r="AS23" s="76">
        <f t="shared" si="15"/>
        <v>0</v>
      </c>
      <c r="AT23" s="69" t="str">
        <f t="shared" si="16"/>
        <v>OK</v>
      </c>
      <c r="AU23" s="77">
        <f t="shared" si="17"/>
        <v>205</v>
      </c>
      <c r="AV23" s="61" t="str">
        <f t="shared" si="18"/>
        <v>Sem mapa/sem consumo automático</v>
      </c>
      <c r="AW23" s="70"/>
      <c r="AX23" s="70">
        <v>0</v>
      </c>
      <c r="AY23" s="71" t="str">
        <f t="shared" si="19"/>
        <v>NÃO MAPEADO</v>
      </c>
      <c r="AZ23" s="70"/>
      <c r="BA23" s="71" t="str">
        <f t="shared" si="20"/>
        <v/>
      </c>
      <c r="BB23" s="70" t="str">
        <f t="shared" si="21"/>
        <v>Verificar cadastro</v>
      </c>
      <c r="BC23" s="78">
        <v>0</v>
      </c>
      <c r="BD23" s="78">
        <f t="shared" si="22"/>
        <v>0</v>
      </c>
      <c r="BE23" s="78">
        <v>0</v>
      </c>
      <c r="BF23">
        <v>0</v>
      </c>
      <c r="BG23">
        <v>0</v>
      </c>
      <c r="BH23">
        <v>0</v>
      </c>
      <c r="BJ23">
        <v>0</v>
      </c>
      <c r="BK23" s="103"/>
    </row>
    <row r="24" spans="1:63" ht="30" x14ac:dyDescent="0.25">
      <c r="A24" s="8" t="s">
        <v>163</v>
      </c>
      <c r="B24" s="8">
        <v>6.14</v>
      </c>
      <c r="C24" s="8">
        <v>98.28</v>
      </c>
      <c r="D24" s="8">
        <v>602</v>
      </c>
      <c r="E24" s="8" t="s">
        <v>160</v>
      </c>
      <c r="F24" s="8" t="s">
        <v>161</v>
      </c>
      <c r="G24" s="8" t="s">
        <v>163</v>
      </c>
      <c r="H24" s="8">
        <v>16</v>
      </c>
      <c r="I24" s="9">
        <f t="shared" si="23"/>
        <v>0</v>
      </c>
      <c r="J24" s="10">
        <f>REMESSAS!W24</f>
        <v>0</v>
      </c>
      <c r="K24" s="11">
        <f t="shared" si="1"/>
        <v>16</v>
      </c>
      <c r="L24" s="11">
        <f t="shared" si="2"/>
        <v>0</v>
      </c>
      <c r="M24" s="11">
        <f t="shared" si="3"/>
        <v>-16</v>
      </c>
      <c r="N24" s="11">
        <v>0</v>
      </c>
      <c r="O24" s="76">
        <f>IF($A24="","",IFERROR(SUMIF(Consumo_Joists!$A:$A,$A24,Consumo_Joists!$P:$P),0)+IFERROR(SUMIF(Consumo_Quadrantes!$A:$A,$A24,Consumo_Quadrantes!$F:$F),0))</f>
        <v>0</v>
      </c>
      <c r="P24" s="76">
        <v>0</v>
      </c>
      <c r="Q24" s="76"/>
      <c r="R24" s="76"/>
      <c r="S24" s="3">
        <f t="shared" si="4"/>
        <v>0</v>
      </c>
      <c r="T24" s="1" t="str">
        <f t="shared" si="5"/>
        <v>Crítico</v>
      </c>
      <c r="U24" s="1" t="s">
        <v>498</v>
      </c>
      <c r="V24" s="1" t="s">
        <v>80</v>
      </c>
      <c r="W24" s="1" t="s">
        <v>499</v>
      </c>
      <c r="X24" s="2">
        <f t="shared" si="6"/>
        <v>8</v>
      </c>
      <c r="Y24" s="1" t="str">
        <f t="shared" si="7"/>
        <v>Enviar se houver espaço</v>
      </c>
      <c r="Z24" s="1" t="str">
        <f t="shared" si="8"/>
        <v>OK</v>
      </c>
      <c r="AA24" s="11">
        <f t="shared" si="9"/>
        <v>3.2</v>
      </c>
      <c r="AB24" s="11">
        <f t="shared" si="10"/>
        <v>3.2</v>
      </c>
      <c r="AC24" s="1"/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76">
        <v>0</v>
      </c>
      <c r="AJ24" s="76">
        <f t="shared" si="11"/>
        <v>0</v>
      </c>
      <c r="AK24" s="1">
        <v>0</v>
      </c>
      <c r="AL24" s="1">
        <v>0</v>
      </c>
      <c r="AM24" s="1" t="str">
        <f t="shared" si="12"/>
        <v/>
      </c>
      <c r="AN24" s="1">
        <f t="shared" si="13"/>
        <v>0</v>
      </c>
      <c r="AO24" s="1">
        <v>0</v>
      </c>
      <c r="AP24" s="61">
        <f t="shared" si="14"/>
        <v>0</v>
      </c>
      <c r="AQ24" s="61">
        <v>0</v>
      </c>
      <c r="AR24" s="76">
        <v>0</v>
      </c>
      <c r="AS24" s="76">
        <f t="shared" si="15"/>
        <v>0</v>
      </c>
      <c r="AT24" s="69" t="str">
        <f t="shared" si="16"/>
        <v>OK</v>
      </c>
      <c r="AU24" s="77">
        <f t="shared" si="17"/>
        <v>16</v>
      </c>
      <c r="AV24" s="61" t="str">
        <f t="shared" si="18"/>
        <v>Sem mapa/sem consumo automático</v>
      </c>
      <c r="AW24" s="70"/>
      <c r="AX24" s="70">
        <v>0</v>
      </c>
      <c r="AY24" s="71" t="str">
        <f t="shared" si="19"/>
        <v>NÃO MAPEADO</v>
      </c>
      <c r="AZ24" s="70"/>
      <c r="BA24" s="71" t="str">
        <f t="shared" si="20"/>
        <v/>
      </c>
      <c r="BB24" s="70" t="str">
        <f t="shared" si="21"/>
        <v>Verificar cadastro</v>
      </c>
      <c r="BC24" s="78">
        <v>0</v>
      </c>
      <c r="BD24" s="78">
        <f t="shared" si="22"/>
        <v>0</v>
      </c>
      <c r="BE24" s="78">
        <v>0</v>
      </c>
      <c r="BF24">
        <v>0</v>
      </c>
      <c r="BG24">
        <v>0</v>
      </c>
      <c r="BH24">
        <v>0</v>
      </c>
      <c r="BJ24">
        <v>0</v>
      </c>
      <c r="BK24" s="103"/>
    </row>
    <row r="25" spans="1:63" ht="30" x14ac:dyDescent="0.25">
      <c r="A25" s="8" t="s">
        <v>166</v>
      </c>
      <c r="B25" s="8">
        <v>0.25</v>
      </c>
      <c r="C25" s="8">
        <v>393.83</v>
      </c>
      <c r="D25" s="8">
        <v>113</v>
      </c>
      <c r="E25" s="8" t="s">
        <v>164</v>
      </c>
      <c r="F25" s="8" t="s">
        <v>165</v>
      </c>
      <c r="G25" s="8" t="s">
        <v>166</v>
      </c>
      <c r="H25" s="8">
        <v>1555</v>
      </c>
      <c r="I25" s="9">
        <f t="shared" si="23"/>
        <v>0</v>
      </c>
      <c r="J25" s="10">
        <f>REMESSAS!W25</f>
        <v>0</v>
      </c>
      <c r="K25" s="11">
        <f t="shared" si="1"/>
        <v>1555</v>
      </c>
      <c r="L25" s="11">
        <f t="shared" si="2"/>
        <v>0</v>
      </c>
      <c r="M25" s="11">
        <f t="shared" si="3"/>
        <v>-1555</v>
      </c>
      <c r="N25" s="11">
        <v>0</v>
      </c>
      <c r="O25" s="76">
        <f>IF($A25="","",IFERROR(SUMIF(Consumo_Joists!$A:$A,$A25,Consumo_Joists!$P:$P),0)+IFERROR(SUMIF(Consumo_Quadrantes!$A:$A,$A25,Consumo_Quadrantes!$F:$F),0))</f>
        <v>0</v>
      </c>
      <c r="P25" s="76">
        <v>0</v>
      </c>
      <c r="Q25" s="76"/>
      <c r="R25" s="76"/>
      <c r="S25" s="3">
        <f t="shared" si="4"/>
        <v>0</v>
      </c>
      <c r="T25" s="1" t="str">
        <f t="shared" si="5"/>
        <v>Crítico</v>
      </c>
      <c r="U25" s="1" t="s">
        <v>498</v>
      </c>
      <c r="V25" s="1" t="s">
        <v>80</v>
      </c>
      <c r="W25" s="1" t="s">
        <v>499</v>
      </c>
      <c r="X25" s="2">
        <f t="shared" si="6"/>
        <v>778</v>
      </c>
      <c r="Y25" s="1" t="str">
        <f t="shared" si="7"/>
        <v>Enviar se houver espaço</v>
      </c>
      <c r="Z25" s="1" t="str">
        <f t="shared" si="8"/>
        <v>OK</v>
      </c>
      <c r="AA25" s="11">
        <f t="shared" si="9"/>
        <v>311</v>
      </c>
      <c r="AB25" s="11">
        <f t="shared" si="10"/>
        <v>311</v>
      </c>
      <c r="AC25" s="1"/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76">
        <v>0</v>
      </c>
      <c r="AJ25" s="76">
        <f t="shared" si="11"/>
        <v>0</v>
      </c>
      <c r="AK25" s="1">
        <v>0</v>
      </c>
      <c r="AL25" s="1">
        <v>0</v>
      </c>
      <c r="AM25" s="1" t="str">
        <f t="shared" si="12"/>
        <v/>
      </c>
      <c r="AN25" s="1">
        <f t="shared" si="13"/>
        <v>0</v>
      </c>
      <c r="AO25" s="1">
        <v>0</v>
      </c>
      <c r="AP25" s="61">
        <f t="shared" si="14"/>
        <v>0</v>
      </c>
      <c r="AQ25" s="61">
        <v>0</v>
      </c>
      <c r="AR25" s="76">
        <v>0</v>
      </c>
      <c r="AS25" s="76">
        <f t="shared" si="15"/>
        <v>0</v>
      </c>
      <c r="AT25" s="69" t="str">
        <f t="shared" si="16"/>
        <v>OK</v>
      </c>
      <c r="AU25" s="77">
        <f t="shared" si="17"/>
        <v>1555</v>
      </c>
      <c r="AV25" s="61" t="str">
        <f t="shared" si="18"/>
        <v>Sem mapa/sem consumo automático</v>
      </c>
      <c r="AW25" s="70"/>
      <c r="AX25" s="70">
        <v>0</v>
      </c>
      <c r="AY25" s="71" t="str">
        <f t="shared" si="19"/>
        <v>NÃO MAPEADO</v>
      </c>
      <c r="AZ25" s="70"/>
      <c r="BA25" s="71" t="str">
        <f t="shared" si="20"/>
        <v/>
      </c>
      <c r="BB25" s="70" t="str">
        <f t="shared" si="21"/>
        <v>Verificar cadastro</v>
      </c>
      <c r="BC25" s="78">
        <v>0</v>
      </c>
      <c r="BD25" s="78">
        <f t="shared" si="22"/>
        <v>0</v>
      </c>
      <c r="BE25" s="78">
        <v>0</v>
      </c>
      <c r="BF25">
        <v>0</v>
      </c>
      <c r="BG25">
        <v>0</v>
      </c>
      <c r="BH25">
        <v>0</v>
      </c>
      <c r="BJ25">
        <v>0</v>
      </c>
      <c r="BK25" s="103"/>
    </row>
    <row r="26" spans="1:63" ht="30" x14ac:dyDescent="0.25">
      <c r="A26" s="8" t="s">
        <v>169</v>
      </c>
      <c r="B26" s="8">
        <v>2.35</v>
      </c>
      <c r="C26" s="8">
        <v>9.3800000000000008</v>
      </c>
      <c r="D26" s="8">
        <v>2201</v>
      </c>
      <c r="E26" s="8" t="s">
        <v>167</v>
      </c>
      <c r="F26" s="8" t="s">
        <v>168</v>
      </c>
      <c r="G26" s="8" t="s">
        <v>169</v>
      </c>
      <c r="H26" s="8">
        <v>4</v>
      </c>
      <c r="I26" s="9">
        <f t="shared" si="23"/>
        <v>9.4</v>
      </c>
      <c r="J26" s="10">
        <f>REMESSAS!W26</f>
        <v>4</v>
      </c>
      <c r="K26" s="11">
        <f t="shared" si="1"/>
        <v>0</v>
      </c>
      <c r="L26" s="11">
        <f t="shared" si="2"/>
        <v>0</v>
      </c>
      <c r="M26" s="11">
        <f t="shared" si="3"/>
        <v>0</v>
      </c>
      <c r="N26" s="11">
        <v>0</v>
      </c>
      <c r="O26" s="76">
        <f>IF($A26="","",IFERROR(SUMIF(Consumo_Joists!$A:$A,$A26,Consumo_Joists!$P:$P),0)+IFERROR(SUMIF(Consumo_Quadrantes!$A:$A,$A26,Consumo_Quadrantes!$F:$F),0))</f>
        <v>0</v>
      </c>
      <c r="P26" s="76">
        <v>4</v>
      </c>
      <c r="Q26" s="76"/>
      <c r="R26" s="76"/>
      <c r="S26" s="3">
        <f t="shared" si="4"/>
        <v>1</v>
      </c>
      <c r="T26" s="1" t="str">
        <f t="shared" si="5"/>
        <v>Atendido</v>
      </c>
      <c r="U26" s="1" t="s">
        <v>498</v>
      </c>
      <c r="V26" s="1" t="s">
        <v>80</v>
      </c>
      <c r="W26" s="1" t="s">
        <v>499</v>
      </c>
      <c r="X26" s="2">
        <f t="shared" si="6"/>
        <v>0</v>
      </c>
      <c r="Y26" s="1" t="str">
        <f t="shared" si="7"/>
        <v>Monitorar</v>
      </c>
      <c r="Z26" s="1" t="str">
        <f t="shared" si="8"/>
        <v>OK</v>
      </c>
      <c r="AA26" s="11">
        <f t="shared" si="9"/>
        <v>0.8</v>
      </c>
      <c r="AB26" s="11">
        <f t="shared" si="10"/>
        <v>0</v>
      </c>
      <c r="AC26" s="1"/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76">
        <v>0</v>
      </c>
      <c r="AJ26" s="76">
        <f t="shared" si="11"/>
        <v>4</v>
      </c>
      <c r="AK26" s="1">
        <v>0</v>
      </c>
      <c r="AL26" s="1">
        <v>0</v>
      </c>
      <c r="AM26" s="1" t="str">
        <f t="shared" si="12"/>
        <v/>
      </c>
      <c r="AN26" s="1">
        <f t="shared" si="13"/>
        <v>0</v>
      </c>
      <c r="AO26" s="1">
        <v>0</v>
      </c>
      <c r="AP26" s="61">
        <f t="shared" si="14"/>
        <v>0</v>
      </c>
      <c r="AQ26" s="61">
        <v>0</v>
      </c>
      <c r="AR26" s="76">
        <v>0</v>
      </c>
      <c r="AS26" s="76">
        <f t="shared" si="15"/>
        <v>4</v>
      </c>
      <c r="AT26" s="69" t="str">
        <f t="shared" si="16"/>
        <v>OK</v>
      </c>
      <c r="AU26" s="77">
        <f t="shared" si="17"/>
        <v>0</v>
      </c>
      <c r="AV26" s="61" t="str">
        <f t="shared" si="18"/>
        <v>Sem mapa/sem consumo automático</v>
      </c>
      <c r="AW26" s="70"/>
      <c r="AX26" s="70">
        <v>0</v>
      </c>
      <c r="AY26" s="71" t="str">
        <f t="shared" si="19"/>
        <v>NÃO MAPEADO</v>
      </c>
      <c r="AZ26" s="70"/>
      <c r="BA26" s="71" t="str">
        <f t="shared" si="20"/>
        <v/>
      </c>
      <c r="BB26" s="70" t="str">
        <f t="shared" si="21"/>
        <v>Verificar cadastro</v>
      </c>
      <c r="BC26" s="78">
        <v>0</v>
      </c>
      <c r="BD26" s="78">
        <f t="shared" si="22"/>
        <v>0</v>
      </c>
      <c r="BE26" s="78">
        <v>0</v>
      </c>
      <c r="BF26">
        <v>0</v>
      </c>
      <c r="BG26">
        <v>0</v>
      </c>
      <c r="BH26">
        <v>0</v>
      </c>
      <c r="BJ26">
        <v>0</v>
      </c>
      <c r="BK26" s="103"/>
    </row>
    <row r="27" spans="1:63" ht="30" x14ac:dyDescent="0.25">
      <c r="A27" s="8" t="s">
        <v>170</v>
      </c>
      <c r="B27" s="8">
        <v>1.52</v>
      </c>
      <c r="C27" s="8">
        <v>6.07</v>
      </c>
      <c r="D27" s="8">
        <v>1425</v>
      </c>
      <c r="E27" s="8" t="s">
        <v>167</v>
      </c>
      <c r="F27" s="8" t="s">
        <v>168</v>
      </c>
      <c r="G27" s="8" t="s">
        <v>170</v>
      </c>
      <c r="H27" s="8">
        <v>4</v>
      </c>
      <c r="I27" s="9">
        <f t="shared" si="23"/>
        <v>6.08</v>
      </c>
      <c r="J27" s="10">
        <f>REMESSAS!W27</f>
        <v>4</v>
      </c>
      <c r="K27" s="11">
        <f t="shared" si="1"/>
        <v>0</v>
      </c>
      <c r="L27" s="11">
        <f t="shared" si="2"/>
        <v>0</v>
      </c>
      <c r="M27" s="11">
        <f t="shared" si="3"/>
        <v>0</v>
      </c>
      <c r="N27" s="11">
        <v>0</v>
      </c>
      <c r="O27" s="76">
        <f>IF($A27="","",IFERROR(SUMIF(Consumo_Joists!$A:$A,$A27,Consumo_Joists!$P:$P),0)+IFERROR(SUMIF(Consumo_Quadrantes!$A:$A,$A27,Consumo_Quadrantes!$F:$F),0))</f>
        <v>0</v>
      </c>
      <c r="P27" s="76">
        <v>4</v>
      </c>
      <c r="Q27" s="76"/>
      <c r="R27" s="76"/>
      <c r="S27" s="3">
        <f t="shared" si="4"/>
        <v>1</v>
      </c>
      <c r="T27" s="1" t="str">
        <f t="shared" si="5"/>
        <v>Atendido</v>
      </c>
      <c r="U27" s="1" t="s">
        <v>498</v>
      </c>
      <c r="V27" s="1" t="s">
        <v>80</v>
      </c>
      <c r="W27" s="1" t="s">
        <v>499</v>
      </c>
      <c r="X27" s="2">
        <f t="shared" si="6"/>
        <v>0</v>
      </c>
      <c r="Y27" s="1" t="str">
        <f t="shared" si="7"/>
        <v>Monitorar</v>
      </c>
      <c r="Z27" s="1" t="str">
        <f t="shared" si="8"/>
        <v>OK</v>
      </c>
      <c r="AA27" s="11">
        <f t="shared" si="9"/>
        <v>0.8</v>
      </c>
      <c r="AB27" s="11">
        <f t="shared" si="10"/>
        <v>0</v>
      </c>
      <c r="AC27" s="1"/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76">
        <v>0</v>
      </c>
      <c r="AJ27" s="76">
        <f t="shared" si="11"/>
        <v>4</v>
      </c>
      <c r="AK27" s="1">
        <v>0</v>
      </c>
      <c r="AL27" s="1">
        <v>0</v>
      </c>
      <c r="AM27" s="1" t="str">
        <f t="shared" si="12"/>
        <v/>
      </c>
      <c r="AN27" s="1">
        <f t="shared" si="13"/>
        <v>0</v>
      </c>
      <c r="AO27" s="1">
        <v>0</v>
      </c>
      <c r="AP27" s="61">
        <f t="shared" si="14"/>
        <v>0</v>
      </c>
      <c r="AQ27" s="61">
        <v>0</v>
      </c>
      <c r="AR27" s="76">
        <v>0</v>
      </c>
      <c r="AS27" s="76">
        <f t="shared" si="15"/>
        <v>4</v>
      </c>
      <c r="AT27" s="69" t="str">
        <f t="shared" si="16"/>
        <v>OK</v>
      </c>
      <c r="AU27" s="77">
        <f t="shared" si="17"/>
        <v>0</v>
      </c>
      <c r="AV27" s="61" t="str">
        <f t="shared" si="18"/>
        <v>Sem mapa/sem consumo automático</v>
      </c>
      <c r="AW27" s="70"/>
      <c r="AX27" s="70">
        <v>0</v>
      </c>
      <c r="AY27" s="71" t="str">
        <f t="shared" si="19"/>
        <v>NÃO MAPEADO</v>
      </c>
      <c r="AZ27" s="70"/>
      <c r="BA27" s="71" t="str">
        <f t="shared" si="20"/>
        <v/>
      </c>
      <c r="BB27" s="70" t="str">
        <f t="shared" si="21"/>
        <v>Verificar cadastro</v>
      </c>
      <c r="BC27" s="78">
        <v>0</v>
      </c>
      <c r="BD27" s="78">
        <f t="shared" si="22"/>
        <v>0</v>
      </c>
      <c r="BE27" s="78">
        <v>0</v>
      </c>
      <c r="BF27">
        <v>0</v>
      </c>
      <c r="BG27">
        <v>0</v>
      </c>
      <c r="BH27">
        <v>0</v>
      </c>
      <c r="BJ27">
        <v>0</v>
      </c>
      <c r="BK27" s="103"/>
    </row>
    <row r="28" spans="1:63" ht="30" x14ac:dyDescent="0.25">
      <c r="A28" s="8" t="s">
        <v>171</v>
      </c>
      <c r="B28" s="8">
        <v>2.2400000000000002</v>
      </c>
      <c r="C28" s="8">
        <v>295.39</v>
      </c>
      <c r="D28" s="8">
        <v>2100</v>
      </c>
      <c r="E28" s="8" t="s">
        <v>167</v>
      </c>
      <c r="F28" s="8" t="s">
        <v>168</v>
      </c>
      <c r="G28" s="8" t="s">
        <v>171</v>
      </c>
      <c r="H28" s="8">
        <v>132</v>
      </c>
      <c r="I28" s="12">
        <v>0</v>
      </c>
      <c r="J28" s="10">
        <f>REMESSAS!W28</f>
        <v>0</v>
      </c>
      <c r="K28" s="11">
        <f t="shared" si="1"/>
        <v>132</v>
      </c>
      <c r="L28" s="11">
        <f t="shared" si="2"/>
        <v>0</v>
      </c>
      <c r="M28" s="11">
        <f t="shared" si="3"/>
        <v>-132</v>
      </c>
      <c r="N28" s="11">
        <v>0</v>
      </c>
      <c r="O28" s="76">
        <f>IF($A28="","",IFERROR(SUMIF(Consumo_Joists!$A:$A,$A28,Consumo_Joists!$P:$P),0)+IFERROR(SUMIF(Consumo_Quadrantes!$A:$A,$A28,Consumo_Quadrantes!$F:$F),0))</f>
        <v>0</v>
      </c>
      <c r="P28" s="76">
        <v>0</v>
      </c>
      <c r="Q28" s="76"/>
      <c r="R28" s="76"/>
      <c r="S28" s="3">
        <f t="shared" si="4"/>
        <v>0</v>
      </c>
      <c r="T28" s="1" t="str">
        <f t="shared" si="5"/>
        <v>Crítico</v>
      </c>
      <c r="U28" s="1" t="s">
        <v>498</v>
      </c>
      <c r="V28" s="1" t="s">
        <v>80</v>
      </c>
      <c r="W28" s="1" t="s">
        <v>499</v>
      </c>
      <c r="X28" s="2">
        <f t="shared" si="6"/>
        <v>66</v>
      </c>
      <c r="Y28" s="1" t="str">
        <f t="shared" si="7"/>
        <v>Enviar se houver espaço</v>
      </c>
      <c r="Z28" s="1" t="str">
        <f t="shared" si="8"/>
        <v>OK</v>
      </c>
      <c r="AA28" s="11">
        <f t="shared" si="9"/>
        <v>26.4</v>
      </c>
      <c r="AB28" s="11">
        <f t="shared" si="10"/>
        <v>26.4</v>
      </c>
      <c r="AC28" s="1"/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76">
        <v>0</v>
      </c>
      <c r="AJ28" s="76">
        <f t="shared" si="11"/>
        <v>0</v>
      </c>
      <c r="AK28" s="1">
        <v>0</v>
      </c>
      <c r="AL28" s="1">
        <v>0</v>
      </c>
      <c r="AM28" s="1" t="str">
        <f t="shared" si="12"/>
        <v/>
      </c>
      <c r="AN28" s="1">
        <f t="shared" si="13"/>
        <v>0</v>
      </c>
      <c r="AO28" s="1">
        <v>0</v>
      </c>
      <c r="AP28" s="61">
        <f t="shared" si="14"/>
        <v>0</v>
      </c>
      <c r="AQ28" s="61">
        <v>0</v>
      </c>
      <c r="AR28" s="76">
        <v>0</v>
      </c>
      <c r="AS28" s="76">
        <f t="shared" si="15"/>
        <v>0</v>
      </c>
      <c r="AT28" s="69" t="str">
        <f t="shared" si="16"/>
        <v>OK</v>
      </c>
      <c r="AU28" s="77">
        <f t="shared" si="17"/>
        <v>132</v>
      </c>
      <c r="AV28" s="61" t="str">
        <f t="shared" si="18"/>
        <v>Sem mapa/sem consumo automático</v>
      </c>
      <c r="AW28" s="70"/>
      <c r="AX28" s="70">
        <v>0</v>
      </c>
      <c r="AY28" s="71" t="str">
        <f t="shared" si="19"/>
        <v>NÃO MAPEADO</v>
      </c>
      <c r="AZ28" s="70"/>
      <c r="BA28" s="71" t="str">
        <f t="shared" si="20"/>
        <v/>
      </c>
      <c r="BB28" s="70" t="str">
        <f t="shared" si="21"/>
        <v>Verificar cadastro</v>
      </c>
      <c r="BC28" s="78">
        <v>0</v>
      </c>
      <c r="BD28" s="78">
        <f t="shared" si="22"/>
        <v>0</v>
      </c>
      <c r="BE28" s="78">
        <v>0</v>
      </c>
      <c r="BF28">
        <v>0</v>
      </c>
      <c r="BG28">
        <v>0</v>
      </c>
      <c r="BH28">
        <v>0</v>
      </c>
      <c r="BJ28">
        <v>0</v>
      </c>
    </row>
    <row r="29" spans="1:63" ht="30" x14ac:dyDescent="0.25">
      <c r="A29" s="8" t="s">
        <v>172</v>
      </c>
      <c r="B29" s="8">
        <v>2.0699999999999998</v>
      </c>
      <c r="C29" s="8">
        <v>8.27</v>
      </c>
      <c r="D29" s="8">
        <v>1940</v>
      </c>
      <c r="E29" s="8" t="s">
        <v>167</v>
      </c>
      <c r="F29" s="8" t="s">
        <v>168</v>
      </c>
      <c r="G29" s="8" t="s">
        <v>172</v>
      </c>
      <c r="H29" s="8">
        <v>4</v>
      </c>
      <c r="I29" s="9">
        <v>0</v>
      </c>
      <c r="J29" s="10">
        <f>REMESSAS!W29</f>
        <v>4</v>
      </c>
      <c r="K29" s="11">
        <f t="shared" si="1"/>
        <v>0</v>
      </c>
      <c r="L29" s="11">
        <f t="shared" si="2"/>
        <v>0</v>
      </c>
      <c r="M29" s="11">
        <f t="shared" si="3"/>
        <v>0</v>
      </c>
      <c r="N29" s="11">
        <v>0</v>
      </c>
      <c r="O29" s="76">
        <f>IF($A29="","",IFERROR(SUMIF(Consumo_Joists!$A:$A,$A29,Consumo_Joists!$P:$P),0)+IFERROR(SUMIF(Consumo_Quadrantes!$A:$A,$A29,Consumo_Quadrantes!$F:$F),0))</f>
        <v>0</v>
      </c>
      <c r="P29" s="76">
        <v>4</v>
      </c>
      <c r="Q29" s="76"/>
      <c r="R29" s="76"/>
      <c r="S29" s="3">
        <f t="shared" si="4"/>
        <v>1</v>
      </c>
      <c r="T29" s="1" t="str">
        <f t="shared" si="5"/>
        <v>Atendido</v>
      </c>
      <c r="U29" s="1" t="s">
        <v>498</v>
      </c>
      <c r="V29" s="1" t="s">
        <v>80</v>
      </c>
      <c r="W29" s="1" t="s">
        <v>499</v>
      </c>
      <c r="X29" s="2">
        <f t="shared" si="6"/>
        <v>0</v>
      </c>
      <c r="Y29" s="1" t="str">
        <f t="shared" si="7"/>
        <v>Monitorar</v>
      </c>
      <c r="Z29" s="1" t="str">
        <f t="shared" si="8"/>
        <v>OK</v>
      </c>
      <c r="AA29" s="11">
        <f t="shared" si="9"/>
        <v>0.8</v>
      </c>
      <c r="AB29" s="11">
        <f t="shared" si="10"/>
        <v>0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76">
        <v>0</v>
      </c>
      <c r="AJ29" s="76">
        <f t="shared" si="11"/>
        <v>4</v>
      </c>
      <c r="AK29" s="1">
        <v>0</v>
      </c>
      <c r="AL29" s="1">
        <v>0</v>
      </c>
      <c r="AM29" s="1" t="str">
        <f t="shared" si="12"/>
        <v/>
      </c>
      <c r="AN29" s="1">
        <f t="shared" si="13"/>
        <v>0</v>
      </c>
      <c r="AO29" s="1">
        <v>0</v>
      </c>
      <c r="AP29" s="61">
        <f t="shared" si="14"/>
        <v>0</v>
      </c>
      <c r="AQ29" s="61">
        <v>0</v>
      </c>
      <c r="AR29" s="76">
        <v>0</v>
      </c>
      <c r="AS29" s="76">
        <f t="shared" si="15"/>
        <v>4</v>
      </c>
      <c r="AT29" s="69" t="str">
        <f t="shared" si="16"/>
        <v>OK</v>
      </c>
      <c r="AU29" s="77">
        <f t="shared" si="17"/>
        <v>0</v>
      </c>
      <c r="AV29" s="61" t="str">
        <f t="shared" si="18"/>
        <v>Sem mapa/sem consumo automático</v>
      </c>
      <c r="AW29" s="70"/>
      <c r="AX29" s="70">
        <v>0</v>
      </c>
      <c r="AY29" s="71" t="str">
        <f t="shared" si="19"/>
        <v>NÃO MAPEADO</v>
      </c>
      <c r="AZ29" s="70"/>
      <c r="BA29" s="71" t="str">
        <f t="shared" si="20"/>
        <v/>
      </c>
      <c r="BB29" s="70" t="str">
        <f t="shared" si="21"/>
        <v>Verificar cadastro</v>
      </c>
      <c r="BC29" s="78">
        <v>0</v>
      </c>
      <c r="BD29" s="78">
        <f t="shared" si="22"/>
        <v>0</v>
      </c>
      <c r="BE29" s="78">
        <v>0</v>
      </c>
      <c r="BF29">
        <v>0</v>
      </c>
      <c r="BG29">
        <v>0</v>
      </c>
      <c r="BH29">
        <v>0</v>
      </c>
      <c r="BJ29">
        <v>0</v>
      </c>
    </row>
    <row r="30" spans="1:63" ht="30" x14ac:dyDescent="0.25">
      <c r="A30" s="8" t="s">
        <v>173</v>
      </c>
      <c r="B30" s="8">
        <v>2.21</v>
      </c>
      <c r="C30" s="8">
        <v>35.36</v>
      </c>
      <c r="D30" s="8">
        <v>2074</v>
      </c>
      <c r="E30" s="8" t="s">
        <v>167</v>
      </c>
      <c r="F30" s="8" t="s">
        <v>168</v>
      </c>
      <c r="G30" s="8" t="s">
        <v>173</v>
      </c>
      <c r="H30" s="8">
        <v>16</v>
      </c>
      <c r="I30" s="12">
        <v>0</v>
      </c>
      <c r="J30" s="10">
        <f>REMESSAS!W30</f>
        <v>16</v>
      </c>
      <c r="K30" s="11">
        <f t="shared" si="1"/>
        <v>0</v>
      </c>
      <c r="L30" s="11">
        <f t="shared" si="2"/>
        <v>0</v>
      </c>
      <c r="M30" s="11">
        <f t="shared" si="3"/>
        <v>0</v>
      </c>
      <c r="N30" s="11">
        <v>0</v>
      </c>
      <c r="O30" s="76">
        <f>IF($A30="","",IFERROR(SUMIF(Consumo_Joists!$A:$A,$A30,Consumo_Joists!$P:$P),0)+IFERROR(SUMIF(Consumo_Quadrantes!$A:$A,$A30,Consumo_Quadrantes!$F:$F),0))</f>
        <v>0</v>
      </c>
      <c r="P30" s="76">
        <v>16</v>
      </c>
      <c r="Q30" s="76"/>
      <c r="R30" s="76"/>
      <c r="S30" s="3">
        <f t="shared" si="4"/>
        <v>1</v>
      </c>
      <c r="T30" s="1" t="str">
        <f t="shared" si="5"/>
        <v>Atendido</v>
      </c>
      <c r="U30" s="1" t="s">
        <v>498</v>
      </c>
      <c r="V30" s="1" t="s">
        <v>80</v>
      </c>
      <c r="W30" s="1" t="s">
        <v>499</v>
      </c>
      <c r="X30" s="2">
        <f t="shared" si="6"/>
        <v>0</v>
      </c>
      <c r="Y30" s="1" t="str">
        <f t="shared" si="7"/>
        <v>Monitorar</v>
      </c>
      <c r="Z30" s="1" t="str">
        <f t="shared" si="8"/>
        <v>OK</v>
      </c>
      <c r="AA30" s="11">
        <f t="shared" si="9"/>
        <v>3.2</v>
      </c>
      <c r="AB30" s="11">
        <f t="shared" si="10"/>
        <v>0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76">
        <v>0</v>
      </c>
      <c r="AJ30" s="76">
        <f t="shared" si="11"/>
        <v>16</v>
      </c>
      <c r="AK30" s="1">
        <v>0</v>
      </c>
      <c r="AL30" s="1">
        <v>0</v>
      </c>
      <c r="AM30" s="1" t="str">
        <f t="shared" si="12"/>
        <v/>
      </c>
      <c r="AN30" s="1">
        <f t="shared" si="13"/>
        <v>0</v>
      </c>
      <c r="AO30" s="1">
        <v>0</v>
      </c>
      <c r="AP30" s="61">
        <f t="shared" si="14"/>
        <v>0</v>
      </c>
      <c r="AQ30" s="61">
        <v>0</v>
      </c>
      <c r="AR30" s="76">
        <v>0</v>
      </c>
      <c r="AS30" s="76">
        <f t="shared" si="15"/>
        <v>16</v>
      </c>
      <c r="AT30" s="69" t="str">
        <f t="shared" si="16"/>
        <v>OK</v>
      </c>
      <c r="AU30" s="77">
        <f t="shared" si="17"/>
        <v>0</v>
      </c>
      <c r="AV30" s="61" t="str">
        <f t="shared" si="18"/>
        <v>Sem mapa/sem consumo automático</v>
      </c>
      <c r="AW30" s="70"/>
      <c r="AX30" s="70">
        <v>0</v>
      </c>
      <c r="AY30" s="71" t="str">
        <f t="shared" si="19"/>
        <v>NÃO MAPEADO</v>
      </c>
      <c r="AZ30" s="70"/>
      <c r="BA30" s="71" t="str">
        <f t="shared" si="20"/>
        <v/>
      </c>
      <c r="BB30" s="70" t="str">
        <f t="shared" si="21"/>
        <v>Verificar cadastro</v>
      </c>
      <c r="BC30" s="78">
        <v>0</v>
      </c>
      <c r="BD30" s="78">
        <f t="shared" si="22"/>
        <v>0</v>
      </c>
      <c r="BE30" s="78">
        <v>0</v>
      </c>
      <c r="BF30">
        <v>0</v>
      </c>
      <c r="BG30">
        <v>0</v>
      </c>
      <c r="BH30">
        <v>0</v>
      </c>
      <c r="BJ30">
        <v>0</v>
      </c>
    </row>
    <row r="31" spans="1:63" ht="30" x14ac:dyDescent="0.25">
      <c r="A31" s="8" t="s">
        <v>174</v>
      </c>
      <c r="B31" s="8">
        <v>2.2000000000000002</v>
      </c>
      <c r="C31" s="8">
        <v>8.7899999999999991</v>
      </c>
      <c r="D31" s="8">
        <v>2062</v>
      </c>
      <c r="E31" s="8" t="s">
        <v>167</v>
      </c>
      <c r="F31" s="8" t="s">
        <v>168</v>
      </c>
      <c r="G31" s="8" t="s">
        <v>174</v>
      </c>
      <c r="H31" s="8">
        <v>4</v>
      </c>
      <c r="I31" s="9">
        <f t="shared" ref="I31:I36" si="24">J31*B31</f>
        <v>8.8000000000000007</v>
      </c>
      <c r="J31" s="10">
        <f>REMESSAS!W31</f>
        <v>4</v>
      </c>
      <c r="K31" s="11">
        <f t="shared" si="1"/>
        <v>0</v>
      </c>
      <c r="L31" s="11">
        <f t="shared" si="2"/>
        <v>0</v>
      </c>
      <c r="M31" s="11">
        <f t="shared" si="3"/>
        <v>0</v>
      </c>
      <c r="N31" s="11">
        <v>0</v>
      </c>
      <c r="O31" s="76">
        <f>IF($A31="","",IFERROR(SUMIF(Consumo_Joists!$A:$A,$A31,Consumo_Joists!$P:$P),0)+IFERROR(SUMIF(Consumo_Quadrantes!$A:$A,$A31,Consumo_Quadrantes!$F:$F),0))</f>
        <v>0</v>
      </c>
      <c r="P31" s="76">
        <v>4</v>
      </c>
      <c r="Q31" s="76"/>
      <c r="R31" s="76"/>
      <c r="S31" s="3">
        <f t="shared" si="4"/>
        <v>1</v>
      </c>
      <c r="T31" s="1" t="str">
        <f t="shared" si="5"/>
        <v>Atendido</v>
      </c>
      <c r="U31" s="1" t="s">
        <v>498</v>
      </c>
      <c r="V31" s="1" t="s">
        <v>80</v>
      </c>
      <c r="W31" s="1" t="s">
        <v>499</v>
      </c>
      <c r="X31" s="2">
        <f t="shared" si="6"/>
        <v>0</v>
      </c>
      <c r="Y31" s="1" t="str">
        <f t="shared" si="7"/>
        <v>Monitorar</v>
      </c>
      <c r="Z31" s="1" t="str">
        <f t="shared" si="8"/>
        <v>OK</v>
      </c>
      <c r="AA31" s="11">
        <f t="shared" si="9"/>
        <v>0.8</v>
      </c>
      <c r="AB31" s="11">
        <f t="shared" si="10"/>
        <v>0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76">
        <v>0</v>
      </c>
      <c r="AJ31" s="76">
        <f t="shared" si="11"/>
        <v>4</v>
      </c>
      <c r="AK31" s="1">
        <v>0</v>
      </c>
      <c r="AL31" s="1">
        <v>0</v>
      </c>
      <c r="AM31" s="1" t="str">
        <f t="shared" si="12"/>
        <v/>
      </c>
      <c r="AN31" s="1">
        <f t="shared" si="13"/>
        <v>0</v>
      </c>
      <c r="AO31" s="1">
        <v>0</v>
      </c>
      <c r="AP31" s="61">
        <f t="shared" si="14"/>
        <v>0</v>
      </c>
      <c r="AQ31" s="61">
        <v>0</v>
      </c>
      <c r="AR31" s="76">
        <v>0</v>
      </c>
      <c r="AS31" s="76">
        <f t="shared" si="15"/>
        <v>4</v>
      </c>
      <c r="AT31" s="69" t="str">
        <f t="shared" si="16"/>
        <v>OK</v>
      </c>
      <c r="AU31" s="77">
        <f t="shared" si="17"/>
        <v>0</v>
      </c>
      <c r="AV31" s="61" t="str">
        <f t="shared" si="18"/>
        <v>Sem mapa/sem consumo automático</v>
      </c>
      <c r="AW31" s="70"/>
      <c r="AX31" s="70">
        <v>0</v>
      </c>
      <c r="AY31" s="71" t="str">
        <f t="shared" si="19"/>
        <v>NÃO MAPEADO</v>
      </c>
      <c r="AZ31" s="70"/>
      <c r="BA31" s="71" t="str">
        <f t="shared" si="20"/>
        <v/>
      </c>
      <c r="BB31" s="70" t="str">
        <f t="shared" si="21"/>
        <v>Verificar cadastro</v>
      </c>
      <c r="BC31" s="78">
        <v>0</v>
      </c>
      <c r="BD31" s="78">
        <f t="shared" si="22"/>
        <v>0</v>
      </c>
      <c r="BE31" s="78">
        <v>0</v>
      </c>
      <c r="BF31">
        <v>0</v>
      </c>
      <c r="BG31">
        <v>0</v>
      </c>
      <c r="BH31">
        <v>0</v>
      </c>
      <c r="BJ31">
        <v>0</v>
      </c>
      <c r="BK31" s="103"/>
    </row>
    <row r="32" spans="1:63" ht="30" x14ac:dyDescent="0.25">
      <c r="A32" s="8" t="s">
        <v>175</v>
      </c>
      <c r="B32" s="8">
        <v>3.37</v>
      </c>
      <c r="C32" s="8">
        <v>13.5</v>
      </c>
      <c r="D32" s="8">
        <v>3166</v>
      </c>
      <c r="E32" s="8" t="s">
        <v>167</v>
      </c>
      <c r="F32" s="8" t="s">
        <v>168</v>
      </c>
      <c r="G32" s="8" t="s">
        <v>175</v>
      </c>
      <c r="H32" s="8">
        <v>4</v>
      </c>
      <c r="I32" s="9">
        <f t="shared" si="24"/>
        <v>13.48</v>
      </c>
      <c r="J32" s="10">
        <f>REMESSAS!W32</f>
        <v>4</v>
      </c>
      <c r="K32" s="11">
        <f t="shared" si="1"/>
        <v>0</v>
      </c>
      <c r="L32" s="11">
        <f t="shared" si="2"/>
        <v>0</v>
      </c>
      <c r="M32" s="11">
        <f t="shared" si="3"/>
        <v>0</v>
      </c>
      <c r="N32" s="11">
        <v>0</v>
      </c>
      <c r="O32" s="76">
        <f>IF($A32="","",IFERROR(SUMIF(Consumo_Joists!$A:$A,$A32,Consumo_Joists!$P:$P),0)+IFERROR(SUMIF(Consumo_Quadrantes!$A:$A,$A32,Consumo_Quadrantes!$F:$F),0))</f>
        <v>0</v>
      </c>
      <c r="P32" s="76">
        <v>4</v>
      </c>
      <c r="Q32" s="76"/>
      <c r="R32" s="76"/>
      <c r="S32" s="3">
        <f t="shared" si="4"/>
        <v>1</v>
      </c>
      <c r="T32" s="1" t="str">
        <f t="shared" si="5"/>
        <v>Atendido</v>
      </c>
      <c r="U32" s="1" t="s">
        <v>498</v>
      </c>
      <c r="V32" s="1" t="s">
        <v>80</v>
      </c>
      <c r="W32" s="1" t="s">
        <v>499</v>
      </c>
      <c r="X32" s="2">
        <f t="shared" si="6"/>
        <v>0</v>
      </c>
      <c r="Y32" s="1" t="str">
        <f t="shared" si="7"/>
        <v>Monitorar</v>
      </c>
      <c r="Z32" s="1" t="str">
        <f t="shared" si="8"/>
        <v>OK</v>
      </c>
      <c r="AA32" s="11">
        <f t="shared" si="9"/>
        <v>0.8</v>
      </c>
      <c r="AB32" s="11">
        <f t="shared" si="10"/>
        <v>0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76">
        <v>0</v>
      </c>
      <c r="AJ32" s="76">
        <f t="shared" si="11"/>
        <v>4</v>
      </c>
      <c r="AK32" s="1">
        <v>0</v>
      </c>
      <c r="AL32" s="1">
        <v>0</v>
      </c>
      <c r="AM32" s="1" t="str">
        <f t="shared" si="12"/>
        <v/>
      </c>
      <c r="AN32" s="1">
        <f t="shared" si="13"/>
        <v>0</v>
      </c>
      <c r="AO32" s="1">
        <v>0</v>
      </c>
      <c r="AP32" s="61">
        <f t="shared" si="14"/>
        <v>0</v>
      </c>
      <c r="AQ32" s="61">
        <v>0</v>
      </c>
      <c r="AR32" s="76">
        <v>0</v>
      </c>
      <c r="AS32" s="76">
        <f t="shared" si="15"/>
        <v>4</v>
      </c>
      <c r="AT32" s="69" t="str">
        <f t="shared" si="16"/>
        <v>OK</v>
      </c>
      <c r="AU32" s="77">
        <f t="shared" si="17"/>
        <v>0</v>
      </c>
      <c r="AV32" s="61" t="str">
        <f t="shared" si="18"/>
        <v>Sem mapa/sem consumo automático</v>
      </c>
      <c r="AW32" s="70"/>
      <c r="AX32" s="70">
        <v>0</v>
      </c>
      <c r="AY32" s="71" t="str">
        <f t="shared" si="19"/>
        <v>NÃO MAPEADO</v>
      </c>
      <c r="AZ32" s="70"/>
      <c r="BA32" s="71" t="str">
        <f t="shared" si="20"/>
        <v/>
      </c>
      <c r="BB32" s="70" t="str">
        <f t="shared" si="21"/>
        <v>Verificar cadastro</v>
      </c>
      <c r="BC32" s="78">
        <v>0</v>
      </c>
      <c r="BD32" s="78">
        <f t="shared" si="22"/>
        <v>0</v>
      </c>
      <c r="BE32" s="78">
        <v>0</v>
      </c>
      <c r="BF32">
        <v>0</v>
      </c>
      <c r="BG32">
        <v>0</v>
      </c>
      <c r="BH32">
        <v>0</v>
      </c>
      <c r="BJ32">
        <v>0</v>
      </c>
      <c r="BK32" s="103"/>
    </row>
    <row r="33" spans="1:63" ht="30" x14ac:dyDescent="0.25">
      <c r="A33" s="8" t="s">
        <v>178</v>
      </c>
      <c r="B33" s="8">
        <v>12.29</v>
      </c>
      <c r="C33" s="8">
        <v>1327.15</v>
      </c>
      <c r="D33" s="8">
        <v>686</v>
      </c>
      <c r="E33" s="8" t="s">
        <v>176</v>
      </c>
      <c r="F33" s="8" t="s">
        <v>177</v>
      </c>
      <c r="G33" s="8" t="s">
        <v>178</v>
      </c>
      <c r="H33" s="8">
        <v>108</v>
      </c>
      <c r="I33" s="9">
        <f t="shared" si="24"/>
        <v>0</v>
      </c>
      <c r="J33" s="10">
        <f>REMESSAS!W34</f>
        <v>0</v>
      </c>
      <c r="K33" s="11">
        <f t="shared" si="1"/>
        <v>108</v>
      </c>
      <c r="L33" s="11">
        <f t="shared" si="2"/>
        <v>0</v>
      </c>
      <c r="M33" s="11">
        <f t="shared" si="3"/>
        <v>-108</v>
      </c>
      <c r="N33" s="11">
        <v>0</v>
      </c>
      <c r="O33" s="76">
        <f>IF($A33="","",IFERROR(SUMIF(Consumo_Joists!$A:$A,$A33,Consumo_Joists!$P:$P),0)+IFERROR(SUMIF(Consumo_Quadrantes!$A:$A,$A33,Consumo_Quadrantes!$F:$F),0))</f>
        <v>0</v>
      </c>
      <c r="P33" s="76">
        <v>0</v>
      </c>
      <c r="Q33" s="76"/>
      <c r="R33" s="76"/>
      <c r="S33" s="3">
        <f t="shared" si="4"/>
        <v>0</v>
      </c>
      <c r="T33" s="1" t="str">
        <f t="shared" si="5"/>
        <v>Crítico</v>
      </c>
      <c r="U33" s="1" t="s">
        <v>498</v>
      </c>
      <c r="V33" s="1" t="s">
        <v>80</v>
      </c>
      <c r="W33" s="1" t="s">
        <v>499</v>
      </c>
      <c r="X33" s="2">
        <f t="shared" si="6"/>
        <v>54</v>
      </c>
      <c r="Y33" s="1" t="str">
        <f t="shared" si="7"/>
        <v>Enviar se houver espaço</v>
      </c>
      <c r="Z33" s="1" t="str">
        <f t="shared" si="8"/>
        <v>OK</v>
      </c>
      <c r="AA33" s="11">
        <f t="shared" si="9"/>
        <v>21.6</v>
      </c>
      <c r="AB33" s="11">
        <f t="shared" si="10"/>
        <v>21.6</v>
      </c>
      <c r="AC33" s="1"/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76">
        <v>0</v>
      </c>
      <c r="AJ33" s="76">
        <f t="shared" si="11"/>
        <v>0</v>
      </c>
      <c r="AK33" s="1">
        <v>0</v>
      </c>
      <c r="AL33" s="1">
        <v>0</v>
      </c>
      <c r="AM33" s="1" t="str">
        <f t="shared" si="12"/>
        <v/>
      </c>
      <c r="AN33" s="1">
        <f t="shared" si="13"/>
        <v>0</v>
      </c>
      <c r="AO33" s="1">
        <v>0</v>
      </c>
      <c r="AP33" s="61">
        <f t="shared" si="14"/>
        <v>0</v>
      </c>
      <c r="AQ33" s="61">
        <v>0</v>
      </c>
      <c r="AR33" s="76">
        <v>0</v>
      </c>
      <c r="AS33" s="76">
        <f t="shared" si="15"/>
        <v>0</v>
      </c>
      <c r="AT33" s="69" t="str">
        <f t="shared" si="16"/>
        <v>OK</v>
      </c>
      <c r="AU33" s="77">
        <f t="shared" si="17"/>
        <v>108</v>
      </c>
      <c r="AV33" s="61" t="str">
        <f t="shared" si="18"/>
        <v>Sem mapa/sem consumo automático</v>
      </c>
      <c r="AW33" s="70"/>
      <c r="AX33" s="70">
        <v>0</v>
      </c>
      <c r="AY33" s="71" t="str">
        <f t="shared" si="19"/>
        <v>NÃO MAPEADO</v>
      </c>
      <c r="AZ33" s="70"/>
      <c r="BA33" s="71" t="str">
        <f t="shared" si="20"/>
        <v/>
      </c>
      <c r="BB33" s="70" t="str">
        <f t="shared" si="21"/>
        <v>Verificar cadastro</v>
      </c>
      <c r="BC33" s="78">
        <v>0</v>
      </c>
      <c r="BD33" s="78">
        <f t="shared" si="22"/>
        <v>0</v>
      </c>
      <c r="BE33" s="78">
        <v>0</v>
      </c>
      <c r="BF33">
        <v>0</v>
      </c>
      <c r="BG33">
        <v>0</v>
      </c>
      <c r="BH33">
        <v>0</v>
      </c>
      <c r="BJ33">
        <v>0</v>
      </c>
      <c r="BK33" s="103"/>
    </row>
    <row r="34" spans="1:63" ht="30" x14ac:dyDescent="0.25">
      <c r="A34" s="8" t="s">
        <v>180</v>
      </c>
      <c r="B34" s="8">
        <v>3.11</v>
      </c>
      <c r="C34" s="8">
        <v>111.93</v>
      </c>
      <c r="D34" s="8">
        <v>669</v>
      </c>
      <c r="E34" s="8" t="s">
        <v>179</v>
      </c>
      <c r="F34" s="8" t="s">
        <v>177</v>
      </c>
      <c r="G34" s="8" t="s">
        <v>180</v>
      </c>
      <c r="H34" s="8">
        <v>36</v>
      </c>
      <c r="I34" s="9">
        <f t="shared" si="24"/>
        <v>0</v>
      </c>
      <c r="J34" s="10">
        <f>REMESSAS!W35</f>
        <v>0</v>
      </c>
      <c r="K34" s="11">
        <f t="shared" si="1"/>
        <v>36</v>
      </c>
      <c r="L34" s="11">
        <f t="shared" si="2"/>
        <v>0</v>
      </c>
      <c r="M34" s="11">
        <f t="shared" si="3"/>
        <v>-36</v>
      </c>
      <c r="N34" s="11">
        <v>0</v>
      </c>
      <c r="O34" s="76">
        <f>IF($A34="","",IFERROR(SUMIF(Consumo_Joists!$A:$A,$A34,Consumo_Joists!$P:$P),0)+IFERROR(SUMIF(Consumo_Quadrantes!$A:$A,$A34,Consumo_Quadrantes!$F:$F),0))</f>
        <v>0</v>
      </c>
      <c r="P34" s="76">
        <v>0</v>
      </c>
      <c r="Q34" s="76"/>
      <c r="R34" s="76"/>
      <c r="S34" s="3">
        <f t="shared" si="4"/>
        <v>0</v>
      </c>
      <c r="T34" s="1" t="str">
        <f t="shared" si="5"/>
        <v>Crítico</v>
      </c>
      <c r="U34" s="1" t="s">
        <v>498</v>
      </c>
      <c r="V34" s="1" t="s">
        <v>80</v>
      </c>
      <c r="W34" s="1" t="s">
        <v>499</v>
      </c>
      <c r="X34" s="2">
        <f t="shared" si="6"/>
        <v>18</v>
      </c>
      <c r="Y34" s="1" t="str">
        <f t="shared" si="7"/>
        <v>Enviar se houver espaço</v>
      </c>
      <c r="Z34" s="1" t="str">
        <f t="shared" si="8"/>
        <v>OK</v>
      </c>
      <c r="AA34" s="11">
        <f t="shared" si="9"/>
        <v>7.2</v>
      </c>
      <c r="AB34" s="11">
        <f t="shared" si="10"/>
        <v>7.2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76">
        <v>0</v>
      </c>
      <c r="AJ34" s="76">
        <f t="shared" si="11"/>
        <v>0</v>
      </c>
      <c r="AK34" s="1">
        <v>0</v>
      </c>
      <c r="AL34" s="1">
        <v>0</v>
      </c>
      <c r="AM34" s="1" t="str">
        <f t="shared" si="12"/>
        <v/>
      </c>
      <c r="AN34" s="1">
        <f t="shared" si="13"/>
        <v>0</v>
      </c>
      <c r="AO34" s="1">
        <v>0</v>
      </c>
      <c r="AP34" s="61">
        <f t="shared" si="14"/>
        <v>0</v>
      </c>
      <c r="AQ34" s="61">
        <v>0</v>
      </c>
      <c r="AR34" s="76">
        <v>0</v>
      </c>
      <c r="AS34" s="76">
        <f t="shared" si="15"/>
        <v>0</v>
      </c>
      <c r="AT34" s="69" t="str">
        <f t="shared" si="16"/>
        <v>OK</v>
      </c>
      <c r="AU34" s="77">
        <f t="shared" si="17"/>
        <v>36</v>
      </c>
      <c r="AV34" s="61" t="str">
        <f t="shared" si="18"/>
        <v>Sem mapa/sem consumo automático</v>
      </c>
      <c r="AW34" s="70"/>
      <c r="AX34" s="70">
        <v>0</v>
      </c>
      <c r="AY34" s="71" t="str">
        <f t="shared" si="19"/>
        <v>NÃO MAPEADO</v>
      </c>
      <c r="AZ34" s="70"/>
      <c r="BA34" s="71" t="str">
        <f t="shared" si="20"/>
        <v/>
      </c>
      <c r="BB34" s="70" t="str">
        <f t="shared" si="21"/>
        <v>Verificar cadastro</v>
      </c>
      <c r="BC34" s="78">
        <v>0</v>
      </c>
      <c r="BD34" s="78">
        <f t="shared" si="22"/>
        <v>0</v>
      </c>
      <c r="BE34" s="78">
        <v>0</v>
      </c>
      <c r="BF34">
        <v>0</v>
      </c>
      <c r="BG34">
        <v>0</v>
      </c>
      <c r="BH34">
        <v>0</v>
      </c>
      <c r="BJ34">
        <v>0</v>
      </c>
      <c r="BK34" s="103"/>
    </row>
    <row r="35" spans="1:63" ht="30" x14ac:dyDescent="0.25">
      <c r="A35" s="8" t="s">
        <v>181</v>
      </c>
      <c r="B35" s="8">
        <v>7.27</v>
      </c>
      <c r="C35" s="8">
        <v>319.74</v>
      </c>
      <c r="D35" s="8">
        <v>669</v>
      </c>
      <c r="E35" s="8" t="s">
        <v>179</v>
      </c>
      <c r="F35" s="8" t="s">
        <v>177</v>
      </c>
      <c r="G35" s="8" t="s">
        <v>181</v>
      </c>
      <c r="H35" s="8">
        <v>44</v>
      </c>
      <c r="I35" s="9">
        <f t="shared" si="24"/>
        <v>0</v>
      </c>
      <c r="J35" s="10">
        <f>REMESSAS!W36</f>
        <v>0</v>
      </c>
      <c r="K35" s="11">
        <f t="shared" si="1"/>
        <v>44</v>
      </c>
      <c r="L35" s="11">
        <f t="shared" si="2"/>
        <v>0</v>
      </c>
      <c r="M35" s="11">
        <f t="shared" si="3"/>
        <v>-44</v>
      </c>
      <c r="N35" s="11">
        <v>0</v>
      </c>
      <c r="O35" s="76">
        <f>IF($A35="","",IFERROR(SUMIF(Consumo_Joists!$A:$A,$A35,Consumo_Joists!$P:$P),0)+IFERROR(SUMIF(Consumo_Quadrantes!$A:$A,$A35,Consumo_Quadrantes!$F:$F),0))</f>
        <v>0</v>
      </c>
      <c r="P35" s="76">
        <v>0</v>
      </c>
      <c r="Q35" s="76"/>
      <c r="R35" s="76"/>
      <c r="S35" s="3">
        <f t="shared" si="4"/>
        <v>0</v>
      </c>
      <c r="T35" s="1" t="str">
        <f t="shared" si="5"/>
        <v>Crítico</v>
      </c>
      <c r="U35" s="1" t="s">
        <v>498</v>
      </c>
      <c r="V35" s="1" t="s">
        <v>80</v>
      </c>
      <c r="W35" s="1" t="s">
        <v>499</v>
      </c>
      <c r="X35" s="2">
        <f t="shared" si="6"/>
        <v>22</v>
      </c>
      <c r="Y35" s="1" t="str">
        <f t="shared" si="7"/>
        <v>Enviar se houver espaço</v>
      </c>
      <c r="Z35" s="1" t="str">
        <f t="shared" si="8"/>
        <v>OK</v>
      </c>
      <c r="AA35" s="11">
        <f t="shared" si="9"/>
        <v>8.8000000000000007</v>
      </c>
      <c r="AB35" s="11">
        <f t="shared" si="10"/>
        <v>8.8000000000000007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76">
        <v>0</v>
      </c>
      <c r="AJ35" s="76">
        <f t="shared" si="11"/>
        <v>0</v>
      </c>
      <c r="AK35" s="1">
        <v>0</v>
      </c>
      <c r="AL35" s="1">
        <v>0</v>
      </c>
      <c r="AM35" s="1" t="str">
        <f t="shared" si="12"/>
        <v/>
      </c>
      <c r="AN35" s="1">
        <f t="shared" si="13"/>
        <v>0</v>
      </c>
      <c r="AO35" s="1">
        <v>0</v>
      </c>
      <c r="AP35" s="61">
        <f t="shared" si="14"/>
        <v>0</v>
      </c>
      <c r="AQ35" s="61">
        <v>0</v>
      </c>
      <c r="AR35" s="76">
        <v>0</v>
      </c>
      <c r="AS35" s="76">
        <f t="shared" si="15"/>
        <v>0</v>
      </c>
      <c r="AT35" s="69" t="str">
        <f t="shared" si="16"/>
        <v>OK</v>
      </c>
      <c r="AU35" s="77">
        <f t="shared" si="17"/>
        <v>44</v>
      </c>
      <c r="AV35" s="61" t="str">
        <f t="shared" si="18"/>
        <v>Sem mapa/sem consumo automático</v>
      </c>
      <c r="AW35" s="70"/>
      <c r="AX35" s="70">
        <v>0</v>
      </c>
      <c r="AY35" s="71" t="str">
        <f t="shared" si="19"/>
        <v>NÃO MAPEADO</v>
      </c>
      <c r="AZ35" s="70"/>
      <c r="BA35" s="71" t="str">
        <f t="shared" si="20"/>
        <v/>
      </c>
      <c r="BB35" s="70" t="str">
        <f t="shared" si="21"/>
        <v>Verificar cadastro</v>
      </c>
      <c r="BC35" s="78">
        <v>0</v>
      </c>
      <c r="BD35" s="78">
        <f t="shared" si="22"/>
        <v>0</v>
      </c>
      <c r="BE35" s="78">
        <v>0</v>
      </c>
      <c r="BF35">
        <v>0</v>
      </c>
      <c r="BG35">
        <v>0</v>
      </c>
      <c r="BH35">
        <v>0</v>
      </c>
      <c r="BJ35">
        <v>0</v>
      </c>
      <c r="BK35" s="103"/>
    </row>
    <row r="36" spans="1:63" ht="30" x14ac:dyDescent="0.25">
      <c r="A36" s="8" t="s">
        <v>183</v>
      </c>
      <c r="B36" s="8">
        <v>20.190000000000001</v>
      </c>
      <c r="C36" s="8">
        <v>1473.85</v>
      </c>
      <c r="D36" s="8">
        <v>100</v>
      </c>
      <c r="E36" s="8" t="s">
        <v>182</v>
      </c>
      <c r="F36" s="8" t="s">
        <v>177</v>
      </c>
      <c r="G36" s="8" t="s">
        <v>183</v>
      </c>
      <c r="H36" s="8">
        <v>73</v>
      </c>
      <c r="I36" s="9">
        <f t="shared" si="24"/>
        <v>0</v>
      </c>
      <c r="J36" s="10">
        <f>REMESSAS!W37</f>
        <v>0</v>
      </c>
      <c r="K36" s="11">
        <f t="shared" si="1"/>
        <v>73</v>
      </c>
      <c r="L36" s="11">
        <f t="shared" si="2"/>
        <v>0</v>
      </c>
      <c r="M36" s="11">
        <f t="shared" si="3"/>
        <v>-73</v>
      </c>
      <c r="N36" s="11">
        <v>0</v>
      </c>
      <c r="O36" s="76">
        <f>IF($A36="","",IFERROR(SUMIF(Consumo_Joists!$A:$A,$A36,Consumo_Joists!$P:$P),0)+IFERROR(SUMIF(Consumo_Quadrantes!$A:$A,$A36,Consumo_Quadrantes!$F:$F),0))</f>
        <v>0</v>
      </c>
      <c r="P36" s="76">
        <v>0</v>
      </c>
      <c r="Q36" s="76"/>
      <c r="R36" s="76"/>
      <c r="S36" s="3">
        <f t="shared" si="4"/>
        <v>0</v>
      </c>
      <c r="T36" s="1" t="str">
        <f t="shared" si="5"/>
        <v>Crítico</v>
      </c>
      <c r="U36" s="1" t="s">
        <v>498</v>
      </c>
      <c r="V36" s="1" t="s">
        <v>80</v>
      </c>
      <c r="W36" s="1" t="s">
        <v>499</v>
      </c>
      <c r="X36" s="2">
        <f t="shared" si="6"/>
        <v>37</v>
      </c>
      <c r="Y36" s="1" t="str">
        <f t="shared" si="7"/>
        <v>Enviar se houver espaço</v>
      </c>
      <c r="Z36" s="1" t="str">
        <f t="shared" si="8"/>
        <v>OK</v>
      </c>
      <c r="AA36" s="11">
        <f t="shared" si="9"/>
        <v>14.6</v>
      </c>
      <c r="AB36" s="11">
        <f t="shared" si="10"/>
        <v>14.6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76">
        <v>0</v>
      </c>
      <c r="AJ36" s="76">
        <f t="shared" si="11"/>
        <v>0</v>
      </c>
      <c r="AK36" s="1">
        <v>0</v>
      </c>
      <c r="AL36" s="1">
        <v>0</v>
      </c>
      <c r="AM36" s="1" t="str">
        <f t="shared" si="12"/>
        <v/>
      </c>
      <c r="AN36" s="1">
        <f t="shared" si="13"/>
        <v>0</v>
      </c>
      <c r="AO36" s="1">
        <v>0</v>
      </c>
      <c r="AP36" s="61">
        <f t="shared" si="14"/>
        <v>0</v>
      </c>
      <c r="AQ36" s="61">
        <v>0</v>
      </c>
      <c r="AR36" s="76">
        <v>0</v>
      </c>
      <c r="AS36" s="76">
        <f t="shared" si="15"/>
        <v>0</v>
      </c>
      <c r="AT36" s="69" t="str">
        <f t="shared" si="16"/>
        <v>OK</v>
      </c>
      <c r="AU36" s="77">
        <f t="shared" si="17"/>
        <v>73</v>
      </c>
      <c r="AV36" s="61" t="str">
        <f t="shared" si="18"/>
        <v>Sem mapa/sem consumo automático</v>
      </c>
      <c r="AW36" s="70"/>
      <c r="AX36" s="70">
        <v>0</v>
      </c>
      <c r="AY36" s="71" t="str">
        <f t="shared" si="19"/>
        <v>NÃO MAPEADO</v>
      </c>
      <c r="AZ36" s="70"/>
      <c r="BA36" s="71" t="str">
        <f t="shared" si="20"/>
        <v/>
      </c>
      <c r="BB36" s="70" t="str">
        <f t="shared" si="21"/>
        <v>Verificar cadastro</v>
      </c>
      <c r="BC36" s="78">
        <v>0</v>
      </c>
      <c r="BD36" s="78">
        <f t="shared" si="22"/>
        <v>0</v>
      </c>
      <c r="BE36" s="78">
        <v>0</v>
      </c>
      <c r="BF36">
        <v>0</v>
      </c>
      <c r="BG36">
        <v>0</v>
      </c>
      <c r="BH36">
        <v>0</v>
      </c>
      <c r="BJ36">
        <v>0</v>
      </c>
      <c r="BK36" s="103"/>
    </row>
    <row r="37" spans="1:63" ht="30" x14ac:dyDescent="0.25">
      <c r="A37" s="8" t="s">
        <v>186</v>
      </c>
      <c r="B37" s="8">
        <v>4.84</v>
      </c>
      <c r="C37" s="8">
        <v>1394.69</v>
      </c>
      <c r="D37" s="8">
        <v>265</v>
      </c>
      <c r="E37" s="8" t="s">
        <v>184</v>
      </c>
      <c r="F37" s="8" t="s">
        <v>185</v>
      </c>
      <c r="G37" s="8" t="s">
        <v>186</v>
      </c>
      <c r="H37" s="8">
        <v>288</v>
      </c>
      <c r="I37" s="9">
        <v>0</v>
      </c>
      <c r="J37" s="10">
        <f>REMESSAS!W38</f>
        <v>100</v>
      </c>
      <c r="K37" s="11">
        <f t="shared" si="1"/>
        <v>188</v>
      </c>
      <c r="L37" s="11">
        <f t="shared" si="2"/>
        <v>0</v>
      </c>
      <c r="M37" s="11">
        <f t="shared" si="3"/>
        <v>-188</v>
      </c>
      <c r="N37" s="11">
        <v>0</v>
      </c>
      <c r="O37" s="76">
        <f>IF($A37="","",IFERROR(SUMIF(Consumo_Joists!$A:$A,$A37,Consumo_Joists!$P:$P),0)+IFERROR(SUMIF(Consumo_Quadrantes!$A:$A,$A37,Consumo_Quadrantes!$F:$F),0))</f>
        <v>0</v>
      </c>
      <c r="P37" s="76">
        <v>100</v>
      </c>
      <c r="Q37" s="76"/>
      <c r="R37" s="76"/>
      <c r="S37" s="3">
        <f t="shared" si="4"/>
        <v>0.34722222222222221</v>
      </c>
      <c r="T37" s="1" t="str">
        <f t="shared" si="5"/>
        <v>Recebimento Parcial</v>
      </c>
      <c r="U37" s="1" t="s">
        <v>498</v>
      </c>
      <c r="V37" s="1" t="s">
        <v>80</v>
      </c>
      <c r="W37" s="1" t="s">
        <v>499</v>
      </c>
      <c r="X37" s="2">
        <f t="shared" si="6"/>
        <v>94</v>
      </c>
      <c r="Y37" s="1" t="str">
        <f t="shared" si="7"/>
        <v>Enviar se houver espaço</v>
      </c>
      <c r="Z37" s="1" t="str">
        <f t="shared" si="8"/>
        <v>OK</v>
      </c>
      <c r="AA37" s="11">
        <f t="shared" si="9"/>
        <v>57.6</v>
      </c>
      <c r="AB37" s="11">
        <f t="shared" si="10"/>
        <v>37.6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76">
        <v>0</v>
      </c>
      <c r="AJ37" s="76">
        <f t="shared" si="11"/>
        <v>100</v>
      </c>
      <c r="AK37" s="1">
        <v>0</v>
      </c>
      <c r="AL37" s="1">
        <v>0</v>
      </c>
      <c r="AM37" s="1" t="str">
        <f t="shared" si="12"/>
        <v/>
      </c>
      <c r="AN37" s="1">
        <f t="shared" si="13"/>
        <v>0</v>
      </c>
      <c r="AO37" s="1">
        <v>0</v>
      </c>
      <c r="AP37" s="61">
        <f t="shared" si="14"/>
        <v>0</v>
      </c>
      <c r="AQ37" s="61">
        <v>0</v>
      </c>
      <c r="AR37" s="76">
        <v>0</v>
      </c>
      <c r="AS37" s="76">
        <f t="shared" si="15"/>
        <v>100</v>
      </c>
      <c r="AT37" s="69" t="str">
        <f t="shared" si="16"/>
        <v>OK</v>
      </c>
      <c r="AU37" s="77">
        <f t="shared" si="17"/>
        <v>188</v>
      </c>
      <c r="AV37" s="61" t="str">
        <f t="shared" si="18"/>
        <v>Sem mapa/sem consumo automático</v>
      </c>
      <c r="AW37" s="70"/>
      <c r="AX37" s="70">
        <v>0</v>
      </c>
      <c r="AY37" s="71" t="str">
        <f t="shared" si="19"/>
        <v>NÃO MAPEADO</v>
      </c>
      <c r="AZ37" s="70"/>
      <c r="BA37" s="71" t="str">
        <f t="shared" si="20"/>
        <v/>
      </c>
      <c r="BB37" s="70" t="str">
        <f t="shared" si="21"/>
        <v>Verificar cadastro</v>
      </c>
      <c r="BC37" s="78">
        <v>0</v>
      </c>
      <c r="BD37" s="78">
        <f t="shared" si="22"/>
        <v>0</v>
      </c>
      <c r="BE37" s="78">
        <v>0</v>
      </c>
      <c r="BF37">
        <v>0</v>
      </c>
      <c r="BG37">
        <v>0</v>
      </c>
      <c r="BH37">
        <v>0</v>
      </c>
      <c r="BJ37">
        <v>0</v>
      </c>
    </row>
    <row r="38" spans="1:63" ht="30" x14ac:dyDescent="0.25">
      <c r="A38" s="8" t="s">
        <v>189</v>
      </c>
      <c r="B38" s="8">
        <v>24.29</v>
      </c>
      <c r="C38" s="8">
        <v>194.3</v>
      </c>
      <c r="D38" s="8">
        <v>22100</v>
      </c>
      <c r="E38" s="8" t="s">
        <v>187</v>
      </c>
      <c r="F38" s="8" t="s">
        <v>188</v>
      </c>
      <c r="G38" s="8" t="s">
        <v>189</v>
      </c>
      <c r="H38" s="8">
        <v>8</v>
      </c>
      <c r="I38" s="12">
        <v>0</v>
      </c>
      <c r="J38" s="10">
        <f>REMESSAS!W39</f>
        <v>8</v>
      </c>
      <c r="K38" s="11">
        <f t="shared" si="1"/>
        <v>0</v>
      </c>
      <c r="L38" s="11">
        <f t="shared" si="2"/>
        <v>0</v>
      </c>
      <c r="M38" s="11">
        <f t="shared" si="3"/>
        <v>0</v>
      </c>
      <c r="N38" s="11">
        <v>0</v>
      </c>
      <c r="O38" s="76">
        <f>IF($A38="","",IFERROR(SUMIF(Consumo_Joists!$A:$A,$A38,Consumo_Joists!$P:$P),0)+IFERROR(SUMIF(Consumo_Quadrantes!$A:$A,$A38,Consumo_Quadrantes!$F:$F),0))</f>
        <v>0</v>
      </c>
      <c r="P38" s="76">
        <v>8</v>
      </c>
      <c r="Q38" s="76"/>
      <c r="R38" s="76"/>
      <c r="S38" s="3">
        <f t="shared" si="4"/>
        <v>1</v>
      </c>
      <c r="T38" s="1" t="str">
        <f t="shared" si="5"/>
        <v>Atendido</v>
      </c>
      <c r="U38" s="1" t="s">
        <v>498</v>
      </c>
      <c r="V38" s="1" t="s">
        <v>80</v>
      </c>
      <c r="W38" s="1" t="s">
        <v>499</v>
      </c>
      <c r="X38" s="2">
        <f t="shared" si="6"/>
        <v>0</v>
      </c>
      <c r="Y38" s="1" t="str">
        <f t="shared" si="7"/>
        <v>Monitorar</v>
      </c>
      <c r="Z38" s="1" t="str">
        <f t="shared" si="8"/>
        <v>OK</v>
      </c>
      <c r="AA38" s="11">
        <f t="shared" si="9"/>
        <v>1.6</v>
      </c>
      <c r="AB38" s="11">
        <f t="shared" si="10"/>
        <v>0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76">
        <v>0</v>
      </c>
      <c r="AJ38" s="76">
        <f t="shared" si="11"/>
        <v>8</v>
      </c>
      <c r="AK38" s="1">
        <v>0</v>
      </c>
      <c r="AL38" s="1">
        <v>0</v>
      </c>
      <c r="AM38" s="1" t="str">
        <f t="shared" si="12"/>
        <v/>
      </c>
      <c r="AN38" s="1">
        <f t="shared" si="13"/>
        <v>0</v>
      </c>
      <c r="AO38" s="1">
        <v>0</v>
      </c>
      <c r="AP38" s="61">
        <f t="shared" si="14"/>
        <v>0</v>
      </c>
      <c r="AQ38" s="61">
        <v>0</v>
      </c>
      <c r="AR38" s="76">
        <v>0</v>
      </c>
      <c r="AS38" s="76">
        <f t="shared" si="15"/>
        <v>8</v>
      </c>
      <c r="AT38" s="69" t="str">
        <f t="shared" si="16"/>
        <v>OK</v>
      </c>
      <c r="AU38" s="77">
        <f t="shared" si="17"/>
        <v>0</v>
      </c>
      <c r="AV38" s="61" t="str">
        <f t="shared" si="18"/>
        <v>Sem mapa/sem consumo automático</v>
      </c>
      <c r="AW38" s="70"/>
      <c r="AX38" s="70">
        <v>0</v>
      </c>
      <c r="AY38" s="71" t="str">
        <f t="shared" si="19"/>
        <v>NÃO MAPEADO</v>
      </c>
      <c r="AZ38" s="70"/>
      <c r="BA38" s="71" t="str">
        <f t="shared" si="20"/>
        <v/>
      </c>
      <c r="BB38" s="70" t="str">
        <f t="shared" si="21"/>
        <v>Verificar cadastro</v>
      </c>
      <c r="BC38" s="78">
        <v>0</v>
      </c>
      <c r="BD38" s="78">
        <f t="shared" si="22"/>
        <v>0</v>
      </c>
      <c r="BE38" s="78">
        <v>0</v>
      </c>
      <c r="BF38">
        <v>0</v>
      </c>
      <c r="BG38">
        <v>0</v>
      </c>
      <c r="BH38">
        <v>0</v>
      </c>
      <c r="BJ38">
        <v>0</v>
      </c>
    </row>
    <row r="39" spans="1:63" ht="30" x14ac:dyDescent="0.25">
      <c r="A39" s="8" t="s">
        <v>190</v>
      </c>
      <c r="B39" s="8">
        <v>24.42</v>
      </c>
      <c r="C39" s="8">
        <v>3906.86</v>
      </c>
      <c r="D39" s="8">
        <v>22220</v>
      </c>
      <c r="E39" s="8" t="s">
        <v>187</v>
      </c>
      <c r="F39" s="8" t="s">
        <v>188</v>
      </c>
      <c r="G39" s="8" t="s">
        <v>190</v>
      </c>
      <c r="H39" s="8">
        <v>160</v>
      </c>
      <c r="I39" s="9">
        <v>0</v>
      </c>
      <c r="J39" s="10">
        <f>REMESSAS!W40</f>
        <v>90</v>
      </c>
      <c r="K39" s="11">
        <f t="shared" si="1"/>
        <v>70</v>
      </c>
      <c r="L39" s="11">
        <f t="shared" si="2"/>
        <v>0</v>
      </c>
      <c r="M39" s="11">
        <f t="shared" si="3"/>
        <v>-70</v>
      </c>
      <c r="N39" s="11">
        <v>0</v>
      </c>
      <c r="O39" s="76">
        <f>IF($A39="","",IFERROR(SUMIF(Consumo_Joists!$A:$A,$A39,Consumo_Joists!$P:$P),0)+IFERROR(SUMIF(Consumo_Quadrantes!$A:$A,$A39,Consumo_Quadrantes!$F:$F),0))</f>
        <v>0</v>
      </c>
      <c r="P39" s="76">
        <v>90</v>
      </c>
      <c r="Q39" s="76"/>
      <c r="R39" s="76"/>
      <c r="S39" s="3">
        <f t="shared" si="4"/>
        <v>0.5625</v>
      </c>
      <c r="T39" s="1" t="str">
        <f t="shared" si="5"/>
        <v>Recebimento Parcial</v>
      </c>
      <c r="U39" s="1" t="s">
        <v>498</v>
      </c>
      <c r="V39" s="1" t="s">
        <v>80</v>
      </c>
      <c r="W39" s="1" t="s">
        <v>499</v>
      </c>
      <c r="X39" s="2">
        <f t="shared" si="6"/>
        <v>0</v>
      </c>
      <c r="Y39" s="1" t="str">
        <f t="shared" si="7"/>
        <v>Monitorar</v>
      </c>
      <c r="Z39" s="1" t="str">
        <f t="shared" si="8"/>
        <v>OK</v>
      </c>
      <c r="AA39" s="11">
        <f t="shared" si="9"/>
        <v>32</v>
      </c>
      <c r="AB39" s="11">
        <f t="shared" si="10"/>
        <v>14</v>
      </c>
      <c r="AC39" s="1"/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76">
        <v>0</v>
      </c>
      <c r="AJ39" s="76">
        <f t="shared" si="11"/>
        <v>90</v>
      </c>
      <c r="AK39" s="1">
        <v>0</v>
      </c>
      <c r="AL39" s="1">
        <v>0</v>
      </c>
      <c r="AM39" s="1" t="str">
        <f t="shared" si="12"/>
        <v/>
      </c>
      <c r="AN39" s="1">
        <f t="shared" si="13"/>
        <v>0</v>
      </c>
      <c r="AO39" s="1">
        <v>0</v>
      </c>
      <c r="AP39" s="61">
        <f t="shared" si="14"/>
        <v>0</v>
      </c>
      <c r="AQ39" s="61">
        <v>0</v>
      </c>
      <c r="AR39" s="76">
        <v>0</v>
      </c>
      <c r="AS39" s="76">
        <f t="shared" si="15"/>
        <v>90</v>
      </c>
      <c r="AT39" s="69" t="str">
        <f t="shared" si="16"/>
        <v>OK</v>
      </c>
      <c r="AU39" s="77">
        <f t="shared" si="17"/>
        <v>70</v>
      </c>
      <c r="AV39" s="61" t="str">
        <f t="shared" si="18"/>
        <v>Sem mapa/sem consumo automático</v>
      </c>
      <c r="AW39" s="70"/>
      <c r="AX39" s="70">
        <v>0</v>
      </c>
      <c r="AY39" s="71" t="str">
        <f t="shared" si="19"/>
        <v>NÃO MAPEADO</v>
      </c>
      <c r="AZ39" s="70"/>
      <c r="BA39" s="71" t="str">
        <f t="shared" si="20"/>
        <v/>
      </c>
      <c r="BB39" s="70" t="str">
        <f t="shared" si="21"/>
        <v>Verificar cadastro</v>
      </c>
      <c r="BC39" s="78">
        <v>0</v>
      </c>
      <c r="BD39" s="78">
        <f t="shared" si="22"/>
        <v>0</v>
      </c>
      <c r="BE39" s="78">
        <v>0</v>
      </c>
      <c r="BF39">
        <v>0</v>
      </c>
      <c r="BG39">
        <v>0</v>
      </c>
      <c r="BH39">
        <v>0</v>
      </c>
      <c r="BJ39">
        <v>0</v>
      </c>
    </row>
    <row r="40" spans="1:63" ht="30" x14ac:dyDescent="0.25">
      <c r="A40" s="8" t="s">
        <v>191</v>
      </c>
      <c r="B40" s="8">
        <v>26.18</v>
      </c>
      <c r="C40" s="8">
        <v>628.41</v>
      </c>
      <c r="D40" s="8">
        <v>23850</v>
      </c>
      <c r="E40" s="8" t="s">
        <v>187</v>
      </c>
      <c r="F40" s="8" t="s">
        <v>188</v>
      </c>
      <c r="G40" s="8" t="s">
        <v>191</v>
      </c>
      <c r="H40" s="8">
        <v>24</v>
      </c>
      <c r="I40" s="12">
        <v>0</v>
      </c>
      <c r="J40" s="10">
        <f>REMESSAS!W41</f>
        <v>25</v>
      </c>
      <c r="K40" s="11">
        <f t="shared" si="1"/>
        <v>0</v>
      </c>
      <c r="L40" s="11">
        <f t="shared" si="2"/>
        <v>1</v>
      </c>
      <c r="M40" s="11">
        <f t="shared" si="3"/>
        <v>1</v>
      </c>
      <c r="N40" s="11">
        <v>0</v>
      </c>
      <c r="O40" s="76">
        <f>IF($A40="","",IFERROR(SUMIF(Consumo_Joists!$A:$A,$A40,Consumo_Joists!$P:$P),0)+IFERROR(SUMIF(Consumo_Quadrantes!$A:$A,$A40,Consumo_Quadrantes!$F:$F),0))</f>
        <v>0</v>
      </c>
      <c r="P40" s="76">
        <v>25</v>
      </c>
      <c r="Q40" s="76"/>
      <c r="R40" s="76"/>
      <c r="S40" s="3">
        <f t="shared" si="4"/>
        <v>1.0416666666666667</v>
      </c>
      <c r="T40" s="1" t="str">
        <f t="shared" si="5"/>
        <v>Excedente</v>
      </c>
      <c r="U40" s="1" t="s">
        <v>498</v>
      </c>
      <c r="V40" s="1" t="s">
        <v>80</v>
      </c>
      <c r="W40" s="1" t="s">
        <v>499</v>
      </c>
      <c r="X40" s="2">
        <f t="shared" si="6"/>
        <v>0</v>
      </c>
      <c r="Y40" s="1" t="str">
        <f t="shared" si="7"/>
        <v>Monitorar</v>
      </c>
      <c r="Z40" s="1" t="str">
        <f t="shared" si="8"/>
        <v>OK</v>
      </c>
      <c r="AA40" s="11">
        <f t="shared" si="9"/>
        <v>4.8</v>
      </c>
      <c r="AB40" s="11">
        <f t="shared" si="10"/>
        <v>0</v>
      </c>
      <c r="AC40" s="1"/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76">
        <v>0</v>
      </c>
      <c r="AJ40" s="76">
        <f t="shared" si="11"/>
        <v>25</v>
      </c>
      <c r="AK40" s="1">
        <v>0</v>
      </c>
      <c r="AL40" s="1">
        <v>0</v>
      </c>
      <c r="AM40" s="1" t="str">
        <f t="shared" si="12"/>
        <v/>
      </c>
      <c r="AN40" s="1">
        <f t="shared" si="13"/>
        <v>0</v>
      </c>
      <c r="AO40" s="1">
        <v>0</v>
      </c>
      <c r="AP40" s="61">
        <f t="shared" si="14"/>
        <v>0</v>
      </c>
      <c r="AQ40" s="61">
        <v>0</v>
      </c>
      <c r="AR40" s="76">
        <v>0</v>
      </c>
      <c r="AS40" s="76">
        <f t="shared" si="15"/>
        <v>25</v>
      </c>
      <c r="AT40" s="69" t="str">
        <f t="shared" si="16"/>
        <v>OK</v>
      </c>
      <c r="AU40" s="77">
        <f t="shared" si="17"/>
        <v>0</v>
      </c>
      <c r="AV40" s="61" t="str">
        <f t="shared" si="18"/>
        <v>Sem mapa/sem consumo automático</v>
      </c>
      <c r="AW40" s="70"/>
      <c r="AX40" s="70">
        <v>0</v>
      </c>
      <c r="AY40" s="71" t="str">
        <f t="shared" si="19"/>
        <v>NÃO MAPEADO</v>
      </c>
      <c r="AZ40" s="70"/>
      <c r="BA40" s="71" t="str">
        <f t="shared" si="20"/>
        <v/>
      </c>
      <c r="BB40" s="70" t="str">
        <f t="shared" si="21"/>
        <v>Verificar cadastro</v>
      </c>
      <c r="BC40" s="78">
        <v>0</v>
      </c>
      <c r="BD40" s="78">
        <f t="shared" si="22"/>
        <v>0</v>
      </c>
      <c r="BE40" s="78">
        <v>0</v>
      </c>
      <c r="BF40">
        <v>0</v>
      </c>
      <c r="BG40">
        <v>0</v>
      </c>
      <c r="BH40">
        <v>0</v>
      </c>
      <c r="BJ40">
        <v>0</v>
      </c>
    </row>
    <row r="41" spans="1:63" ht="30" x14ac:dyDescent="0.25">
      <c r="A41" s="8" t="s">
        <v>192</v>
      </c>
      <c r="B41" s="8">
        <v>25.57</v>
      </c>
      <c r="C41" s="8">
        <v>4908.7</v>
      </c>
      <c r="D41" s="8">
        <v>23280</v>
      </c>
      <c r="E41" s="8" t="s">
        <v>187</v>
      </c>
      <c r="F41" s="8" t="s">
        <v>188</v>
      </c>
      <c r="G41" s="8" t="s">
        <v>192</v>
      </c>
      <c r="H41" s="8">
        <v>192</v>
      </c>
      <c r="I41" s="9">
        <v>0</v>
      </c>
      <c r="J41" s="10">
        <f>REMESSAS!W42</f>
        <v>80</v>
      </c>
      <c r="K41" s="11">
        <f t="shared" si="1"/>
        <v>112</v>
      </c>
      <c r="L41" s="11">
        <f t="shared" si="2"/>
        <v>0</v>
      </c>
      <c r="M41" s="11">
        <f t="shared" si="3"/>
        <v>-112</v>
      </c>
      <c r="N41" s="11">
        <v>0</v>
      </c>
      <c r="O41" s="76">
        <f>IF($A41="","",IFERROR(SUMIF(Consumo_Joists!$A:$A,$A41,Consumo_Joists!$P:$P),0)+IFERROR(SUMIF(Consumo_Quadrantes!$A:$A,$A41,Consumo_Quadrantes!$F:$F),0))</f>
        <v>0</v>
      </c>
      <c r="P41" s="76">
        <v>80</v>
      </c>
      <c r="Q41" s="76"/>
      <c r="R41" s="76"/>
      <c r="S41" s="3">
        <f t="shared" si="4"/>
        <v>0.41666666666666669</v>
      </c>
      <c r="T41" s="1" t="str">
        <f t="shared" si="5"/>
        <v>Recebimento Parcial</v>
      </c>
      <c r="U41" s="1" t="s">
        <v>498</v>
      </c>
      <c r="V41" s="1" t="s">
        <v>80</v>
      </c>
      <c r="W41" s="1" t="s">
        <v>499</v>
      </c>
      <c r="X41" s="2">
        <f t="shared" si="6"/>
        <v>56</v>
      </c>
      <c r="Y41" s="1" t="str">
        <f t="shared" si="7"/>
        <v>Enviar se houver espaço</v>
      </c>
      <c r="Z41" s="1" t="str">
        <f t="shared" si="8"/>
        <v>OK</v>
      </c>
      <c r="AA41" s="11">
        <f t="shared" si="9"/>
        <v>38.4</v>
      </c>
      <c r="AB41" s="11">
        <f t="shared" si="10"/>
        <v>22.4</v>
      </c>
      <c r="AC41" s="1"/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76">
        <v>0</v>
      </c>
      <c r="AJ41" s="76">
        <f t="shared" si="11"/>
        <v>80</v>
      </c>
      <c r="AK41" s="1">
        <v>0</v>
      </c>
      <c r="AL41" s="1">
        <v>0</v>
      </c>
      <c r="AM41" s="1" t="str">
        <f t="shared" si="12"/>
        <v/>
      </c>
      <c r="AN41" s="1">
        <f t="shared" si="13"/>
        <v>0</v>
      </c>
      <c r="AO41" s="1">
        <v>0</v>
      </c>
      <c r="AP41" s="61">
        <f t="shared" si="14"/>
        <v>0</v>
      </c>
      <c r="AQ41" s="61">
        <v>0</v>
      </c>
      <c r="AR41" s="76">
        <v>0</v>
      </c>
      <c r="AS41" s="76">
        <f t="shared" si="15"/>
        <v>80</v>
      </c>
      <c r="AT41" s="69" t="str">
        <f t="shared" si="16"/>
        <v>OK</v>
      </c>
      <c r="AU41" s="77">
        <f t="shared" si="17"/>
        <v>112</v>
      </c>
      <c r="AV41" s="61" t="str">
        <f t="shared" si="18"/>
        <v>Sem mapa/sem consumo automático</v>
      </c>
      <c r="AW41" s="70"/>
      <c r="AX41" s="70">
        <v>0</v>
      </c>
      <c r="AY41" s="71" t="str">
        <f t="shared" si="19"/>
        <v>NÃO MAPEADO</v>
      </c>
      <c r="AZ41" s="70"/>
      <c r="BA41" s="71" t="str">
        <f t="shared" si="20"/>
        <v/>
      </c>
      <c r="BB41" s="70" t="str">
        <f t="shared" si="21"/>
        <v>Verificar cadastro</v>
      </c>
      <c r="BC41" s="78">
        <v>0</v>
      </c>
      <c r="BD41" s="78">
        <f t="shared" si="22"/>
        <v>0</v>
      </c>
      <c r="BE41" s="78">
        <v>0</v>
      </c>
      <c r="BF41">
        <v>0</v>
      </c>
      <c r="BG41">
        <v>0</v>
      </c>
      <c r="BH41">
        <v>0</v>
      </c>
      <c r="BJ41">
        <v>0</v>
      </c>
      <c r="BK41" s="103"/>
    </row>
    <row r="42" spans="1:63" ht="30" x14ac:dyDescent="0.25">
      <c r="A42" s="8" t="s">
        <v>193</v>
      </c>
      <c r="B42" s="8">
        <v>26.48</v>
      </c>
      <c r="C42" s="8">
        <v>635.42999999999995</v>
      </c>
      <c r="D42" s="8">
        <v>24120</v>
      </c>
      <c r="E42" s="8" t="s">
        <v>187</v>
      </c>
      <c r="F42" s="8" t="s">
        <v>188</v>
      </c>
      <c r="G42" s="8" t="s">
        <v>193</v>
      </c>
      <c r="H42" s="8">
        <v>24</v>
      </c>
      <c r="I42" s="12">
        <v>0</v>
      </c>
      <c r="J42" s="10">
        <f>REMESSAS!W43</f>
        <v>24</v>
      </c>
      <c r="K42" s="11">
        <f t="shared" si="1"/>
        <v>0</v>
      </c>
      <c r="L42" s="11">
        <f t="shared" si="2"/>
        <v>0</v>
      </c>
      <c r="M42" s="11">
        <f t="shared" si="3"/>
        <v>0</v>
      </c>
      <c r="N42" s="11">
        <v>0</v>
      </c>
      <c r="O42" s="76">
        <f>IF($A42="","",IFERROR(SUMIF(Consumo_Joists!$A:$A,$A42,Consumo_Joists!$P:$P),0)+IFERROR(SUMIF(Consumo_Quadrantes!$A:$A,$A42,Consumo_Quadrantes!$F:$F),0))</f>
        <v>0</v>
      </c>
      <c r="P42" s="76">
        <v>24</v>
      </c>
      <c r="Q42" s="76"/>
      <c r="R42" s="76"/>
      <c r="S42" s="3">
        <f t="shared" si="4"/>
        <v>1</v>
      </c>
      <c r="T42" s="1" t="str">
        <f t="shared" si="5"/>
        <v>Atendido</v>
      </c>
      <c r="U42" s="1" t="s">
        <v>498</v>
      </c>
      <c r="V42" s="1" t="s">
        <v>80</v>
      </c>
      <c r="W42" s="1" t="s">
        <v>499</v>
      </c>
      <c r="X42" s="2">
        <f t="shared" si="6"/>
        <v>0</v>
      </c>
      <c r="Y42" s="1" t="str">
        <f t="shared" si="7"/>
        <v>Monitorar</v>
      </c>
      <c r="Z42" s="1" t="str">
        <f t="shared" si="8"/>
        <v>OK</v>
      </c>
      <c r="AA42" s="11">
        <f t="shared" si="9"/>
        <v>4.8</v>
      </c>
      <c r="AB42" s="11">
        <f t="shared" si="10"/>
        <v>0</v>
      </c>
      <c r="AC42" s="1"/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76">
        <v>0</v>
      </c>
      <c r="AJ42" s="76">
        <f t="shared" si="11"/>
        <v>24</v>
      </c>
      <c r="AK42" s="1">
        <v>0</v>
      </c>
      <c r="AL42" s="1">
        <v>0</v>
      </c>
      <c r="AM42" s="1" t="str">
        <f t="shared" si="12"/>
        <v/>
      </c>
      <c r="AN42" s="1">
        <f t="shared" si="13"/>
        <v>0</v>
      </c>
      <c r="AO42" s="1">
        <v>0</v>
      </c>
      <c r="AP42" s="61">
        <f t="shared" si="14"/>
        <v>0</v>
      </c>
      <c r="AQ42" s="61">
        <v>0</v>
      </c>
      <c r="AR42" s="76">
        <v>0</v>
      </c>
      <c r="AS42" s="76">
        <f t="shared" si="15"/>
        <v>24</v>
      </c>
      <c r="AT42" s="69" t="str">
        <f t="shared" si="16"/>
        <v>OK</v>
      </c>
      <c r="AU42" s="77">
        <f t="shared" si="17"/>
        <v>0</v>
      </c>
      <c r="AV42" s="61" t="str">
        <f t="shared" si="18"/>
        <v>Sem mapa/sem consumo automático</v>
      </c>
      <c r="AW42" s="70"/>
      <c r="AX42" s="70">
        <v>0</v>
      </c>
      <c r="AY42" s="71" t="str">
        <f t="shared" si="19"/>
        <v>NÃO MAPEADO</v>
      </c>
      <c r="AZ42" s="70"/>
      <c r="BA42" s="71" t="str">
        <f t="shared" si="20"/>
        <v/>
      </c>
      <c r="BB42" s="70" t="str">
        <f t="shared" si="21"/>
        <v>Verificar cadastro</v>
      </c>
      <c r="BC42" s="78">
        <v>0</v>
      </c>
      <c r="BD42" s="78">
        <f t="shared" si="22"/>
        <v>0</v>
      </c>
      <c r="BE42" s="78">
        <v>0</v>
      </c>
      <c r="BF42">
        <v>0</v>
      </c>
      <c r="BG42">
        <v>0</v>
      </c>
      <c r="BH42">
        <v>0</v>
      </c>
      <c r="BJ42">
        <v>0</v>
      </c>
    </row>
    <row r="43" spans="1:63" ht="30" x14ac:dyDescent="0.25">
      <c r="A43" s="8" t="s">
        <v>194</v>
      </c>
      <c r="B43" s="8">
        <v>11.06</v>
      </c>
      <c r="C43" s="8">
        <v>442.39</v>
      </c>
      <c r="D43" s="8">
        <v>9889</v>
      </c>
      <c r="E43" s="8" t="s">
        <v>187</v>
      </c>
      <c r="F43" s="8" t="s">
        <v>188</v>
      </c>
      <c r="G43" s="8" t="s">
        <v>194</v>
      </c>
      <c r="H43" s="8">
        <v>40</v>
      </c>
      <c r="I43" s="9">
        <v>0</v>
      </c>
      <c r="J43" s="10">
        <f>REMESSAS!W44</f>
        <v>0</v>
      </c>
      <c r="K43" s="11">
        <f t="shared" si="1"/>
        <v>40</v>
      </c>
      <c r="L43" s="11">
        <f t="shared" si="2"/>
        <v>0</v>
      </c>
      <c r="M43" s="11">
        <f t="shared" si="3"/>
        <v>-40</v>
      </c>
      <c r="N43" s="11">
        <v>0</v>
      </c>
      <c r="O43" s="76">
        <f>IF($A43="","",IFERROR(SUMIF(Consumo_Joists!$A:$A,$A43,Consumo_Joists!$P:$P),0)+IFERROR(SUMIF(Consumo_Quadrantes!$A:$A,$A43,Consumo_Quadrantes!$F:$F),0))</f>
        <v>0</v>
      </c>
      <c r="P43" s="76">
        <v>0</v>
      </c>
      <c r="Q43" s="76"/>
      <c r="R43" s="76"/>
      <c r="S43" s="3">
        <f t="shared" si="4"/>
        <v>0</v>
      </c>
      <c r="T43" s="1" t="str">
        <f t="shared" si="5"/>
        <v>Crítico</v>
      </c>
      <c r="U43" s="1" t="s">
        <v>498</v>
      </c>
      <c r="V43" s="1" t="s">
        <v>80</v>
      </c>
      <c r="W43" s="1" t="s">
        <v>499</v>
      </c>
      <c r="X43" s="2">
        <f t="shared" si="6"/>
        <v>20</v>
      </c>
      <c r="Y43" s="1" t="str">
        <f t="shared" si="7"/>
        <v>Enviar se houver espaço</v>
      </c>
      <c r="Z43" s="1" t="str">
        <f t="shared" si="8"/>
        <v>OK</v>
      </c>
      <c r="AA43" s="11">
        <f t="shared" si="9"/>
        <v>8</v>
      </c>
      <c r="AB43" s="11">
        <f t="shared" si="10"/>
        <v>8</v>
      </c>
      <c r="AC43" s="1"/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76">
        <v>0</v>
      </c>
      <c r="AJ43" s="76">
        <f t="shared" si="11"/>
        <v>0</v>
      </c>
      <c r="AK43" s="1">
        <v>0</v>
      </c>
      <c r="AL43" s="1">
        <v>0</v>
      </c>
      <c r="AM43" s="1" t="str">
        <f t="shared" si="12"/>
        <v/>
      </c>
      <c r="AN43" s="1">
        <f t="shared" si="13"/>
        <v>0</v>
      </c>
      <c r="AO43" s="1">
        <v>0</v>
      </c>
      <c r="AP43" s="61">
        <f t="shared" si="14"/>
        <v>0</v>
      </c>
      <c r="AQ43" s="61">
        <v>0</v>
      </c>
      <c r="AR43" s="76">
        <v>0</v>
      </c>
      <c r="AS43" s="76">
        <f t="shared" si="15"/>
        <v>0</v>
      </c>
      <c r="AT43" s="69" t="str">
        <f t="shared" si="16"/>
        <v>OK</v>
      </c>
      <c r="AU43" s="77">
        <f t="shared" si="17"/>
        <v>40</v>
      </c>
      <c r="AV43" s="61" t="str">
        <f t="shared" si="18"/>
        <v>Sem mapa/sem consumo automático</v>
      </c>
      <c r="AW43" s="70"/>
      <c r="AX43" s="70">
        <v>0</v>
      </c>
      <c r="AY43" s="71" t="str">
        <f t="shared" si="19"/>
        <v>NÃO MAPEADO</v>
      </c>
      <c r="AZ43" s="70"/>
      <c r="BA43" s="71" t="str">
        <f t="shared" si="20"/>
        <v/>
      </c>
      <c r="BB43" s="70" t="str">
        <f t="shared" si="21"/>
        <v>Verificar cadastro</v>
      </c>
      <c r="BC43" s="78">
        <v>0</v>
      </c>
      <c r="BD43" s="78">
        <f t="shared" si="22"/>
        <v>0</v>
      </c>
      <c r="BE43" s="78">
        <v>0</v>
      </c>
      <c r="BF43">
        <v>0</v>
      </c>
      <c r="BG43">
        <v>0</v>
      </c>
      <c r="BH43">
        <v>0</v>
      </c>
      <c r="BJ43">
        <v>0</v>
      </c>
    </row>
    <row r="44" spans="1:63" ht="30" x14ac:dyDescent="0.25">
      <c r="A44" s="8" t="s">
        <v>197</v>
      </c>
      <c r="B44" s="8">
        <v>3.53</v>
      </c>
      <c r="C44" s="8">
        <v>2032.16</v>
      </c>
      <c r="D44" s="8">
        <v>760</v>
      </c>
      <c r="E44" s="8" t="s">
        <v>195</v>
      </c>
      <c r="F44" s="8" t="s">
        <v>196</v>
      </c>
      <c r="G44" s="8" t="s">
        <v>197</v>
      </c>
      <c r="H44" s="8">
        <v>576</v>
      </c>
      <c r="I44" s="12">
        <v>0</v>
      </c>
      <c r="J44" s="10">
        <f>REMESSAS!W45</f>
        <v>100</v>
      </c>
      <c r="K44" s="11">
        <f t="shared" si="1"/>
        <v>476</v>
      </c>
      <c r="L44" s="11">
        <f t="shared" si="2"/>
        <v>0</v>
      </c>
      <c r="M44" s="11">
        <f t="shared" si="3"/>
        <v>-476</v>
      </c>
      <c r="N44" s="11">
        <v>0</v>
      </c>
      <c r="O44" s="76">
        <f>IF($A44="","",IFERROR(SUMIF(Consumo_Joists!$A:$A,$A44,Consumo_Joists!$P:$P),0)+IFERROR(SUMIF(Consumo_Quadrantes!$A:$A,$A44,Consumo_Quadrantes!$F:$F),0))</f>
        <v>0</v>
      </c>
      <c r="P44" s="76">
        <v>100</v>
      </c>
      <c r="Q44" s="76"/>
      <c r="R44" s="76"/>
      <c r="S44" s="3">
        <f t="shared" si="4"/>
        <v>0.1736111111111111</v>
      </c>
      <c r="T44" s="1" t="str">
        <f t="shared" si="5"/>
        <v>Recebimento Parcial</v>
      </c>
      <c r="U44" s="1" t="s">
        <v>498</v>
      </c>
      <c r="V44" s="1" t="s">
        <v>80</v>
      </c>
      <c r="W44" s="1" t="s">
        <v>499</v>
      </c>
      <c r="X44" s="2">
        <f t="shared" si="6"/>
        <v>238</v>
      </c>
      <c r="Y44" s="1" t="str">
        <f t="shared" si="7"/>
        <v>Enviar se houver espaço</v>
      </c>
      <c r="Z44" s="1" t="str">
        <f t="shared" si="8"/>
        <v>OK</v>
      </c>
      <c r="AA44" s="11">
        <f t="shared" si="9"/>
        <v>115.2</v>
      </c>
      <c r="AB44" s="11">
        <f t="shared" si="10"/>
        <v>95.2</v>
      </c>
      <c r="AC44" s="1"/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76">
        <v>0</v>
      </c>
      <c r="AJ44" s="76">
        <f t="shared" si="11"/>
        <v>100</v>
      </c>
      <c r="AK44" s="1">
        <v>0</v>
      </c>
      <c r="AL44" s="1">
        <v>0</v>
      </c>
      <c r="AM44" s="1" t="str">
        <f t="shared" si="12"/>
        <v/>
      </c>
      <c r="AN44" s="1">
        <f t="shared" si="13"/>
        <v>0</v>
      </c>
      <c r="AO44" s="1">
        <v>0</v>
      </c>
      <c r="AP44" s="61">
        <f t="shared" si="14"/>
        <v>0</v>
      </c>
      <c r="AQ44" s="61">
        <v>0</v>
      </c>
      <c r="AR44" s="76">
        <v>0</v>
      </c>
      <c r="AS44" s="76">
        <f t="shared" si="15"/>
        <v>100</v>
      </c>
      <c r="AT44" s="69" t="str">
        <f t="shared" si="16"/>
        <v>OK</v>
      </c>
      <c r="AU44" s="77">
        <f t="shared" si="17"/>
        <v>476</v>
      </c>
      <c r="AV44" s="61" t="str">
        <f t="shared" si="18"/>
        <v>Sem mapa/sem consumo automático</v>
      </c>
      <c r="AW44" s="70"/>
      <c r="AX44" s="70">
        <v>0</v>
      </c>
      <c r="AY44" s="71" t="str">
        <f t="shared" si="19"/>
        <v>NÃO MAPEADO</v>
      </c>
      <c r="AZ44" s="70"/>
      <c r="BA44" s="71" t="str">
        <f t="shared" si="20"/>
        <v/>
      </c>
      <c r="BB44" s="70" t="str">
        <f t="shared" si="21"/>
        <v>Verificar cadastro</v>
      </c>
      <c r="BC44" s="78">
        <v>0</v>
      </c>
      <c r="BD44" s="78">
        <f t="shared" si="22"/>
        <v>0</v>
      </c>
      <c r="BE44" s="78">
        <v>0</v>
      </c>
      <c r="BF44">
        <v>0</v>
      </c>
      <c r="BG44">
        <v>0</v>
      </c>
      <c r="BH44">
        <v>0</v>
      </c>
      <c r="BJ44">
        <v>0</v>
      </c>
    </row>
    <row r="45" spans="1:63" ht="30" x14ac:dyDescent="0.25">
      <c r="A45" s="8" t="s">
        <v>200</v>
      </c>
      <c r="B45" s="8">
        <v>25.03</v>
      </c>
      <c r="C45" s="8">
        <v>3603.65</v>
      </c>
      <c r="D45" s="8">
        <v>500</v>
      </c>
      <c r="E45" s="8" t="s">
        <v>198</v>
      </c>
      <c r="F45" s="8" t="s">
        <v>199</v>
      </c>
      <c r="G45" s="8" t="s">
        <v>200</v>
      </c>
      <c r="H45" s="8">
        <v>144</v>
      </c>
      <c r="I45" s="9">
        <v>0</v>
      </c>
      <c r="J45" s="10">
        <f>REMESSAS!W46</f>
        <v>82</v>
      </c>
      <c r="K45" s="11">
        <f t="shared" si="1"/>
        <v>62</v>
      </c>
      <c r="L45" s="11">
        <f t="shared" si="2"/>
        <v>0</v>
      </c>
      <c r="M45" s="11">
        <f t="shared" si="3"/>
        <v>-62</v>
      </c>
      <c r="N45" s="11">
        <v>0</v>
      </c>
      <c r="O45" s="76">
        <f>IF($A45="","",IFERROR(SUMIF(Consumo_Joists!$A:$A,$A45,Consumo_Joists!$P:$P),0)+IFERROR(SUMIF(Consumo_Quadrantes!$A:$A,$A45,Consumo_Quadrantes!$F:$F),0))</f>
        <v>0</v>
      </c>
      <c r="P45" s="76">
        <v>82</v>
      </c>
      <c r="Q45" s="76"/>
      <c r="R45" s="76"/>
      <c r="S45" s="3">
        <f t="shared" si="4"/>
        <v>0.56944444444444442</v>
      </c>
      <c r="T45" s="1" t="str">
        <f t="shared" si="5"/>
        <v>Recebimento Parcial</v>
      </c>
      <c r="U45" s="1" t="s">
        <v>498</v>
      </c>
      <c r="V45" s="1" t="s">
        <v>80</v>
      </c>
      <c r="W45" s="1" t="s">
        <v>499</v>
      </c>
      <c r="X45" s="2">
        <f t="shared" si="6"/>
        <v>0</v>
      </c>
      <c r="Y45" s="1" t="str">
        <f t="shared" si="7"/>
        <v>Monitorar</v>
      </c>
      <c r="Z45" s="1" t="str">
        <f t="shared" si="8"/>
        <v>OK</v>
      </c>
      <c r="AA45" s="11">
        <f t="shared" si="9"/>
        <v>28.8</v>
      </c>
      <c r="AB45" s="11">
        <f t="shared" si="10"/>
        <v>12.4</v>
      </c>
      <c r="AC45" s="1"/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76">
        <v>0</v>
      </c>
      <c r="AJ45" s="76">
        <f t="shared" si="11"/>
        <v>82</v>
      </c>
      <c r="AK45" s="1">
        <v>0</v>
      </c>
      <c r="AL45" s="1">
        <v>0</v>
      </c>
      <c r="AM45" s="1" t="str">
        <f t="shared" si="12"/>
        <v/>
      </c>
      <c r="AN45" s="1">
        <f t="shared" si="13"/>
        <v>0</v>
      </c>
      <c r="AO45" s="1">
        <v>0</v>
      </c>
      <c r="AP45" s="61">
        <f t="shared" si="14"/>
        <v>0</v>
      </c>
      <c r="AQ45" s="61">
        <v>0</v>
      </c>
      <c r="AR45" s="76">
        <v>0</v>
      </c>
      <c r="AS45" s="76">
        <f t="shared" si="15"/>
        <v>82</v>
      </c>
      <c r="AT45" s="69" t="str">
        <f t="shared" si="16"/>
        <v>OK</v>
      </c>
      <c r="AU45" s="77">
        <f t="shared" si="17"/>
        <v>62</v>
      </c>
      <c r="AV45" s="61" t="str">
        <f t="shared" si="18"/>
        <v>Sem mapa/sem consumo automático</v>
      </c>
      <c r="AW45" s="70"/>
      <c r="AX45" s="70">
        <v>0</v>
      </c>
      <c r="AY45" s="71" t="str">
        <f t="shared" si="19"/>
        <v>NÃO MAPEADO</v>
      </c>
      <c r="AZ45" s="70"/>
      <c r="BA45" s="71" t="str">
        <f t="shared" si="20"/>
        <v/>
      </c>
      <c r="BB45" s="70" t="str">
        <f t="shared" si="21"/>
        <v>Verificar cadastro</v>
      </c>
      <c r="BC45" s="78">
        <v>0</v>
      </c>
      <c r="BD45" s="78">
        <f t="shared" si="22"/>
        <v>0</v>
      </c>
      <c r="BE45" s="78">
        <v>0</v>
      </c>
      <c r="BF45">
        <v>0</v>
      </c>
      <c r="BG45">
        <v>0</v>
      </c>
      <c r="BH45">
        <v>0</v>
      </c>
      <c r="BJ45">
        <v>0</v>
      </c>
    </row>
    <row r="46" spans="1:63" ht="30" x14ac:dyDescent="0.25">
      <c r="A46" s="8" t="s">
        <v>203</v>
      </c>
      <c r="B46" s="8">
        <v>29.02</v>
      </c>
      <c r="C46" s="8">
        <v>58.04</v>
      </c>
      <c r="D46" s="8">
        <v>325</v>
      </c>
      <c r="E46" s="8" t="s">
        <v>201</v>
      </c>
      <c r="F46" s="8" t="s">
        <v>202</v>
      </c>
      <c r="G46" s="8" t="s">
        <v>203</v>
      </c>
      <c r="H46" s="8">
        <v>2</v>
      </c>
      <c r="I46" s="12">
        <v>0</v>
      </c>
      <c r="J46" s="10">
        <f>REMESSAS!W47</f>
        <v>0</v>
      </c>
      <c r="K46" s="11">
        <f t="shared" si="1"/>
        <v>2</v>
      </c>
      <c r="L46" s="11">
        <f t="shared" si="2"/>
        <v>0</v>
      </c>
      <c r="M46" s="11">
        <f t="shared" si="3"/>
        <v>-2</v>
      </c>
      <c r="N46" s="11">
        <v>0</v>
      </c>
      <c r="O46" s="76">
        <f>IF($A46="","",IFERROR(SUMIF(Consumo_Joists!$A:$A,$A46,Consumo_Joists!$P:$P),0)+IFERROR(SUMIF(Consumo_Quadrantes!$A:$A,$A46,Consumo_Quadrantes!$F:$F),0))</f>
        <v>0</v>
      </c>
      <c r="P46" s="76">
        <v>0</v>
      </c>
      <c r="Q46" s="76"/>
      <c r="R46" s="76"/>
      <c r="S46" s="3">
        <f t="shared" si="4"/>
        <v>0</v>
      </c>
      <c r="T46" s="1" t="str">
        <f t="shared" si="5"/>
        <v>Crítico</v>
      </c>
      <c r="U46" s="1" t="s">
        <v>498</v>
      </c>
      <c r="V46" s="1" t="s">
        <v>80</v>
      </c>
      <c r="W46" s="1" t="s">
        <v>499</v>
      </c>
      <c r="X46" s="2">
        <f t="shared" si="6"/>
        <v>1</v>
      </c>
      <c r="Y46" s="1" t="str">
        <f t="shared" si="7"/>
        <v>Enviar se houver espaço</v>
      </c>
      <c r="Z46" s="1" t="str">
        <f t="shared" si="8"/>
        <v>OK</v>
      </c>
      <c r="AA46" s="11">
        <f t="shared" si="9"/>
        <v>0.4</v>
      </c>
      <c r="AB46" s="11">
        <f t="shared" si="10"/>
        <v>0.4</v>
      </c>
      <c r="AC46" s="1"/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76">
        <v>0</v>
      </c>
      <c r="AJ46" s="76">
        <f t="shared" si="11"/>
        <v>0</v>
      </c>
      <c r="AK46" s="1">
        <v>0</v>
      </c>
      <c r="AL46" s="1">
        <v>0</v>
      </c>
      <c r="AM46" s="1" t="str">
        <f t="shared" si="12"/>
        <v/>
      </c>
      <c r="AN46" s="1">
        <f t="shared" si="13"/>
        <v>0</v>
      </c>
      <c r="AO46" s="1">
        <v>0</v>
      </c>
      <c r="AP46" s="61">
        <f t="shared" si="14"/>
        <v>0</v>
      </c>
      <c r="AQ46" s="61">
        <v>0</v>
      </c>
      <c r="AR46" s="76">
        <v>0</v>
      </c>
      <c r="AS46" s="76">
        <f t="shared" si="15"/>
        <v>0</v>
      </c>
      <c r="AT46" s="69" t="str">
        <f t="shared" si="16"/>
        <v>OK</v>
      </c>
      <c r="AU46" s="77">
        <f t="shared" si="17"/>
        <v>2</v>
      </c>
      <c r="AV46" s="61" t="str">
        <f t="shared" si="18"/>
        <v>Sem mapa/sem consumo automático</v>
      </c>
      <c r="AW46" s="70"/>
      <c r="AX46" s="70">
        <v>0</v>
      </c>
      <c r="AY46" s="71" t="str">
        <f t="shared" si="19"/>
        <v>NÃO MAPEADO</v>
      </c>
      <c r="AZ46" s="70"/>
      <c r="BA46" s="71" t="str">
        <f t="shared" si="20"/>
        <v/>
      </c>
      <c r="BB46" s="70" t="str">
        <f t="shared" si="21"/>
        <v>Verificar cadastro</v>
      </c>
      <c r="BC46" s="78">
        <v>0</v>
      </c>
      <c r="BD46" s="78">
        <f t="shared" si="22"/>
        <v>0</v>
      </c>
      <c r="BE46" s="78">
        <v>0</v>
      </c>
      <c r="BF46">
        <v>0</v>
      </c>
      <c r="BG46">
        <v>0</v>
      </c>
      <c r="BH46">
        <v>0</v>
      </c>
      <c r="BJ46">
        <v>0</v>
      </c>
    </row>
    <row r="47" spans="1:63" ht="30" x14ac:dyDescent="0.25">
      <c r="A47" s="8" t="s">
        <v>204</v>
      </c>
      <c r="B47" s="8">
        <v>27.32</v>
      </c>
      <c r="C47" s="8">
        <v>109.28</v>
      </c>
      <c r="D47" s="8">
        <v>325</v>
      </c>
      <c r="E47" s="8" t="s">
        <v>201</v>
      </c>
      <c r="F47" s="8" t="s">
        <v>202</v>
      </c>
      <c r="G47" s="8" t="s">
        <v>204</v>
      </c>
      <c r="H47" s="8">
        <v>4</v>
      </c>
      <c r="I47" s="9">
        <v>0</v>
      </c>
      <c r="J47" s="10">
        <f>REMESSAS!W48</f>
        <v>0</v>
      </c>
      <c r="K47" s="11">
        <f t="shared" si="1"/>
        <v>4</v>
      </c>
      <c r="L47" s="11">
        <f t="shared" si="2"/>
        <v>0</v>
      </c>
      <c r="M47" s="11">
        <f t="shared" si="3"/>
        <v>-4</v>
      </c>
      <c r="N47" s="11">
        <v>0</v>
      </c>
      <c r="O47" s="76">
        <f>IF($A47="","",IFERROR(SUMIF(Consumo_Joists!$A:$A,$A47,Consumo_Joists!$P:$P),0)+IFERROR(SUMIF(Consumo_Quadrantes!$A:$A,$A47,Consumo_Quadrantes!$F:$F),0))</f>
        <v>0</v>
      </c>
      <c r="P47" s="76">
        <v>0</v>
      </c>
      <c r="Q47" s="76"/>
      <c r="R47" s="76"/>
      <c r="S47" s="3">
        <f t="shared" si="4"/>
        <v>0</v>
      </c>
      <c r="T47" s="1" t="str">
        <f t="shared" si="5"/>
        <v>Crítico</v>
      </c>
      <c r="U47" s="1" t="s">
        <v>498</v>
      </c>
      <c r="V47" s="1" t="s">
        <v>80</v>
      </c>
      <c r="W47" s="1" t="s">
        <v>499</v>
      </c>
      <c r="X47" s="2">
        <f t="shared" si="6"/>
        <v>2</v>
      </c>
      <c r="Y47" s="1" t="str">
        <f t="shared" si="7"/>
        <v>Enviar se houver espaço</v>
      </c>
      <c r="Z47" s="1" t="str">
        <f t="shared" si="8"/>
        <v>OK</v>
      </c>
      <c r="AA47" s="11">
        <f t="shared" si="9"/>
        <v>0.8</v>
      </c>
      <c r="AB47" s="11">
        <f t="shared" si="10"/>
        <v>0.8</v>
      </c>
      <c r="AC47" s="1"/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76">
        <v>0</v>
      </c>
      <c r="AJ47" s="76">
        <f t="shared" si="11"/>
        <v>0</v>
      </c>
      <c r="AK47" s="1">
        <v>0</v>
      </c>
      <c r="AL47" s="1">
        <v>0</v>
      </c>
      <c r="AM47" s="1" t="str">
        <f t="shared" si="12"/>
        <v/>
      </c>
      <c r="AN47" s="1">
        <f t="shared" si="13"/>
        <v>0</v>
      </c>
      <c r="AO47" s="1">
        <v>0</v>
      </c>
      <c r="AP47" s="61">
        <f t="shared" si="14"/>
        <v>0</v>
      </c>
      <c r="AQ47" s="61">
        <v>0</v>
      </c>
      <c r="AR47" s="76">
        <v>0</v>
      </c>
      <c r="AS47" s="76">
        <f t="shared" si="15"/>
        <v>0</v>
      </c>
      <c r="AT47" s="69" t="str">
        <f t="shared" si="16"/>
        <v>OK</v>
      </c>
      <c r="AU47" s="77">
        <f t="shared" si="17"/>
        <v>4</v>
      </c>
      <c r="AV47" s="61" t="str">
        <f t="shared" si="18"/>
        <v>Sem mapa/sem consumo automático</v>
      </c>
      <c r="AW47" s="70"/>
      <c r="AX47" s="70">
        <v>0</v>
      </c>
      <c r="AY47" s="71" t="str">
        <f t="shared" si="19"/>
        <v>NÃO MAPEADO</v>
      </c>
      <c r="AZ47" s="70"/>
      <c r="BA47" s="71" t="str">
        <f t="shared" si="20"/>
        <v/>
      </c>
      <c r="BB47" s="70" t="str">
        <f t="shared" si="21"/>
        <v>Verificar cadastro</v>
      </c>
      <c r="BC47" s="78">
        <v>0</v>
      </c>
      <c r="BD47" s="78">
        <f t="shared" si="22"/>
        <v>0</v>
      </c>
      <c r="BE47" s="78">
        <v>0</v>
      </c>
      <c r="BF47">
        <v>0</v>
      </c>
      <c r="BG47">
        <v>0</v>
      </c>
      <c r="BH47">
        <v>0</v>
      </c>
      <c r="BJ47">
        <v>0</v>
      </c>
    </row>
    <row r="48" spans="1:63" ht="30" x14ac:dyDescent="0.25">
      <c r="A48" s="8" t="s">
        <v>205</v>
      </c>
      <c r="B48" s="8">
        <v>27.64</v>
      </c>
      <c r="C48" s="8">
        <v>331.63</v>
      </c>
      <c r="D48" s="8">
        <v>325</v>
      </c>
      <c r="E48" s="8" t="s">
        <v>201</v>
      </c>
      <c r="F48" s="8" t="s">
        <v>202</v>
      </c>
      <c r="G48" s="8" t="s">
        <v>205</v>
      </c>
      <c r="H48" s="8">
        <v>12</v>
      </c>
      <c r="I48" s="12">
        <v>0</v>
      </c>
      <c r="J48" s="10">
        <f>REMESSAS!W49</f>
        <v>0</v>
      </c>
      <c r="K48" s="11">
        <f t="shared" si="1"/>
        <v>12</v>
      </c>
      <c r="L48" s="11">
        <f t="shared" si="2"/>
        <v>0</v>
      </c>
      <c r="M48" s="11">
        <f t="shared" si="3"/>
        <v>-12</v>
      </c>
      <c r="N48" s="11">
        <v>0</v>
      </c>
      <c r="O48" s="76">
        <f>IF($A48="","",IFERROR(SUMIF(Consumo_Joists!$A:$A,$A48,Consumo_Joists!$P:$P),0)+IFERROR(SUMIF(Consumo_Quadrantes!$A:$A,$A48,Consumo_Quadrantes!$F:$F),0))</f>
        <v>0</v>
      </c>
      <c r="P48" s="76">
        <v>0</v>
      </c>
      <c r="Q48" s="76"/>
      <c r="R48" s="76"/>
      <c r="S48" s="3">
        <f t="shared" si="4"/>
        <v>0</v>
      </c>
      <c r="T48" s="1" t="str">
        <f t="shared" si="5"/>
        <v>Crítico</v>
      </c>
      <c r="U48" s="1" t="s">
        <v>498</v>
      </c>
      <c r="V48" s="1" t="s">
        <v>80</v>
      </c>
      <c r="W48" s="1" t="s">
        <v>499</v>
      </c>
      <c r="X48" s="2">
        <f t="shared" si="6"/>
        <v>6</v>
      </c>
      <c r="Y48" s="1" t="str">
        <f t="shared" si="7"/>
        <v>Enviar se houver espaço</v>
      </c>
      <c r="Z48" s="1" t="str">
        <f t="shared" si="8"/>
        <v>OK</v>
      </c>
      <c r="AA48" s="11">
        <f t="shared" si="9"/>
        <v>2.4</v>
      </c>
      <c r="AB48" s="11">
        <f t="shared" si="10"/>
        <v>2.4</v>
      </c>
      <c r="AC48" s="1"/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76">
        <v>0</v>
      </c>
      <c r="AJ48" s="76">
        <f t="shared" si="11"/>
        <v>0</v>
      </c>
      <c r="AK48" s="1">
        <v>0</v>
      </c>
      <c r="AL48" s="1">
        <v>0</v>
      </c>
      <c r="AM48" s="1" t="str">
        <f t="shared" si="12"/>
        <v/>
      </c>
      <c r="AN48" s="1">
        <f t="shared" si="13"/>
        <v>0</v>
      </c>
      <c r="AO48" s="1">
        <v>0</v>
      </c>
      <c r="AP48" s="61">
        <f t="shared" si="14"/>
        <v>0</v>
      </c>
      <c r="AQ48" s="61">
        <v>0</v>
      </c>
      <c r="AR48" s="76">
        <v>0</v>
      </c>
      <c r="AS48" s="76">
        <f t="shared" si="15"/>
        <v>0</v>
      </c>
      <c r="AT48" s="69" t="str">
        <f t="shared" si="16"/>
        <v>OK</v>
      </c>
      <c r="AU48" s="77">
        <f t="shared" si="17"/>
        <v>12</v>
      </c>
      <c r="AV48" s="61" t="str">
        <f t="shared" si="18"/>
        <v>Sem mapa/sem consumo automático</v>
      </c>
      <c r="AW48" s="70"/>
      <c r="AX48" s="70">
        <v>0</v>
      </c>
      <c r="AY48" s="71" t="str">
        <f t="shared" si="19"/>
        <v>NÃO MAPEADO</v>
      </c>
      <c r="AZ48" s="70"/>
      <c r="BA48" s="71" t="str">
        <f t="shared" si="20"/>
        <v/>
      </c>
      <c r="BB48" s="70" t="str">
        <f t="shared" si="21"/>
        <v>Verificar cadastro</v>
      </c>
      <c r="BC48" s="78">
        <v>0</v>
      </c>
      <c r="BD48" s="78">
        <f t="shared" si="22"/>
        <v>0</v>
      </c>
      <c r="BE48" s="78">
        <v>0</v>
      </c>
      <c r="BF48">
        <v>0</v>
      </c>
      <c r="BG48">
        <v>0</v>
      </c>
      <c r="BH48">
        <v>0</v>
      </c>
      <c r="BJ48">
        <v>0</v>
      </c>
    </row>
    <row r="49" spans="1:63" ht="30" x14ac:dyDescent="0.25">
      <c r="A49" s="8" t="s">
        <v>206</v>
      </c>
      <c r="B49" s="8">
        <v>28.23</v>
      </c>
      <c r="C49" s="8">
        <v>338.71</v>
      </c>
      <c r="D49" s="8">
        <v>325</v>
      </c>
      <c r="E49" s="8" t="s">
        <v>201</v>
      </c>
      <c r="F49" s="8" t="s">
        <v>202</v>
      </c>
      <c r="G49" s="8" t="s">
        <v>206</v>
      </c>
      <c r="H49" s="8">
        <v>12</v>
      </c>
      <c r="I49" s="9">
        <v>0</v>
      </c>
      <c r="J49" s="10">
        <f>REMESSAS!W50</f>
        <v>0</v>
      </c>
      <c r="K49" s="11">
        <f t="shared" si="1"/>
        <v>12</v>
      </c>
      <c r="L49" s="11">
        <f t="shared" si="2"/>
        <v>0</v>
      </c>
      <c r="M49" s="11">
        <f t="shared" si="3"/>
        <v>-12</v>
      </c>
      <c r="N49" s="11">
        <v>0</v>
      </c>
      <c r="O49" s="76">
        <f>IF($A49="","",IFERROR(SUMIF(Consumo_Joists!$A:$A,$A49,Consumo_Joists!$P:$P),0)+IFERROR(SUMIF(Consumo_Quadrantes!$A:$A,$A49,Consumo_Quadrantes!$F:$F),0))</f>
        <v>0</v>
      </c>
      <c r="P49" s="76">
        <v>0</v>
      </c>
      <c r="Q49" s="76"/>
      <c r="R49" s="76"/>
      <c r="S49" s="3">
        <f t="shared" si="4"/>
        <v>0</v>
      </c>
      <c r="T49" s="1" t="str">
        <f t="shared" si="5"/>
        <v>Crítico</v>
      </c>
      <c r="U49" s="1" t="s">
        <v>498</v>
      </c>
      <c r="V49" s="1" t="s">
        <v>80</v>
      </c>
      <c r="W49" s="1" t="s">
        <v>499</v>
      </c>
      <c r="X49" s="2">
        <f t="shared" si="6"/>
        <v>6</v>
      </c>
      <c r="Y49" s="1" t="str">
        <f t="shared" si="7"/>
        <v>Enviar se houver espaço</v>
      </c>
      <c r="Z49" s="1" t="str">
        <f t="shared" si="8"/>
        <v>OK</v>
      </c>
      <c r="AA49" s="11">
        <f t="shared" si="9"/>
        <v>2.4</v>
      </c>
      <c r="AB49" s="11">
        <f t="shared" si="10"/>
        <v>2.4</v>
      </c>
      <c r="AC49" s="1"/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76">
        <v>0</v>
      </c>
      <c r="AJ49" s="76">
        <f t="shared" si="11"/>
        <v>0</v>
      </c>
      <c r="AK49" s="1">
        <v>0</v>
      </c>
      <c r="AL49" s="1">
        <v>0</v>
      </c>
      <c r="AM49" s="1" t="str">
        <f t="shared" si="12"/>
        <v/>
      </c>
      <c r="AN49" s="1">
        <f t="shared" si="13"/>
        <v>0</v>
      </c>
      <c r="AO49" s="1">
        <v>0</v>
      </c>
      <c r="AP49" s="61">
        <f t="shared" si="14"/>
        <v>0</v>
      </c>
      <c r="AQ49" s="61">
        <v>0</v>
      </c>
      <c r="AR49" s="76">
        <v>0</v>
      </c>
      <c r="AS49" s="76">
        <f t="shared" si="15"/>
        <v>0</v>
      </c>
      <c r="AT49" s="69" t="str">
        <f t="shared" si="16"/>
        <v>OK</v>
      </c>
      <c r="AU49" s="77">
        <f t="shared" si="17"/>
        <v>12</v>
      </c>
      <c r="AV49" s="61" t="str">
        <f t="shared" si="18"/>
        <v>Sem mapa/sem consumo automático</v>
      </c>
      <c r="AW49" s="70"/>
      <c r="AX49" s="70">
        <v>0</v>
      </c>
      <c r="AY49" s="71" t="str">
        <f t="shared" si="19"/>
        <v>NÃO MAPEADO</v>
      </c>
      <c r="AZ49" s="70"/>
      <c r="BA49" s="71" t="str">
        <f t="shared" si="20"/>
        <v/>
      </c>
      <c r="BB49" s="70" t="str">
        <f t="shared" si="21"/>
        <v>Verificar cadastro</v>
      </c>
      <c r="BC49" s="78">
        <v>0</v>
      </c>
      <c r="BD49" s="78">
        <f t="shared" si="22"/>
        <v>0</v>
      </c>
      <c r="BE49" s="78">
        <v>0</v>
      </c>
      <c r="BF49">
        <v>0</v>
      </c>
      <c r="BG49">
        <v>0</v>
      </c>
      <c r="BH49">
        <v>0</v>
      </c>
      <c r="BJ49">
        <v>0</v>
      </c>
    </row>
    <row r="50" spans="1:63" ht="30" x14ac:dyDescent="0.25">
      <c r="A50" s="8" t="s">
        <v>207</v>
      </c>
      <c r="B50" s="8">
        <v>28.82</v>
      </c>
      <c r="C50" s="8">
        <v>345.79</v>
      </c>
      <c r="D50" s="8">
        <v>325</v>
      </c>
      <c r="E50" s="8" t="s">
        <v>201</v>
      </c>
      <c r="F50" s="8" t="s">
        <v>202</v>
      </c>
      <c r="G50" s="8" t="s">
        <v>207</v>
      </c>
      <c r="H50" s="8">
        <v>12</v>
      </c>
      <c r="I50" s="12">
        <v>0</v>
      </c>
      <c r="J50" s="10">
        <f>REMESSAS!W51</f>
        <v>0</v>
      </c>
      <c r="K50" s="11">
        <f t="shared" si="1"/>
        <v>12</v>
      </c>
      <c r="L50" s="11">
        <f t="shared" si="2"/>
        <v>0</v>
      </c>
      <c r="M50" s="11">
        <f t="shared" si="3"/>
        <v>-12</v>
      </c>
      <c r="N50" s="11">
        <v>0</v>
      </c>
      <c r="O50" s="76">
        <f>IF($A50="","",IFERROR(SUMIF(Consumo_Joists!$A:$A,$A50,Consumo_Joists!$P:$P),0)+IFERROR(SUMIF(Consumo_Quadrantes!$A:$A,$A50,Consumo_Quadrantes!$F:$F),0))</f>
        <v>0</v>
      </c>
      <c r="P50" s="76">
        <v>0</v>
      </c>
      <c r="Q50" s="76"/>
      <c r="R50" s="76"/>
      <c r="S50" s="3">
        <f t="shared" si="4"/>
        <v>0</v>
      </c>
      <c r="T50" s="1" t="str">
        <f t="shared" si="5"/>
        <v>Crítico</v>
      </c>
      <c r="U50" s="1" t="s">
        <v>498</v>
      </c>
      <c r="V50" s="1" t="s">
        <v>80</v>
      </c>
      <c r="W50" s="1" t="s">
        <v>499</v>
      </c>
      <c r="X50" s="2">
        <f t="shared" si="6"/>
        <v>6</v>
      </c>
      <c r="Y50" s="1" t="str">
        <f t="shared" si="7"/>
        <v>Enviar se houver espaço</v>
      </c>
      <c r="Z50" s="1" t="str">
        <f t="shared" si="8"/>
        <v>OK</v>
      </c>
      <c r="AA50" s="11">
        <f t="shared" si="9"/>
        <v>2.4</v>
      </c>
      <c r="AB50" s="11">
        <f t="shared" si="10"/>
        <v>2.4</v>
      </c>
      <c r="AC50" s="1"/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76">
        <v>0</v>
      </c>
      <c r="AJ50" s="76">
        <f t="shared" si="11"/>
        <v>0</v>
      </c>
      <c r="AK50" s="1">
        <v>0</v>
      </c>
      <c r="AL50" s="1">
        <v>0</v>
      </c>
      <c r="AM50" s="1" t="str">
        <f t="shared" si="12"/>
        <v/>
      </c>
      <c r="AN50" s="1">
        <f t="shared" si="13"/>
        <v>0</v>
      </c>
      <c r="AO50" s="1">
        <v>0</v>
      </c>
      <c r="AP50" s="61">
        <f t="shared" si="14"/>
        <v>0</v>
      </c>
      <c r="AQ50" s="61">
        <v>0</v>
      </c>
      <c r="AR50" s="76">
        <v>0</v>
      </c>
      <c r="AS50" s="76">
        <f t="shared" si="15"/>
        <v>0</v>
      </c>
      <c r="AT50" s="69" t="str">
        <f t="shared" si="16"/>
        <v>OK</v>
      </c>
      <c r="AU50" s="77">
        <f t="shared" si="17"/>
        <v>12</v>
      </c>
      <c r="AV50" s="61" t="str">
        <f t="shared" si="18"/>
        <v>Sem mapa/sem consumo automático</v>
      </c>
      <c r="AW50" s="70"/>
      <c r="AX50" s="70">
        <v>0</v>
      </c>
      <c r="AY50" s="71" t="str">
        <f t="shared" si="19"/>
        <v>NÃO MAPEADO</v>
      </c>
      <c r="AZ50" s="70"/>
      <c r="BA50" s="71" t="str">
        <f t="shared" si="20"/>
        <v/>
      </c>
      <c r="BB50" s="70" t="str">
        <f t="shared" si="21"/>
        <v>Verificar cadastro</v>
      </c>
      <c r="BC50" s="78">
        <v>0</v>
      </c>
      <c r="BD50" s="78">
        <f t="shared" si="22"/>
        <v>0</v>
      </c>
      <c r="BE50" s="78">
        <v>0</v>
      </c>
      <c r="BF50">
        <v>0</v>
      </c>
      <c r="BG50">
        <v>0</v>
      </c>
      <c r="BH50">
        <v>0</v>
      </c>
      <c r="BJ50">
        <v>0</v>
      </c>
    </row>
    <row r="51" spans="1:63" ht="30" x14ac:dyDescent="0.25">
      <c r="A51" s="8" t="s">
        <v>208</v>
      </c>
      <c r="B51" s="8">
        <v>29.02</v>
      </c>
      <c r="C51" s="8">
        <v>58.04</v>
      </c>
      <c r="D51" s="8">
        <v>325</v>
      </c>
      <c r="E51" s="8" t="s">
        <v>201</v>
      </c>
      <c r="F51" s="8" t="s">
        <v>202</v>
      </c>
      <c r="G51" s="8" t="s">
        <v>208</v>
      </c>
      <c r="H51" s="8">
        <v>2</v>
      </c>
      <c r="I51" s="9">
        <v>0</v>
      </c>
      <c r="J51" s="10">
        <f>REMESSAS!W52</f>
        <v>0</v>
      </c>
      <c r="K51" s="11">
        <f t="shared" si="1"/>
        <v>2</v>
      </c>
      <c r="L51" s="11">
        <f t="shared" si="2"/>
        <v>0</v>
      </c>
      <c r="M51" s="11">
        <f t="shared" si="3"/>
        <v>-2</v>
      </c>
      <c r="N51" s="11">
        <v>0</v>
      </c>
      <c r="O51" s="76">
        <f>IF($A51="","",IFERROR(SUMIF(Consumo_Joists!$A:$A,$A51,Consumo_Joists!$P:$P),0)+IFERROR(SUMIF(Consumo_Quadrantes!$A:$A,$A51,Consumo_Quadrantes!$F:$F),0))</f>
        <v>0</v>
      </c>
      <c r="P51" s="76">
        <v>0</v>
      </c>
      <c r="Q51" s="76"/>
      <c r="R51" s="76"/>
      <c r="S51" s="3">
        <f t="shared" si="4"/>
        <v>0</v>
      </c>
      <c r="T51" s="1" t="str">
        <f t="shared" si="5"/>
        <v>Crítico</v>
      </c>
      <c r="U51" s="1" t="s">
        <v>498</v>
      </c>
      <c r="V51" s="1" t="s">
        <v>80</v>
      </c>
      <c r="W51" s="1" t="s">
        <v>499</v>
      </c>
      <c r="X51" s="2">
        <f t="shared" si="6"/>
        <v>1</v>
      </c>
      <c r="Y51" s="1" t="str">
        <f t="shared" si="7"/>
        <v>Enviar se houver espaço</v>
      </c>
      <c r="Z51" s="1" t="str">
        <f t="shared" si="8"/>
        <v>OK</v>
      </c>
      <c r="AA51" s="11">
        <f t="shared" si="9"/>
        <v>0.4</v>
      </c>
      <c r="AB51" s="11">
        <f t="shared" si="10"/>
        <v>0.4</v>
      </c>
      <c r="AC51" s="1"/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76">
        <v>0</v>
      </c>
      <c r="AJ51" s="76">
        <f t="shared" si="11"/>
        <v>0</v>
      </c>
      <c r="AK51" s="1">
        <v>0</v>
      </c>
      <c r="AL51" s="1">
        <v>0</v>
      </c>
      <c r="AM51" s="1" t="str">
        <f t="shared" si="12"/>
        <v/>
      </c>
      <c r="AN51" s="1">
        <f t="shared" si="13"/>
        <v>0</v>
      </c>
      <c r="AO51" s="1">
        <v>0</v>
      </c>
      <c r="AP51" s="61">
        <f t="shared" si="14"/>
        <v>0</v>
      </c>
      <c r="AQ51" s="61">
        <v>0</v>
      </c>
      <c r="AR51" s="76">
        <v>0</v>
      </c>
      <c r="AS51" s="76">
        <f t="shared" si="15"/>
        <v>0</v>
      </c>
      <c r="AT51" s="69" t="str">
        <f t="shared" si="16"/>
        <v>OK</v>
      </c>
      <c r="AU51" s="77">
        <f t="shared" si="17"/>
        <v>2</v>
      </c>
      <c r="AV51" s="61" t="str">
        <f t="shared" si="18"/>
        <v>Sem mapa/sem consumo automático</v>
      </c>
      <c r="AW51" s="70"/>
      <c r="AX51" s="70">
        <v>0</v>
      </c>
      <c r="AY51" s="71" t="str">
        <f t="shared" si="19"/>
        <v>NÃO MAPEADO</v>
      </c>
      <c r="AZ51" s="70"/>
      <c r="BA51" s="71" t="str">
        <f t="shared" si="20"/>
        <v/>
      </c>
      <c r="BB51" s="70" t="str">
        <f t="shared" si="21"/>
        <v>Verificar cadastro</v>
      </c>
      <c r="BC51" s="78">
        <v>0</v>
      </c>
      <c r="BD51" s="78">
        <f t="shared" si="22"/>
        <v>0</v>
      </c>
      <c r="BE51" s="78">
        <v>0</v>
      </c>
      <c r="BF51">
        <v>0</v>
      </c>
      <c r="BG51">
        <v>0</v>
      </c>
      <c r="BH51">
        <v>0</v>
      </c>
      <c r="BJ51">
        <v>0</v>
      </c>
    </row>
    <row r="52" spans="1:63" ht="30" x14ac:dyDescent="0.25">
      <c r="A52" s="8" t="s">
        <v>211</v>
      </c>
      <c r="B52" s="8">
        <v>0.69</v>
      </c>
      <c r="C52" s="8">
        <v>2164.81</v>
      </c>
      <c r="D52" s="8">
        <v>124</v>
      </c>
      <c r="E52" s="8" t="s">
        <v>209</v>
      </c>
      <c r="F52" s="8" t="s">
        <v>210</v>
      </c>
      <c r="G52" s="8" t="s">
        <v>211</v>
      </c>
      <c r="H52" s="8">
        <v>3116</v>
      </c>
      <c r="I52" s="12">
        <v>0</v>
      </c>
      <c r="J52" s="10">
        <f>REMESSAS!W53</f>
        <v>1400</v>
      </c>
      <c r="K52" s="11">
        <f t="shared" si="1"/>
        <v>1716</v>
      </c>
      <c r="L52" s="11">
        <f t="shared" si="2"/>
        <v>0</v>
      </c>
      <c r="M52" s="11">
        <f t="shared" si="3"/>
        <v>-1716</v>
      </c>
      <c r="N52" s="11">
        <v>0</v>
      </c>
      <c r="O52" s="76">
        <v>1196</v>
      </c>
      <c r="P52" s="76">
        <v>204</v>
      </c>
      <c r="Q52" s="76"/>
      <c r="R52" s="76"/>
      <c r="S52" s="3">
        <f t="shared" si="4"/>
        <v>0.44929396662387677</v>
      </c>
      <c r="T52" s="1" t="str">
        <f t="shared" si="5"/>
        <v>Recebimento Parcial</v>
      </c>
      <c r="U52" s="1" t="s">
        <v>114</v>
      </c>
      <c r="V52" s="1" t="s">
        <v>80</v>
      </c>
      <c r="W52" s="1" t="s">
        <v>499</v>
      </c>
      <c r="X52" s="2">
        <f t="shared" si="6"/>
        <v>858</v>
      </c>
      <c r="Y52" s="1" t="str">
        <f t="shared" si="7"/>
        <v>Enviar se houver espaço</v>
      </c>
      <c r="Z52" s="1" t="str">
        <f t="shared" si="8"/>
        <v>OK</v>
      </c>
      <c r="AA52" s="11">
        <f t="shared" si="9"/>
        <v>623.20000000000005</v>
      </c>
      <c r="AB52" s="11">
        <f t="shared" si="10"/>
        <v>343.2</v>
      </c>
      <c r="AC52" s="1"/>
      <c r="AD52" s="1">
        <v>0</v>
      </c>
      <c r="AE52" s="1">
        <v>0</v>
      </c>
      <c r="AF52" s="1">
        <v>0</v>
      </c>
      <c r="AG52" s="1">
        <v>294</v>
      </c>
      <c r="AH52" s="1">
        <v>0</v>
      </c>
      <c r="AI52" s="76">
        <v>0</v>
      </c>
      <c r="AJ52" s="76">
        <f t="shared" si="11"/>
        <v>1400</v>
      </c>
      <c r="AK52" s="1">
        <v>0</v>
      </c>
      <c r="AL52" s="1">
        <v>0</v>
      </c>
      <c r="AM52" s="1" t="str">
        <f t="shared" si="12"/>
        <v/>
      </c>
      <c r="AN52" s="1">
        <f t="shared" si="13"/>
        <v>0</v>
      </c>
      <c r="AO52" s="1">
        <v>0</v>
      </c>
      <c r="AP52" s="61">
        <f t="shared" si="14"/>
        <v>0</v>
      </c>
      <c r="AQ52" s="61">
        <v>0</v>
      </c>
      <c r="AR52" s="76">
        <v>0</v>
      </c>
      <c r="AS52" s="76">
        <f t="shared" si="15"/>
        <v>204</v>
      </c>
      <c r="AT52" s="69" t="str">
        <f t="shared" si="16"/>
        <v>ATENÇÃO</v>
      </c>
      <c r="AU52" s="77">
        <f t="shared" si="17"/>
        <v>2912</v>
      </c>
      <c r="AV52" s="61" t="str">
        <f t="shared" si="18"/>
        <v>Sem mapa/sem consumo automático</v>
      </c>
      <c r="AW52" s="70"/>
      <c r="AX52" s="70">
        <v>0</v>
      </c>
      <c r="AY52" s="71" t="str">
        <f t="shared" si="19"/>
        <v>NÃO MAPEADO</v>
      </c>
      <c r="AZ52" s="70"/>
      <c r="BA52" s="71" t="str">
        <f t="shared" si="20"/>
        <v/>
      </c>
      <c r="BB52" s="70" t="str">
        <f t="shared" si="21"/>
        <v>Verificar cadastro</v>
      </c>
      <c r="BC52" s="78">
        <v>0</v>
      </c>
      <c r="BD52" s="78">
        <f t="shared" si="22"/>
        <v>0</v>
      </c>
      <c r="BE52" s="78">
        <v>294</v>
      </c>
      <c r="BF52">
        <v>0</v>
      </c>
      <c r="BG52">
        <v>0</v>
      </c>
      <c r="BH52">
        <v>294</v>
      </c>
      <c r="BI52" s="103">
        <v>46263.348506944443</v>
      </c>
      <c r="BJ52">
        <v>0</v>
      </c>
    </row>
    <row r="53" spans="1:63" ht="30" x14ac:dyDescent="0.25">
      <c r="A53" s="8" t="s">
        <v>212</v>
      </c>
      <c r="B53" s="8">
        <v>0.69</v>
      </c>
      <c r="C53" s="8">
        <v>2164.81</v>
      </c>
      <c r="D53" s="8">
        <v>124</v>
      </c>
      <c r="E53" s="8" t="s">
        <v>209</v>
      </c>
      <c r="F53" s="8" t="s">
        <v>210</v>
      </c>
      <c r="G53" s="8" t="s">
        <v>212</v>
      </c>
      <c r="H53" s="8">
        <v>3116</v>
      </c>
      <c r="I53" s="9">
        <v>0</v>
      </c>
      <c r="J53" s="10">
        <f>REMESSAS!W54</f>
        <v>1400</v>
      </c>
      <c r="K53" s="11">
        <f t="shared" si="1"/>
        <v>1716</v>
      </c>
      <c r="L53" s="11">
        <f t="shared" si="2"/>
        <v>0</v>
      </c>
      <c r="M53" s="11">
        <f t="shared" si="3"/>
        <v>-1716</v>
      </c>
      <c r="N53" s="11">
        <v>0</v>
      </c>
      <c r="O53" s="76">
        <v>1196</v>
      </c>
      <c r="P53" s="76">
        <v>204</v>
      </c>
      <c r="Q53" s="76"/>
      <c r="R53" s="76"/>
      <c r="S53" s="3">
        <f t="shared" si="4"/>
        <v>0.44929396662387677</v>
      </c>
      <c r="T53" s="1" t="str">
        <f t="shared" si="5"/>
        <v>Recebimento Parcial</v>
      </c>
      <c r="U53" s="1" t="s">
        <v>114</v>
      </c>
      <c r="V53" s="1" t="s">
        <v>80</v>
      </c>
      <c r="W53" s="1" t="s">
        <v>499</v>
      </c>
      <c r="X53" s="2">
        <f t="shared" si="6"/>
        <v>858</v>
      </c>
      <c r="Y53" s="1" t="str">
        <f t="shared" si="7"/>
        <v>Enviar se houver espaço</v>
      </c>
      <c r="Z53" s="1" t="str">
        <f t="shared" si="8"/>
        <v>OK</v>
      </c>
      <c r="AA53" s="11">
        <f t="shared" si="9"/>
        <v>623.20000000000005</v>
      </c>
      <c r="AB53" s="11">
        <f t="shared" si="10"/>
        <v>343.2</v>
      </c>
      <c r="AC53" s="1"/>
      <c r="AD53" s="1">
        <v>0</v>
      </c>
      <c r="AE53" s="1">
        <v>0</v>
      </c>
      <c r="AF53" s="1">
        <v>0</v>
      </c>
      <c r="AG53" s="1">
        <v>294</v>
      </c>
      <c r="AH53" s="1">
        <v>0</v>
      </c>
      <c r="AI53" s="76">
        <v>0</v>
      </c>
      <c r="AJ53" s="76">
        <f t="shared" si="11"/>
        <v>1400</v>
      </c>
      <c r="AK53" s="1">
        <v>0</v>
      </c>
      <c r="AL53" s="1">
        <v>0</v>
      </c>
      <c r="AM53" s="1" t="str">
        <f t="shared" si="12"/>
        <v/>
      </c>
      <c r="AN53" s="1">
        <f t="shared" si="13"/>
        <v>0</v>
      </c>
      <c r="AO53" s="1">
        <v>0</v>
      </c>
      <c r="AP53" s="61">
        <f t="shared" si="14"/>
        <v>0</v>
      </c>
      <c r="AQ53" s="61">
        <v>0</v>
      </c>
      <c r="AR53" s="76">
        <v>0</v>
      </c>
      <c r="AS53" s="76">
        <f t="shared" si="15"/>
        <v>204</v>
      </c>
      <c r="AT53" s="69" t="str">
        <f t="shared" si="16"/>
        <v>ATENÇÃO</v>
      </c>
      <c r="AU53" s="77">
        <f t="shared" si="17"/>
        <v>2912</v>
      </c>
      <c r="AV53" s="61" t="str">
        <f t="shared" si="18"/>
        <v>Sem mapa/sem consumo automático</v>
      </c>
      <c r="AW53" s="70"/>
      <c r="AX53" s="70">
        <v>0</v>
      </c>
      <c r="AY53" s="71" t="str">
        <f t="shared" si="19"/>
        <v>NÃO MAPEADO</v>
      </c>
      <c r="AZ53" s="70"/>
      <c r="BA53" s="71" t="str">
        <f t="shared" si="20"/>
        <v/>
      </c>
      <c r="BB53" s="70" t="str">
        <f t="shared" si="21"/>
        <v>Verificar cadastro</v>
      </c>
      <c r="BC53" s="78">
        <v>0</v>
      </c>
      <c r="BD53" s="78">
        <f t="shared" si="22"/>
        <v>0</v>
      </c>
      <c r="BE53" s="78">
        <v>294</v>
      </c>
      <c r="BF53">
        <v>0</v>
      </c>
      <c r="BG53">
        <v>0</v>
      </c>
      <c r="BH53">
        <v>294</v>
      </c>
      <c r="BI53" s="103">
        <v>46263.348506944443</v>
      </c>
      <c r="BJ53">
        <v>0</v>
      </c>
    </row>
    <row r="54" spans="1:63" ht="30" x14ac:dyDescent="0.25">
      <c r="A54" s="8" t="s">
        <v>213</v>
      </c>
      <c r="B54" s="8">
        <v>1.57</v>
      </c>
      <c r="C54" s="8">
        <v>238.81</v>
      </c>
      <c r="D54" s="8">
        <v>124</v>
      </c>
      <c r="E54" s="8" t="s">
        <v>209</v>
      </c>
      <c r="F54" s="8" t="s">
        <v>210</v>
      </c>
      <c r="G54" s="8" t="s">
        <v>213</v>
      </c>
      <c r="H54" s="8">
        <v>152</v>
      </c>
      <c r="I54" s="12">
        <v>0</v>
      </c>
      <c r="J54" s="10">
        <f>REMESSAS!W55</f>
        <v>100</v>
      </c>
      <c r="K54" s="11">
        <f t="shared" si="1"/>
        <v>52</v>
      </c>
      <c r="L54" s="11">
        <f t="shared" si="2"/>
        <v>0</v>
      </c>
      <c r="M54" s="11">
        <f t="shared" si="3"/>
        <v>-52</v>
      </c>
      <c r="N54" s="11">
        <v>0</v>
      </c>
      <c r="O54" s="76">
        <f>IF($A54="","",IFERROR(SUMIF(Consumo_Joists!$A:$A,$A54,Consumo_Joists!$P:$P),0)+IFERROR(SUMIF(Consumo_Quadrantes!$A:$A,$A54,Consumo_Quadrantes!$F:$F),0))</f>
        <v>0</v>
      </c>
      <c r="P54" s="76">
        <v>100</v>
      </c>
      <c r="Q54" s="76"/>
      <c r="R54" s="76"/>
      <c r="S54" s="3">
        <f t="shared" si="4"/>
        <v>0.65789473684210531</v>
      </c>
      <c r="T54" s="1" t="str">
        <f t="shared" si="5"/>
        <v>Recebimento Parcial</v>
      </c>
      <c r="U54" s="1" t="s">
        <v>498</v>
      </c>
      <c r="V54" s="1" t="s">
        <v>80</v>
      </c>
      <c r="W54" s="1" t="s">
        <v>499</v>
      </c>
      <c r="X54" s="2">
        <f t="shared" si="6"/>
        <v>0</v>
      </c>
      <c r="Y54" s="1" t="str">
        <f t="shared" si="7"/>
        <v>Monitorar</v>
      </c>
      <c r="Z54" s="1" t="str">
        <f t="shared" si="8"/>
        <v>OK</v>
      </c>
      <c r="AA54" s="11">
        <f t="shared" si="9"/>
        <v>30.4</v>
      </c>
      <c r="AB54" s="11">
        <f t="shared" si="10"/>
        <v>10.4</v>
      </c>
      <c r="AC54" s="1"/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76">
        <v>0</v>
      </c>
      <c r="AJ54" s="76">
        <f t="shared" si="11"/>
        <v>100</v>
      </c>
      <c r="AK54" s="1">
        <v>0</v>
      </c>
      <c r="AL54" s="1">
        <v>0</v>
      </c>
      <c r="AM54" s="1" t="str">
        <f t="shared" si="12"/>
        <v/>
      </c>
      <c r="AN54" s="1">
        <f t="shared" si="13"/>
        <v>0</v>
      </c>
      <c r="AO54" s="1">
        <v>0</v>
      </c>
      <c r="AP54" s="61">
        <f t="shared" si="14"/>
        <v>0</v>
      </c>
      <c r="AQ54" s="61">
        <v>0</v>
      </c>
      <c r="AR54" s="76">
        <v>0</v>
      </c>
      <c r="AS54" s="76">
        <f t="shared" si="15"/>
        <v>100</v>
      </c>
      <c r="AT54" s="69" t="str">
        <f t="shared" si="16"/>
        <v>OK</v>
      </c>
      <c r="AU54" s="77">
        <f t="shared" si="17"/>
        <v>52</v>
      </c>
      <c r="AV54" s="61" t="str">
        <f t="shared" si="18"/>
        <v>Sem mapa/sem consumo automático</v>
      </c>
      <c r="AW54" s="70"/>
      <c r="AX54" s="70">
        <v>0</v>
      </c>
      <c r="AY54" s="71" t="str">
        <f t="shared" si="19"/>
        <v>NÃO MAPEADO</v>
      </c>
      <c r="AZ54" s="70"/>
      <c r="BA54" s="71" t="str">
        <f t="shared" si="20"/>
        <v/>
      </c>
      <c r="BB54" s="70" t="str">
        <f t="shared" si="21"/>
        <v>Verificar cadastro</v>
      </c>
      <c r="BC54" s="78">
        <v>0</v>
      </c>
      <c r="BD54" s="78">
        <f t="shared" si="22"/>
        <v>0</v>
      </c>
      <c r="BE54" s="78">
        <v>0</v>
      </c>
      <c r="BF54">
        <v>0</v>
      </c>
      <c r="BG54">
        <v>0</v>
      </c>
      <c r="BH54">
        <v>0</v>
      </c>
      <c r="BJ54">
        <v>0</v>
      </c>
    </row>
    <row r="55" spans="1:63" ht="30" x14ac:dyDescent="0.25">
      <c r="A55" s="8" t="s">
        <v>216</v>
      </c>
      <c r="B55" s="8">
        <v>1.59</v>
      </c>
      <c r="C55" s="8">
        <v>127.07</v>
      </c>
      <c r="D55" s="8">
        <v>260</v>
      </c>
      <c r="E55" s="8" t="s">
        <v>214</v>
      </c>
      <c r="F55" s="8" t="s">
        <v>215</v>
      </c>
      <c r="G55" s="8" t="s">
        <v>216</v>
      </c>
      <c r="H55" s="8">
        <v>80</v>
      </c>
      <c r="I55" s="9">
        <v>0</v>
      </c>
      <c r="J55" s="10">
        <f>REMESSAS!W56</f>
        <v>0</v>
      </c>
      <c r="K55" s="11">
        <f t="shared" si="1"/>
        <v>80</v>
      </c>
      <c r="L55" s="11">
        <f t="shared" si="2"/>
        <v>0</v>
      </c>
      <c r="M55" s="11">
        <f t="shared" si="3"/>
        <v>-80</v>
      </c>
      <c r="N55" s="11">
        <v>0</v>
      </c>
      <c r="O55" s="76">
        <f>IF($A55="","",IFERROR(SUMIF(Consumo_Joists!$A:$A,$A55,Consumo_Joists!$P:$P),0)+IFERROR(SUMIF(Consumo_Quadrantes!$A:$A,$A55,Consumo_Quadrantes!$F:$F),0))</f>
        <v>0</v>
      </c>
      <c r="P55" s="76">
        <v>0</v>
      </c>
      <c r="Q55" s="76"/>
      <c r="R55" s="76"/>
      <c r="S55" s="3">
        <f t="shared" si="4"/>
        <v>0</v>
      </c>
      <c r="T55" s="1" t="str">
        <f t="shared" si="5"/>
        <v>Crítico</v>
      </c>
      <c r="U55" s="1" t="s">
        <v>498</v>
      </c>
      <c r="V55" s="1" t="s">
        <v>80</v>
      </c>
      <c r="W55" s="1" t="s">
        <v>499</v>
      </c>
      <c r="X55" s="2">
        <f t="shared" si="6"/>
        <v>40</v>
      </c>
      <c r="Y55" s="1" t="str">
        <f t="shared" si="7"/>
        <v>Enviar se houver espaço</v>
      </c>
      <c r="Z55" s="1" t="str">
        <f t="shared" si="8"/>
        <v>OK</v>
      </c>
      <c r="AA55" s="11">
        <f t="shared" si="9"/>
        <v>16</v>
      </c>
      <c r="AB55" s="11">
        <f t="shared" si="10"/>
        <v>16</v>
      </c>
      <c r="AC55" s="1"/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76">
        <v>0</v>
      </c>
      <c r="AJ55" s="76">
        <f t="shared" si="11"/>
        <v>0</v>
      </c>
      <c r="AK55" s="1">
        <v>0</v>
      </c>
      <c r="AL55" s="1">
        <v>0</v>
      </c>
      <c r="AM55" s="1" t="str">
        <f t="shared" si="12"/>
        <v/>
      </c>
      <c r="AN55" s="1">
        <f t="shared" si="13"/>
        <v>0</v>
      </c>
      <c r="AO55" s="1">
        <v>0</v>
      </c>
      <c r="AP55" s="61">
        <f t="shared" si="14"/>
        <v>0</v>
      </c>
      <c r="AQ55" s="61">
        <v>0</v>
      </c>
      <c r="AR55" s="76">
        <v>0</v>
      </c>
      <c r="AS55" s="76">
        <f t="shared" si="15"/>
        <v>0</v>
      </c>
      <c r="AT55" s="69" t="str">
        <f t="shared" si="16"/>
        <v>OK</v>
      </c>
      <c r="AU55" s="77">
        <f t="shared" si="17"/>
        <v>80</v>
      </c>
      <c r="AV55" s="61" t="str">
        <f t="shared" si="18"/>
        <v>Sem mapa/sem consumo automático</v>
      </c>
      <c r="AW55" s="70"/>
      <c r="AX55" s="70">
        <v>0</v>
      </c>
      <c r="AY55" s="71" t="str">
        <f t="shared" si="19"/>
        <v>NÃO MAPEADO</v>
      </c>
      <c r="AZ55" s="70"/>
      <c r="BA55" s="71" t="str">
        <f t="shared" si="20"/>
        <v/>
      </c>
      <c r="BB55" s="70" t="str">
        <f t="shared" si="21"/>
        <v>Verificar cadastro</v>
      </c>
      <c r="BC55" s="78">
        <v>0</v>
      </c>
      <c r="BD55" s="78">
        <f t="shared" si="22"/>
        <v>0</v>
      </c>
      <c r="BE55" s="78">
        <v>0</v>
      </c>
      <c r="BF55">
        <v>0</v>
      </c>
      <c r="BG55">
        <v>0</v>
      </c>
      <c r="BH55">
        <v>0</v>
      </c>
      <c r="BJ55">
        <v>0</v>
      </c>
    </row>
    <row r="56" spans="1:63" ht="30" x14ac:dyDescent="0.25">
      <c r="A56" s="8" t="s">
        <v>219</v>
      </c>
      <c r="B56" s="8">
        <v>0.81</v>
      </c>
      <c r="C56" s="8">
        <v>659.73</v>
      </c>
      <c r="D56" s="8">
        <v>244</v>
      </c>
      <c r="E56" s="8" t="s">
        <v>217</v>
      </c>
      <c r="F56" s="8" t="s">
        <v>218</v>
      </c>
      <c r="G56" s="8" t="s">
        <v>219</v>
      </c>
      <c r="H56" s="8">
        <v>816</v>
      </c>
      <c r="I56" s="12">
        <v>0</v>
      </c>
      <c r="J56" s="10">
        <f>REMESSAS!W57</f>
        <v>216</v>
      </c>
      <c r="K56" s="11">
        <f t="shared" si="1"/>
        <v>600</v>
      </c>
      <c r="L56" s="11">
        <f t="shared" si="2"/>
        <v>0</v>
      </c>
      <c r="M56" s="11">
        <f t="shared" si="3"/>
        <v>-600</v>
      </c>
      <c r="N56" s="11">
        <v>0</v>
      </c>
      <c r="O56" s="76">
        <f>IF($A56="","",IFERROR(SUMIF(Consumo_Joists!$A:$A,$A56,Consumo_Joists!$P:$P),0)+IFERROR(SUMIF(Consumo_Quadrantes!$A:$A,$A56,Consumo_Quadrantes!$F:$F),0))</f>
        <v>0</v>
      </c>
      <c r="P56" s="76">
        <v>216</v>
      </c>
      <c r="Q56" s="76"/>
      <c r="R56" s="76"/>
      <c r="S56" s="3">
        <f t="shared" si="4"/>
        <v>0.26470588235294118</v>
      </c>
      <c r="T56" s="1" t="str">
        <f t="shared" si="5"/>
        <v>Recebimento Parcial</v>
      </c>
      <c r="U56" s="1" t="s">
        <v>498</v>
      </c>
      <c r="V56" s="1" t="s">
        <v>80</v>
      </c>
      <c r="W56" s="1" t="s">
        <v>499</v>
      </c>
      <c r="X56" s="2">
        <f t="shared" si="6"/>
        <v>300</v>
      </c>
      <c r="Y56" s="1" t="str">
        <f t="shared" si="7"/>
        <v>Enviar se houver espaço</v>
      </c>
      <c r="Z56" s="1" t="str">
        <f t="shared" si="8"/>
        <v>OK</v>
      </c>
      <c r="AA56" s="11">
        <f t="shared" si="9"/>
        <v>163.19999999999999</v>
      </c>
      <c r="AB56" s="11">
        <f t="shared" si="10"/>
        <v>120</v>
      </c>
      <c r="AC56" s="1"/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76">
        <v>0</v>
      </c>
      <c r="AJ56" s="76">
        <f t="shared" si="11"/>
        <v>216</v>
      </c>
      <c r="AK56" s="1">
        <v>0</v>
      </c>
      <c r="AL56" s="1">
        <v>0</v>
      </c>
      <c r="AM56" s="1" t="str">
        <f t="shared" si="12"/>
        <v/>
      </c>
      <c r="AN56" s="1">
        <f t="shared" si="13"/>
        <v>0</v>
      </c>
      <c r="AO56" s="1">
        <v>0</v>
      </c>
      <c r="AP56" s="61">
        <f t="shared" si="14"/>
        <v>0</v>
      </c>
      <c r="AQ56" s="61">
        <v>0</v>
      </c>
      <c r="AR56" s="76">
        <v>0</v>
      </c>
      <c r="AS56" s="76">
        <f t="shared" si="15"/>
        <v>216</v>
      </c>
      <c r="AT56" s="69" t="str">
        <f t="shared" si="16"/>
        <v>OK</v>
      </c>
      <c r="AU56" s="77">
        <f t="shared" si="17"/>
        <v>600</v>
      </c>
      <c r="AV56" s="61" t="str">
        <f t="shared" si="18"/>
        <v>Sem mapa/sem consumo automático</v>
      </c>
      <c r="AW56" s="70"/>
      <c r="AX56" s="70">
        <v>0</v>
      </c>
      <c r="AY56" s="71" t="str">
        <f t="shared" si="19"/>
        <v>NÃO MAPEADO</v>
      </c>
      <c r="AZ56" s="70"/>
      <c r="BA56" s="71" t="str">
        <f t="shared" si="20"/>
        <v/>
      </c>
      <c r="BB56" s="70" t="str">
        <f t="shared" si="21"/>
        <v>Verificar cadastro</v>
      </c>
      <c r="BC56" s="78">
        <v>0</v>
      </c>
      <c r="BD56" s="78">
        <f t="shared" si="22"/>
        <v>0</v>
      </c>
      <c r="BE56" s="78">
        <v>0</v>
      </c>
      <c r="BF56">
        <v>0</v>
      </c>
      <c r="BG56">
        <v>0</v>
      </c>
      <c r="BH56">
        <v>0</v>
      </c>
      <c r="BJ56">
        <v>0</v>
      </c>
    </row>
    <row r="57" spans="1:63" ht="30" x14ac:dyDescent="0.25">
      <c r="A57" s="8" t="s">
        <v>220</v>
      </c>
      <c r="B57" s="8">
        <v>0.32</v>
      </c>
      <c r="C57" s="8">
        <v>103.91</v>
      </c>
      <c r="D57" s="8">
        <v>296</v>
      </c>
      <c r="E57" s="8" t="s">
        <v>187</v>
      </c>
      <c r="F57" s="8" t="s">
        <v>215</v>
      </c>
      <c r="G57" s="8" t="s">
        <v>220</v>
      </c>
      <c r="H57" s="8">
        <v>324</v>
      </c>
      <c r="I57" s="9">
        <v>0</v>
      </c>
      <c r="J57" s="10">
        <f>REMESSAS!W58</f>
        <v>334</v>
      </c>
      <c r="K57" s="11">
        <f t="shared" si="1"/>
        <v>0</v>
      </c>
      <c r="L57" s="11">
        <f t="shared" si="2"/>
        <v>10</v>
      </c>
      <c r="M57" s="11">
        <f t="shared" si="3"/>
        <v>10</v>
      </c>
      <c r="N57" s="11">
        <v>0</v>
      </c>
      <c r="O57" s="76">
        <f>IF($A57="","",IFERROR(SUMIF(Consumo_Joists!$A:$A,$A57,Consumo_Joists!$P:$P),0)+IFERROR(SUMIF(Consumo_Quadrantes!$A:$A,$A57,Consumo_Quadrantes!$F:$F),0))</f>
        <v>0</v>
      </c>
      <c r="P57" s="76">
        <v>334</v>
      </c>
      <c r="Q57" s="76"/>
      <c r="R57" s="76"/>
      <c r="S57" s="3">
        <f t="shared" si="4"/>
        <v>1.0308641975308641</v>
      </c>
      <c r="T57" s="1" t="str">
        <f t="shared" si="5"/>
        <v>Excedente</v>
      </c>
      <c r="U57" s="1" t="s">
        <v>498</v>
      </c>
      <c r="V57" s="1" t="s">
        <v>80</v>
      </c>
      <c r="W57" s="1" t="s">
        <v>499</v>
      </c>
      <c r="X57" s="2">
        <f t="shared" si="6"/>
        <v>0</v>
      </c>
      <c r="Y57" s="1" t="str">
        <f t="shared" si="7"/>
        <v>Monitorar</v>
      </c>
      <c r="Z57" s="1" t="str">
        <f t="shared" si="8"/>
        <v>OK</v>
      </c>
      <c r="AA57" s="11">
        <f t="shared" si="9"/>
        <v>64.8</v>
      </c>
      <c r="AB57" s="11">
        <f t="shared" si="10"/>
        <v>0</v>
      </c>
      <c r="AC57" s="1"/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76">
        <v>0</v>
      </c>
      <c r="AJ57" s="76">
        <f t="shared" si="11"/>
        <v>334</v>
      </c>
      <c r="AK57" s="1">
        <v>0</v>
      </c>
      <c r="AL57" s="1">
        <v>0</v>
      </c>
      <c r="AM57" s="1" t="str">
        <f t="shared" si="12"/>
        <v/>
      </c>
      <c r="AN57" s="1">
        <f t="shared" si="13"/>
        <v>0</v>
      </c>
      <c r="AO57" s="1">
        <v>0</v>
      </c>
      <c r="AP57" s="61">
        <f t="shared" si="14"/>
        <v>0</v>
      </c>
      <c r="AQ57" s="61">
        <v>0</v>
      </c>
      <c r="AR57" s="76">
        <v>0</v>
      </c>
      <c r="AS57" s="76">
        <f t="shared" si="15"/>
        <v>334</v>
      </c>
      <c r="AT57" s="69" t="str">
        <f t="shared" si="16"/>
        <v>OK</v>
      </c>
      <c r="AU57" s="77">
        <f t="shared" si="17"/>
        <v>0</v>
      </c>
      <c r="AV57" s="61" t="str">
        <f t="shared" si="18"/>
        <v>Sem mapa/sem consumo automático</v>
      </c>
      <c r="AW57" s="70"/>
      <c r="AX57" s="70">
        <v>0</v>
      </c>
      <c r="AY57" s="71" t="str">
        <f t="shared" si="19"/>
        <v>NÃO MAPEADO</v>
      </c>
      <c r="AZ57" s="70"/>
      <c r="BA57" s="71" t="str">
        <f t="shared" si="20"/>
        <v/>
      </c>
      <c r="BB57" s="70" t="str">
        <f t="shared" si="21"/>
        <v>Verificar cadastro</v>
      </c>
      <c r="BC57" s="78">
        <v>0</v>
      </c>
      <c r="BD57" s="78">
        <f t="shared" si="22"/>
        <v>0</v>
      </c>
      <c r="BE57" s="78">
        <v>0</v>
      </c>
      <c r="BF57">
        <v>0</v>
      </c>
      <c r="BG57">
        <v>0</v>
      </c>
      <c r="BH57">
        <v>0</v>
      </c>
      <c r="BJ57">
        <v>0</v>
      </c>
    </row>
    <row r="58" spans="1:63" ht="30" x14ac:dyDescent="0.25">
      <c r="A58" s="8" t="s">
        <v>222</v>
      </c>
      <c r="B58" s="8">
        <v>112.82</v>
      </c>
      <c r="C58" s="8">
        <v>2030.71</v>
      </c>
      <c r="D58" s="8">
        <v>17160</v>
      </c>
      <c r="E58" s="8" t="s">
        <v>115</v>
      </c>
      <c r="F58" s="8" t="s">
        <v>221</v>
      </c>
      <c r="G58" s="8" t="s">
        <v>222</v>
      </c>
      <c r="H58" s="8">
        <v>18</v>
      </c>
      <c r="I58" s="12">
        <v>0</v>
      </c>
      <c r="J58" s="10">
        <f>REMESSAS!W59</f>
        <v>324</v>
      </c>
      <c r="K58" s="11">
        <f t="shared" si="1"/>
        <v>0</v>
      </c>
      <c r="L58" s="11">
        <f t="shared" si="2"/>
        <v>306</v>
      </c>
      <c r="M58" s="11">
        <f t="shared" si="3"/>
        <v>306</v>
      </c>
      <c r="N58" s="11">
        <v>0</v>
      </c>
      <c r="O58" s="76">
        <f>IF($A58="","",IFERROR(SUMIF(Consumo_Joists!$A:$A,$A58,Consumo_Joists!$P:$P),0)+IFERROR(SUMIF(Consumo_Quadrantes!$A:$A,$A58,Consumo_Quadrantes!$F:$F),0))</f>
        <v>0</v>
      </c>
      <c r="P58" s="76">
        <v>324</v>
      </c>
      <c r="Q58" s="76"/>
      <c r="R58" s="76"/>
      <c r="S58" s="3">
        <f t="shared" si="4"/>
        <v>18</v>
      </c>
      <c r="T58" s="1" t="str">
        <f t="shared" si="5"/>
        <v>Excedente</v>
      </c>
      <c r="U58" s="1" t="s">
        <v>498</v>
      </c>
      <c r="V58" s="1" t="s">
        <v>80</v>
      </c>
      <c r="W58" s="1" t="s">
        <v>499</v>
      </c>
      <c r="X58" s="2">
        <f t="shared" si="6"/>
        <v>0</v>
      </c>
      <c r="Y58" s="1" t="str">
        <f t="shared" si="7"/>
        <v>Monitorar</v>
      </c>
      <c r="Z58" s="1" t="str">
        <f t="shared" si="8"/>
        <v>OK</v>
      </c>
      <c r="AA58" s="11">
        <f t="shared" si="9"/>
        <v>3.6</v>
      </c>
      <c r="AB58" s="11">
        <f t="shared" si="10"/>
        <v>0</v>
      </c>
      <c r="AC58" s="1"/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76">
        <v>0</v>
      </c>
      <c r="AJ58" s="76">
        <f t="shared" si="11"/>
        <v>324</v>
      </c>
      <c r="AK58" s="1">
        <v>0</v>
      </c>
      <c r="AL58" s="1">
        <v>0</v>
      </c>
      <c r="AM58" s="1" t="str">
        <f t="shared" si="12"/>
        <v/>
      </c>
      <c r="AN58" s="1">
        <f t="shared" si="13"/>
        <v>0</v>
      </c>
      <c r="AO58" s="1">
        <v>0</v>
      </c>
      <c r="AP58" s="61">
        <f t="shared" si="14"/>
        <v>0</v>
      </c>
      <c r="AQ58" s="61">
        <v>0</v>
      </c>
      <c r="AR58" s="76">
        <v>0</v>
      </c>
      <c r="AS58" s="76">
        <f t="shared" si="15"/>
        <v>324</v>
      </c>
      <c r="AT58" s="69" t="str">
        <f t="shared" si="16"/>
        <v>OK</v>
      </c>
      <c r="AU58" s="77">
        <f t="shared" si="17"/>
        <v>0</v>
      </c>
      <c r="AV58" s="61" t="str">
        <f t="shared" si="18"/>
        <v>Sem mapa/sem consumo automático</v>
      </c>
      <c r="AW58" s="70"/>
      <c r="AX58" s="70">
        <v>0</v>
      </c>
      <c r="AY58" s="71" t="str">
        <f t="shared" si="19"/>
        <v>NÃO MAPEADO</v>
      </c>
      <c r="AZ58" s="70"/>
      <c r="BA58" s="71" t="str">
        <f t="shared" si="20"/>
        <v/>
      </c>
      <c r="BB58" s="70" t="str">
        <f t="shared" si="21"/>
        <v>Verificar cadastro</v>
      </c>
      <c r="BC58" s="78">
        <v>0</v>
      </c>
      <c r="BD58" s="78">
        <f t="shared" si="22"/>
        <v>0</v>
      </c>
      <c r="BE58" s="78">
        <v>0</v>
      </c>
      <c r="BF58">
        <v>0</v>
      </c>
      <c r="BG58">
        <v>0</v>
      </c>
      <c r="BH58">
        <v>0</v>
      </c>
      <c r="BJ58">
        <v>0</v>
      </c>
    </row>
    <row r="59" spans="1:63" ht="30" x14ac:dyDescent="0.25">
      <c r="A59" s="8" t="s">
        <v>223</v>
      </c>
      <c r="B59" s="8">
        <v>91.26</v>
      </c>
      <c r="C59" s="8">
        <v>1642.72</v>
      </c>
      <c r="D59" s="8">
        <v>14033</v>
      </c>
      <c r="E59" s="8" t="s">
        <v>115</v>
      </c>
      <c r="F59" s="8" t="s">
        <v>221</v>
      </c>
      <c r="G59" s="8" t="s">
        <v>223</v>
      </c>
      <c r="H59" s="8">
        <v>18</v>
      </c>
      <c r="I59" s="9">
        <v>0</v>
      </c>
      <c r="J59" s="10">
        <f>REMESSAS!W60</f>
        <v>0</v>
      </c>
      <c r="K59" s="11">
        <f t="shared" si="1"/>
        <v>18</v>
      </c>
      <c r="L59" s="11">
        <f t="shared" si="2"/>
        <v>0</v>
      </c>
      <c r="M59" s="11">
        <f t="shared" si="3"/>
        <v>-18</v>
      </c>
      <c r="N59" s="11">
        <v>0</v>
      </c>
      <c r="O59" s="76">
        <f>IF($A59="","",IFERROR(SUMIF(Consumo_Joists!$A:$A,$A59,Consumo_Joists!$P:$P),0)+IFERROR(SUMIF(Consumo_Quadrantes!$A:$A,$A59,Consumo_Quadrantes!$F:$F),0))</f>
        <v>0</v>
      </c>
      <c r="P59" s="76">
        <v>0</v>
      </c>
      <c r="Q59" s="76"/>
      <c r="R59" s="76"/>
      <c r="S59" s="3">
        <f t="shared" si="4"/>
        <v>0</v>
      </c>
      <c r="T59" s="1" t="str">
        <f t="shared" si="5"/>
        <v>Crítico</v>
      </c>
      <c r="U59" s="1" t="s">
        <v>498</v>
      </c>
      <c r="V59" s="1" t="s">
        <v>80</v>
      </c>
      <c r="W59" s="1" t="s">
        <v>499</v>
      </c>
      <c r="X59" s="2">
        <f t="shared" si="6"/>
        <v>9</v>
      </c>
      <c r="Y59" s="1" t="str">
        <f t="shared" si="7"/>
        <v>Enviar se houver espaço</v>
      </c>
      <c r="Z59" s="1" t="str">
        <f t="shared" si="8"/>
        <v>OK</v>
      </c>
      <c r="AA59" s="11">
        <f t="shared" si="9"/>
        <v>3.6</v>
      </c>
      <c r="AB59" s="11">
        <f t="shared" si="10"/>
        <v>3.6</v>
      </c>
      <c r="AC59" s="1"/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76">
        <v>0</v>
      </c>
      <c r="AJ59" s="76">
        <f t="shared" si="11"/>
        <v>0</v>
      </c>
      <c r="AK59" s="1">
        <v>0</v>
      </c>
      <c r="AL59" s="1">
        <v>0</v>
      </c>
      <c r="AM59" s="1" t="str">
        <f t="shared" si="12"/>
        <v/>
      </c>
      <c r="AN59" s="1">
        <f t="shared" si="13"/>
        <v>0</v>
      </c>
      <c r="AO59" s="1">
        <v>0</v>
      </c>
      <c r="AP59" s="61">
        <f t="shared" si="14"/>
        <v>0</v>
      </c>
      <c r="AQ59" s="61">
        <v>0</v>
      </c>
      <c r="AR59" s="76">
        <v>0</v>
      </c>
      <c r="AS59" s="76">
        <f t="shared" si="15"/>
        <v>0</v>
      </c>
      <c r="AT59" s="69" t="str">
        <f t="shared" si="16"/>
        <v>OK</v>
      </c>
      <c r="AU59" s="77">
        <f t="shared" si="17"/>
        <v>18</v>
      </c>
      <c r="AV59" s="61" t="str">
        <f t="shared" si="18"/>
        <v>Sem mapa/sem consumo automático</v>
      </c>
      <c r="AW59" s="70"/>
      <c r="AX59" s="70">
        <v>0</v>
      </c>
      <c r="AY59" s="71" t="str">
        <f t="shared" si="19"/>
        <v>NÃO MAPEADO</v>
      </c>
      <c r="AZ59" s="70"/>
      <c r="BA59" s="71" t="str">
        <f t="shared" si="20"/>
        <v/>
      </c>
      <c r="BB59" s="70" t="str">
        <f t="shared" si="21"/>
        <v>Verificar cadastro</v>
      </c>
      <c r="BC59" s="78">
        <v>0</v>
      </c>
      <c r="BD59" s="78">
        <f t="shared" si="22"/>
        <v>0</v>
      </c>
      <c r="BE59" s="78">
        <v>0</v>
      </c>
      <c r="BF59">
        <v>0</v>
      </c>
      <c r="BG59">
        <v>0</v>
      </c>
      <c r="BH59">
        <v>0</v>
      </c>
      <c r="BJ59">
        <v>0</v>
      </c>
    </row>
    <row r="60" spans="1:63" ht="30" x14ac:dyDescent="0.25">
      <c r="A60" s="8" t="s">
        <v>224</v>
      </c>
      <c r="B60" s="8">
        <v>112.82</v>
      </c>
      <c r="C60" s="8">
        <v>2030.71</v>
      </c>
      <c r="D60" s="8">
        <v>17160</v>
      </c>
      <c r="E60" s="8" t="s">
        <v>115</v>
      </c>
      <c r="F60" s="8" t="s">
        <v>221</v>
      </c>
      <c r="G60" s="8" t="s">
        <v>224</v>
      </c>
      <c r="H60" s="8">
        <v>18</v>
      </c>
      <c r="I60" s="12">
        <v>0</v>
      </c>
      <c r="J60" s="10">
        <f>REMESSAS!W61</f>
        <v>0</v>
      </c>
      <c r="K60" s="11">
        <f t="shared" si="1"/>
        <v>18</v>
      </c>
      <c r="L60" s="11">
        <f t="shared" si="2"/>
        <v>0</v>
      </c>
      <c r="M60" s="11">
        <f t="shared" si="3"/>
        <v>-18</v>
      </c>
      <c r="N60" s="11">
        <v>0</v>
      </c>
      <c r="O60" s="76">
        <f>IF($A60="","",IFERROR(SUMIF(Consumo_Joists!$A:$A,$A60,Consumo_Joists!$P:$P),0)+IFERROR(SUMIF(Consumo_Quadrantes!$A:$A,$A60,Consumo_Quadrantes!$F:$F),0))</f>
        <v>0</v>
      </c>
      <c r="P60" s="76">
        <v>0</v>
      </c>
      <c r="Q60" s="76"/>
      <c r="R60" s="76"/>
      <c r="S60" s="3">
        <f t="shared" si="4"/>
        <v>0</v>
      </c>
      <c r="T60" s="1" t="str">
        <f t="shared" si="5"/>
        <v>Crítico</v>
      </c>
      <c r="U60" s="1" t="s">
        <v>498</v>
      </c>
      <c r="V60" s="1" t="s">
        <v>80</v>
      </c>
      <c r="W60" s="1" t="s">
        <v>499</v>
      </c>
      <c r="X60" s="2">
        <f t="shared" si="6"/>
        <v>9</v>
      </c>
      <c r="Y60" s="1" t="str">
        <f t="shared" si="7"/>
        <v>Enviar se houver espaço</v>
      </c>
      <c r="Z60" s="1" t="str">
        <f t="shared" si="8"/>
        <v>OK</v>
      </c>
      <c r="AA60" s="11">
        <f t="shared" si="9"/>
        <v>3.6</v>
      </c>
      <c r="AB60" s="11">
        <f t="shared" si="10"/>
        <v>3.6</v>
      </c>
      <c r="AC60" s="1"/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76">
        <v>0</v>
      </c>
      <c r="AJ60" s="76">
        <f t="shared" si="11"/>
        <v>0</v>
      </c>
      <c r="AK60" s="1">
        <v>0</v>
      </c>
      <c r="AL60" s="1">
        <v>0</v>
      </c>
      <c r="AM60" s="1" t="str">
        <f t="shared" si="12"/>
        <v/>
      </c>
      <c r="AN60" s="1">
        <f t="shared" si="13"/>
        <v>0</v>
      </c>
      <c r="AO60" s="1">
        <v>0</v>
      </c>
      <c r="AP60" s="61">
        <f t="shared" si="14"/>
        <v>0</v>
      </c>
      <c r="AQ60" s="61">
        <v>0</v>
      </c>
      <c r="AR60" s="76">
        <v>0</v>
      </c>
      <c r="AS60" s="76">
        <f t="shared" si="15"/>
        <v>0</v>
      </c>
      <c r="AT60" s="69" t="str">
        <f t="shared" si="16"/>
        <v>OK</v>
      </c>
      <c r="AU60" s="77">
        <f t="shared" si="17"/>
        <v>18</v>
      </c>
      <c r="AV60" s="61" t="str">
        <f t="shared" si="18"/>
        <v>Sem mapa/sem consumo automático</v>
      </c>
      <c r="AW60" s="70"/>
      <c r="AX60" s="70">
        <v>0</v>
      </c>
      <c r="AY60" s="71" t="str">
        <f t="shared" si="19"/>
        <v>NÃO MAPEADO</v>
      </c>
      <c r="AZ60" s="70"/>
      <c r="BA60" s="71" t="str">
        <f t="shared" si="20"/>
        <v/>
      </c>
      <c r="BB60" s="70" t="str">
        <f t="shared" si="21"/>
        <v>Verificar cadastro</v>
      </c>
      <c r="BC60" s="78">
        <v>0</v>
      </c>
      <c r="BD60" s="78">
        <f t="shared" si="22"/>
        <v>0</v>
      </c>
      <c r="BE60" s="78">
        <v>0</v>
      </c>
      <c r="BF60">
        <v>0</v>
      </c>
      <c r="BG60">
        <v>0</v>
      </c>
      <c r="BH60">
        <v>0</v>
      </c>
      <c r="BJ60">
        <v>0</v>
      </c>
    </row>
    <row r="61" spans="1:63" ht="30" x14ac:dyDescent="0.25">
      <c r="A61" s="8" t="s">
        <v>225</v>
      </c>
      <c r="B61" s="8">
        <v>91.26</v>
      </c>
      <c r="C61" s="8">
        <v>1642.72</v>
      </c>
      <c r="D61" s="8">
        <v>14033</v>
      </c>
      <c r="E61" s="8" t="s">
        <v>115</v>
      </c>
      <c r="F61" s="8" t="s">
        <v>221</v>
      </c>
      <c r="G61" s="8" t="s">
        <v>225</v>
      </c>
      <c r="H61" s="8">
        <v>18</v>
      </c>
      <c r="I61" s="9">
        <v>0</v>
      </c>
      <c r="J61" s="10">
        <f>REMESSAS!W62</f>
        <v>0</v>
      </c>
      <c r="K61" s="11">
        <f t="shared" si="1"/>
        <v>18</v>
      </c>
      <c r="L61" s="11">
        <f t="shared" si="2"/>
        <v>0</v>
      </c>
      <c r="M61" s="11">
        <f t="shared" si="3"/>
        <v>-18</v>
      </c>
      <c r="N61" s="11">
        <v>0</v>
      </c>
      <c r="O61" s="76">
        <f>IF($A61="","",IFERROR(SUMIF(Consumo_Joists!$A:$A,$A61,Consumo_Joists!$P:$P),0)+IFERROR(SUMIF(Consumo_Quadrantes!$A:$A,$A61,Consumo_Quadrantes!$F:$F),0))</f>
        <v>0</v>
      </c>
      <c r="P61" s="76">
        <v>0</v>
      </c>
      <c r="Q61" s="76"/>
      <c r="R61" s="76"/>
      <c r="S61" s="3">
        <f t="shared" si="4"/>
        <v>0</v>
      </c>
      <c r="T61" s="1" t="str">
        <f t="shared" si="5"/>
        <v>Crítico</v>
      </c>
      <c r="U61" s="1" t="s">
        <v>498</v>
      </c>
      <c r="V61" s="1" t="s">
        <v>80</v>
      </c>
      <c r="W61" s="1" t="s">
        <v>499</v>
      </c>
      <c r="X61" s="2">
        <f t="shared" si="6"/>
        <v>9</v>
      </c>
      <c r="Y61" s="1" t="str">
        <f t="shared" si="7"/>
        <v>Enviar se houver espaço</v>
      </c>
      <c r="Z61" s="1" t="str">
        <f t="shared" si="8"/>
        <v>OK</v>
      </c>
      <c r="AA61" s="11">
        <f t="shared" si="9"/>
        <v>3.6</v>
      </c>
      <c r="AB61" s="11">
        <f t="shared" si="10"/>
        <v>3.6</v>
      </c>
      <c r="AC61" s="1"/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76">
        <v>0</v>
      </c>
      <c r="AJ61" s="76">
        <f t="shared" si="11"/>
        <v>0</v>
      </c>
      <c r="AK61" s="1">
        <v>0</v>
      </c>
      <c r="AL61" s="1">
        <v>0</v>
      </c>
      <c r="AM61" s="1" t="str">
        <f t="shared" si="12"/>
        <v/>
      </c>
      <c r="AN61" s="1">
        <f t="shared" si="13"/>
        <v>0</v>
      </c>
      <c r="AO61" s="1">
        <v>0</v>
      </c>
      <c r="AP61" s="61">
        <f t="shared" si="14"/>
        <v>0</v>
      </c>
      <c r="AQ61" s="61">
        <v>0</v>
      </c>
      <c r="AR61" s="76">
        <v>0</v>
      </c>
      <c r="AS61" s="76">
        <f t="shared" si="15"/>
        <v>0</v>
      </c>
      <c r="AT61" s="69" t="str">
        <f t="shared" si="16"/>
        <v>OK</v>
      </c>
      <c r="AU61" s="77">
        <f t="shared" si="17"/>
        <v>18</v>
      </c>
      <c r="AV61" s="61" t="str">
        <f t="shared" si="18"/>
        <v>Sem mapa/sem consumo automático</v>
      </c>
      <c r="AW61" s="70"/>
      <c r="AX61" s="70">
        <v>0</v>
      </c>
      <c r="AY61" s="71" t="str">
        <f t="shared" si="19"/>
        <v>NÃO MAPEADO</v>
      </c>
      <c r="AZ61" s="70"/>
      <c r="BA61" s="71" t="str">
        <f t="shared" si="20"/>
        <v/>
      </c>
      <c r="BB61" s="70" t="str">
        <f t="shared" si="21"/>
        <v>Verificar cadastro</v>
      </c>
      <c r="BC61" s="78">
        <v>0</v>
      </c>
      <c r="BD61" s="78">
        <f t="shared" si="22"/>
        <v>0</v>
      </c>
      <c r="BE61" s="78">
        <v>0</v>
      </c>
      <c r="BF61">
        <v>0</v>
      </c>
      <c r="BG61">
        <v>0</v>
      </c>
      <c r="BH61">
        <v>0</v>
      </c>
      <c r="BJ61">
        <v>0</v>
      </c>
    </row>
    <row r="62" spans="1:63" ht="30" x14ac:dyDescent="0.25">
      <c r="A62" s="8" t="s">
        <v>226</v>
      </c>
      <c r="B62" s="8">
        <v>77.069999999999993</v>
      </c>
      <c r="C62" s="8">
        <v>77.069999999999993</v>
      </c>
      <c r="D62" s="8">
        <v>11844</v>
      </c>
      <c r="E62" s="8" t="s">
        <v>115</v>
      </c>
      <c r="F62" s="8" t="s">
        <v>221</v>
      </c>
      <c r="G62" s="8" t="s">
        <v>226</v>
      </c>
      <c r="H62" s="8">
        <v>1</v>
      </c>
      <c r="I62" s="12">
        <v>0</v>
      </c>
      <c r="J62" s="10">
        <f>REMESSAS!W63</f>
        <v>0</v>
      </c>
      <c r="K62" s="11">
        <f t="shared" si="1"/>
        <v>1</v>
      </c>
      <c r="L62" s="11">
        <f t="shared" si="2"/>
        <v>0</v>
      </c>
      <c r="M62" s="11">
        <f t="shared" si="3"/>
        <v>-1</v>
      </c>
      <c r="N62" s="11">
        <v>0</v>
      </c>
      <c r="O62" s="76">
        <f>IF($A62="","",IFERROR(SUMIF(Consumo_Joists!$A:$A,$A62,Consumo_Joists!$P:$P),0)+IFERROR(SUMIF(Consumo_Quadrantes!$A:$A,$A62,Consumo_Quadrantes!$F:$F),0))</f>
        <v>0</v>
      </c>
      <c r="P62" s="76">
        <v>0</v>
      </c>
      <c r="Q62" s="76"/>
      <c r="R62" s="76"/>
      <c r="S62" s="3">
        <f t="shared" si="4"/>
        <v>0</v>
      </c>
      <c r="T62" s="1" t="str">
        <f t="shared" si="5"/>
        <v>Crítico</v>
      </c>
      <c r="U62" s="1" t="s">
        <v>498</v>
      </c>
      <c r="V62" s="1" t="s">
        <v>80</v>
      </c>
      <c r="W62" s="1" t="s">
        <v>499</v>
      </c>
      <c r="X62" s="2">
        <f t="shared" si="6"/>
        <v>1</v>
      </c>
      <c r="Y62" s="1" t="str">
        <f t="shared" si="7"/>
        <v>Enviar se houver espaço</v>
      </c>
      <c r="Z62" s="1" t="str">
        <f t="shared" si="8"/>
        <v>OK</v>
      </c>
      <c r="AA62" s="11">
        <f t="shared" si="9"/>
        <v>0.2</v>
      </c>
      <c r="AB62" s="11">
        <f t="shared" si="10"/>
        <v>0.2</v>
      </c>
      <c r="AC62" s="1"/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76">
        <v>0</v>
      </c>
      <c r="AJ62" s="76">
        <f t="shared" si="11"/>
        <v>0</v>
      </c>
      <c r="AK62" s="1">
        <v>0</v>
      </c>
      <c r="AL62" s="1">
        <v>0</v>
      </c>
      <c r="AM62" s="1" t="str">
        <f t="shared" si="12"/>
        <v/>
      </c>
      <c r="AN62" s="1">
        <f t="shared" si="13"/>
        <v>0</v>
      </c>
      <c r="AO62" s="1">
        <v>0</v>
      </c>
      <c r="AP62" s="61">
        <f t="shared" si="14"/>
        <v>0</v>
      </c>
      <c r="AQ62" s="61">
        <v>0</v>
      </c>
      <c r="AR62" s="76">
        <v>0</v>
      </c>
      <c r="AS62" s="76">
        <f t="shared" si="15"/>
        <v>0</v>
      </c>
      <c r="AT62" s="69" t="str">
        <f t="shared" si="16"/>
        <v>OK</v>
      </c>
      <c r="AU62" s="77">
        <f t="shared" si="17"/>
        <v>1</v>
      </c>
      <c r="AV62" s="61" t="str">
        <f t="shared" si="18"/>
        <v>Sem mapa/sem consumo automático</v>
      </c>
      <c r="AW62" s="70"/>
      <c r="AX62" s="70">
        <v>0</v>
      </c>
      <c r="AY62" s="71" t="str">
        <f t="shared" si="19"/>
        <v>NÃO MAPEADO</v>
      </c>
      <c r="AZ62" s="70"/>
      <c r="BA62" s="71" t="str">
        <f t="shared" si="20"/>
        <v/>
      </c>
      <c r="BB62" s="70" t="str">
        <f t="shared" si="21"/>
        <v>Verificar cadastro</v>
      </c>
      <c r="BC62" s="78">
        <v>0</v>
      </c>
      <c r="BD62" s="78">
        <f t="shared" si="22"/>
        <v>0</v>
      </c>
      <c r="BE62" s="78">
        <v>0</v>
      </c>
      <c r="BF62">
        <v>0</v>
      </c>
      <c r="BG62">
        <v>0</v>
      </c>
      <c r="BH62">
        <v>0</v>
      </c>
      <c r="BJ62">
        <v>0</v>
      </c>
    </row>
    <row r="63" spans="1:63" ht="30" x14ac:dyDescent="0.25">
      <c r="A63" s="8" t="s">
        <v>227</v>
      </c>
      <c r="B63" s="8">
        <v>100.98</v>
      </c>
      <c r="C63" s="8">
        <v>100.98</v>
      </c>
      <c r="D63" s="8">
        <v>15338</v>
      </c>
      <c r="E63" s="8" t="s">
        <v>115</v>
      </c>
      <c r="F63" s="8" t="s">
        <v>221</v>
      </c>
      <c r="G63" s="8" t="s">
        <v>227</v>
      </c>
      <c r="H63" s="8">
        <v>1</v>
      </c>
      <c r="I63" s="9">
        <v>0</v>
      </c>
      <c r="J63" s="10">
        <f>REMESSAS!W64</f>
        <v>0</v>
      </c>
      <c r="K63" s="11">
        <f t="shared" si="1"/>
        <v>1</v>
      </c>
      <c r="L63" s="11">
        <f t="shared" si="2"/>
        <v>0</v>
      </c>
      <c r="M63" s="11">
        <f t="shared" si="3"/>
        <v>-1</v>
      </c>
      <c r="N63" s="11">
        <v>0</v>
      </c>
      <c r="O63" s="76">
        <f>IF($A63="","",IFERROR(SUMIF(Consumo_Joists!$A:$A,$A63,Consumo_Joists!$P:$P),0)+IFERROR(SUMIF(Consumo_Quadrantes!$A:$A,$A63,Consumo_Quadrantes!$F:$F),0))</f>
        <v>0</v>
      </c>
      <c r="P63" s="76">
        <v>0</v>
      </c>
      <c r="Q63" s="76"/>
      <c r="R63" s="76"/>
      <c r="S63" s="3">
        <f t="shared" si="4"/>
        <v>0</v>
      </c>
      <c r="T63" s="1" t="str">
        <f t="shared" si="5"/>
        <v>Crítico</v>
      </c>
      <c r="U63" s="1" t="s">
        <v>498</v>
      </c>
      <c r="V63" s="1" t="s">
        <v>80</v>
      </c>
      <c r="W63" s="1" t="s">
        <v>499</v>
      </c>
      <c r="X63" s="2">
        <f t="shared" si="6"/>
        <v>1</v>
      </c>
      <c r="Y63" s="1" t="str">
        <f t="shared" si="7"/>
        <v>Enviar se houver espaço</v>
      </c>
      <c r="Z63" s="1" t="str">
        <f t="shared" si="8"/>
        <v>OK</v>
      </c>
      <c r="AA63" s="11">
        <f t="shared" si="9"/>
        <v>0.2</v>
      </c>
      <c r="AB63" s="11">
        <f t="shared" si="10"/>
        <v>0.2</v>
      </c>
      <c r="AC63" s="1"/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76">
        <v>0</v>
      </c>
      <c r="AJ63" s="76">
        <f t="shared" si="11"/>
        <v>0</v>
      </c>
      <c r="AK63" s="1">
        <v>0</v>
      </c>
      <c r="AL63" s="1">
        <v>0</v>
      </c>
      <c r="AM63" s="1" t="str">
        <f t="shared" si="12"/>
        <v/>
      </c>
      <c r="AN63" s="1">
        <f t="shared" si="13"/>
        <v>0</v>
      </c>
      <c r="AO63" s="1">
        <v>0</v>
      </c>
      <c r="AP63" s="61">
        <f t="shared" si="14"/>
        <v>0</v>
      </c>
      <c r="AQ63" s="61">
        <v>0</v>
      </c>
      <c r="AR63" s="76">
        <v>0</v>
      </c>
      <c r="AS63" s="76">
        <f t="shared" si="15"/>
        <v>0</v>
      </c>
      <c r="AT63" s="69" t="str">
        <f t="shared" si="16"/>
        <v>OK</v>
      </c>
      <c r="AU63" s="77">
        <f t="shared" si="17"/>
        <v>1</v>
      </c>
      <c r="AV63" s="61" t="str">
        <f t="shared" si="18"/>
        <v>Sem mapa/sem consumo automático</v>
      </c>
      <c r="AW63" s="70"/>
      <c r="AX63" s="70">
        <v>0</v>
      </c>
      <c r="AY63" s="71" t="str">
        <f t="shared" si="19"/>
        <v>NÃO MAPEADO</v>
      </c>
      <c r="AZ63" s="70"/>
      <c r="BA63" s="71" t="str">
        <f t="shared" si="20"/>
        <v/>
      </c>
      <c r="BB63" s="70" t="str">
        <f t="shared" si="21"/>
        <v>Verificar cadastro</v>
      </c>
      <c r="BC63" s="78">
        <v>0</v>
      </c>
      <c r="BD63" s="78">
        <f t="shared" si="22"/>
        <v>0</v>
      </c>
      <c r="BE63" s="78">
        <v>0</v>
      </c>
      <c r="BF63">
        <v>0</v>
      </c>
      <c r="BG63">
        <v>0</v>
      </c>
      <c r="BH63">
        <v>0</v>
      </c>
      <c r="BJ63">
        <v>0</v>
      </c>
      <c r="BK63" s="103"/>
    </row>
    <row r="64" spans="1:63" ht="30" x14ac:dyDescent="0.25">
      <c r="A64" s="8" t="s">
        <v>228</v>
      </c>
      <c r="B64" s="8">
        <v>77.069999999999993</v>
      </c>
      <c r="C64" s="8">
        <v>77.069999999999993</v>
      </c>
      <c r="D64" s="8">
        <v>11844</v>
      </c>
      <c r="E64" s="8" t="s">
        <v>115</v>
      </c>
      <c r="F64" s="8" t="s">
        <v>221</v>
      </c>
      <c r="G64" s="8" t="s">
        <v>228</v>
      </c>
      <c r="H64" s="8">
        <v>1</v>
      </c>
      <c r="I64" s="12">
        <v>0</v>
      </c>
      <c r="J64" s="10">
        <f>REMESSAS!W65</f>
        <v>0</v>
      </c>
      <c r="K64" s="11">
        <f t="shared" si="1"/>
        <v>1</v>
      </c>
      <c r="L64" s="11">
        <f t="shared" si="2"/>
        <v>0</v>
      </c>
      <c r="M64" s="11">
        <f t="shared" si="3"/>
        <v>-1</v>
      </c>
      <c r="N64" s="11">
        <v>0</v>
      </c>
      <c r="O64" s="76">
        <f>IF($A64="","",IFERROR(SUMIF(Consumo_Joists!$A:$A,$A64,Consumo_Joists!$P:$P),0)+IFERROR(SUMIF(Consumo_Quadrantes!$A:$A,$A64,Consumo_Quadrantes!$F:$F),0))</f>
        <v>0</v>
      </c>
      <c r="P64" s="76">
        <v>0</v>
      </c>
      <c r="Q64" s="76"/>
      <c r="R64" s="76"/>
      <c r="S64" s="3">
        <f t="shared" si="4"/>
        <v>0</v>
      </c>
      <c r="T64" s="1" t="str">
        <f t="shared" si="5"/>
        <v>Crítico</v>
      </c>
      <c r="U64" s="1" t="s">
        <v>498</v>
      </c>
      <c r="V64" s="1" t="s">
        <v>80</v>
      </c>
      <c r="W64" s="1" t="s">
        <v>499</v>
      </c>
      <c r="X64" s="2">
        <f t="shared" si="6"/>
        <v>1</v>
      </c>
      <c r="Y64" s="1" t="str">
        <f t="shared" si="7"/>
        <v>Enviar se houver espaço</v>
      </c>
      <c r="Z64" s="1" t="str">
        <f t="shared" si="8"/>
        <v>OK</v>
      </c>
      <c r="AA64" s="11">
        <f t="shared" si="9"/>
        <v>0.2</v>
      </c>
      <c r="AB64" s="11">
        <f t="shared" si="10"/>
        <v>0.2</v>
      </c>
      <c r="AC64" s="1"/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76">
        <v>0</v>
      </c>
      <c r="AJ64" s="76">
        <f t="shared" si="11"/>
        <v>0</v>
      </c>
      <c r="AK64" s="1">
        <v>0</v>
      </c>
      <c r="AL64" s="1">
        <v>0</v>
      </c>
      <c r="AM64" s="1" t="str">
        <f t="shared" si="12"/>
        <v/>
      </c>
      <c r="AN64" s="1">
        <f t="shared" si="13"/>
        <v>0</v>
      </c>
      <c r="AO64" s="1">
        <v>0</v>
      </c>
      <c r="AP64" s="61">
        <f t="shared" si="14"/>
        <v>0</v>
      </c>
      <c r="AQ64" s="61">
        <v>0</v>
      </c>
      <c r="AR64" s="76">
        <v>0</v>
      </c>
      <c r="AS64" s="76">
        <f t="shared" si="15"/>
        <v>0</v>
      </c>
      <c r="AT64" s="69" t="str">
        <f t="shared" si="16"/>
        <v>OK</v>
      </c>
      <c r="AU64" s="77">
        <f t="shared" si="17"/>
        <v>1</v>
      </c>
      <c r="AV64" s="61" t="str">
        <f t="shared" si="18"/>
        <v>Sem mapa/sem consumo automático</v>
      </c>
      <c r="AW64" s="70"/>
      <c r="AX64" s="70">
        <v>0</v>
      </c>
      <c r="AY64" s="71" t="str">
        <f t="shared" si="19"/>
        <v>NÃO MAPEADO</v>
      </c>
      <c r="AZ64" s="70"/>
      <c r="BA64" s="71" t="str">
        <f t="shared" si="20"/>
        <v/>
      </c>
      <c r="BB64" s="70" t="str">
        <f t="shared" si="21"/>
        <v>Verificar cadastro</v>
      </c>
      <c r="BC64" s="78">
        <v>0</v>
      </c>
      <c r="BD64" s="78">
        <f t="shared" si="22"/>
        <v>0</v>
      </c>
      <c r="BE64" s="78">
        <v>0</v>
      </c>
      <c r="BF64">
        <v>0</v>
      </c>
      <c r="BG64">
        <v>0</v>
      </c>
      <c r="BH64">
        <v>0</v>
      </c>
      <c r="BJ64">
        <v>0</v>
      </c>
      <c r="BK64" s="103"/>
    </row>
    <row r="65" spans="1:63" ht="30" x14ac:dyDescent="0.25">
      <c r="A65" s="8" t="s">
        <v>229</v>
      </c>
      <c r="B65" s="8">
        <v>100.98</v>
      </c>
      <c r="C65" s="8">
        <v>100.98</v>
      </c>
      <c r="D65" s="8">
        <v>15338</v>
      </c>
      <c r="E65" s="8" t="s">
        <v>115</v>
      </c>
      <c r="F65" s="8" t="s">
        <v>221</v>
      </c>
      <c r="G65" s="8" t="s">
        <v>229</v>
      </c>
      <c r="H65" s="8">
        <v>1</v>
      </c>
      <c r="I65" s="9">
        <v>0</v>
      </c>
      <c r="J65" s="10">
        <f>REMESSAS!W66</f>
        <v>0</v>
      </c>
      <c r="K65" s="11">
        <f t="shared" si="1"/>
        <v>1</v>
      </c>
      <c r="L65" s="11">
        <f t="shared" si="2"/>
        <v>0</v>
      </c>
      <c r="M65" s="11">
        <f t="shared" si="3"/>
        <v>-1</v>
      </c>
      <c r="N65" s="11">
        <v>0</v>
      </c>
      <c r="O65" s="76">
        <f>IF($A65="","",IFERROR(SUMIF(Consumo_Joists!$A:$A,$A65,Consumo_Joists!$P:$P),0)+IFERROR(SUMIF(Consumo_Quadrantes!$A:$A,$A65,Consumo_Quadrantes!$F:$F),0))</f>
        <v>0</v>
      </c>
      <c r="P65" s="76">
        <v>0</v>
      </c>
      <c r="Q65" s="76"/>
      <c r="R65" s="76"/>
      <c r="S65" s="3">
        <f t="shared" si="4"/>
        <v>0</v>
      </c>
      <c r="T65" s="1" t="str">
        <f t="shared" si="5"/>
        <v>Crítico</v>
      </c>
      <c r="U65" s="1" t="s">
        <v>498</v>
      </c>
      <c r="V65" s="1" t="s">
        <v>80</v>
      </c>
      <c r="W65" s="1" t="s">
        <v>499</v>
      </c>
      <c r="X65" s="2">
        <f t="shared" si="6"/>
        <v>1</v>
      </c>
      <c r="Y65" s="1" t="str">
        <f t="shared" si="7"/>
        <v>Enviar se houver espaço</v>
      </c>
      <c r="Z65" s="1" t="str">
        <f t="shared" si="8"/>
        <v>OK</v>
      </c>
      <c r="AA65" s="11">
        <f t="shared" si="9"/>
        <v>0.2</v>
      </c>
      <c r="AB65" s="11">
        <f t="shared" si="10"/>
        <v>0.2</v>
      </c>
      <c r="AC65" s="1"/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76">
        <v>0</v>
      </c>
      <c r="AJ65" s="76">
        <f t="shared" si="11"/>
        <v>0</v>
      </c>
      <c r="AK65" s="1">
        <v>0</v>
      </c>
      <c r="AL65" s="1">
        <v>0</v>
      </c>
      <c r="AM65" s="1" t="str">
        <f t="shared" si="12"/>
        <v/>
      </c>
      <c r="AN65" s="1">
        <f t="shared" si="13"/>
        <v>0</v>
      </c>
      <c r="AO65" s="1">
        <v>0</v>
      </c>
      <c r="AP65" s="61">
        <f t="shared" si="14"/>
        <v>0</v>
      </c>
      <c r="AQ65" s="61">
        <v>0</v>
      </c>
      <c r="AR65" s="76">
        <v>0</v>
      </c>
      <c r="AS65" s="76">
        <f t="shared" si="15"/>
        <v>0</v>
      </c>
      <c r="AT65" s="69" t="str">
        <f t="shared" si="16"/>
        <v>OK</v>
      </c>
      <c r="AU65" s="77">
        <f t="shared" si="17"/>
        <v>1</v>
      </c>
      <c r="AV65" s="61" t="str">
        <f t="shared" si="18"/>
        <v>Sem mapa/sem consumo automático</v>
      </c>
      <c r="AW65" s="70"/>
      <c r="AX65" s="70">
        <v>0</v>
      </c>
      <c r="AY65" s="71" t="str">
        <f t="shared" si="19"/>
        <v>NÃO MAPEADO</v>
      </c>
      <c r="AZ65" s="70"/>
      <c r="BA65" s="71" t="str">
        <f t="shared" si="20"/>
        <v/>
      </c>
      <c r="BB65" s="70" t="str">
        <f t="shared" si="21"/>
        <v>Verificar cadastro</v>
      </c>
      <c r="BC65" s="78">
        <v>0</v>
      </c>
      <c r="BD65" s="78">
        <f t="shared" si="22"/>
        <v>0</v>
      </c>
      <c r="BE65" s="78">
        <v>0</v>
      </c>
      <c r="BF65">
        <v>0</v>
      </c>
      <c r="BG65">
        <v>0</v>
      </c>
      <c r="BH65">
        <v>0</v>
      </c>
      <c r="BJ65">
        <v>0</v>
      </c>
      <c r="BK65" s="103"/>
    </row>
    <row r="66" spans="1:63" ht="30" x14ac:dyDescent="0.25">
      <c r="A66" s="8" t="s">
        <v>231</v>
      </c>
      <c r="B66" s="8">
        <v>0.88</v>
      </c>
      <c r="C66" s="8">
        <v>285.75</v>
      </c>
      <c r="D66" s="8">
        <v>410</v>
      </c>
      <c r="E66" s="8" t="s">
        <v>118</v>
      </c>
      <c r="F66" s="8" t="s">
        <v>230</v>
      </c>
      <c r="G66" s="8" t="s">
        <v>231</v>
      </c>
      <c r="H66" s="8">
        <v>324</v>
      </c>
      <c r="I66" s="12">
        <v>0</v>
      </c>
      <c r="J66" s="10">
        <f>REMESSAS!W67</f>
        <v>240</v>
      </c>
      <c r="K66" s="11">
        <f t="shared" si="1"/>
        <v>84</v>
      </c>
      <c r="L66" s="11">
        <f t="shared" si="2"/>
        <v>0</v>
      </c>
      <c r="M66" s="11">
        <f t="shared" si="3"/>
        <v>-84</v>
      </c>
      <c r="N66" s="11">
        <v>0</v>
      </c>
      <c r="O66" s="76">
        <f>IF($A66="","",IFERROR(SUMIF(Consumo_Joists!$A:$A,$A66,Consumo_Joists!$P:$P),0)+IFERROR(SUMIF(Consumo_Quadrantes!$A:$A,$A66,Consumo_Quadrantes!$F:$F),0))</f>
        <v>0</v>
      </c>
      <c r="P66" s="76">
        <v>240</v>
      </c>
      <c r="Q66" s="76"/>
      <c r="R66" s="76"/>
      <c r="S66" s="3">
        <f t="shared" si="4"/>
        <v>0.7407407407407407</v>
      </c>
      <c r="T66" s="1" t="str">
        <f t="shared" si="5"/>
        <v>Recebimento Parcial</v>
      </c>
      <c r="U66" s="1" t="s">
        <v>498</v>
      </c>
      <c r="V66" s="1" t="s">
        <v>80</v>
      </c>
      <c r="W66" s="1" t="s">
        <v>499</v>
      </c>
      <c r="X66" s="2">
        <f t="shared" si="6"/>
        <v>0</v>
      </c>
      <c r="Y66" s="1" t="str">
        <f t="shared" si="7"/>
        <v>Monitorar</v>
      </c>
      <c r="Z66" s="1" t="str">
        <f t="shared" si="8"/>
        <v>OK</v>
      </c>
      <c r="AA66" s="11">
        <f t="shared" si="9"/>
        <v>64.8</v>
      </c>
      <c r="AB66" s="11">
        <f t="shared" si="10"/>
        <v>16.8</v>
      </c>
      <c r="AC66" s="1"/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76">
        <v>0</v>
      </c>
      <c r="AJ66" s="76">
        <f t="shared" si="11"/>
        <v>240</v>
      </c>
      <c r="AK66" s="1">
        <v>0</v>
      </c>
      <c r="AL66" s="1">
        <v>0</v>
      </c>
      <c r="AM66" s="1" t="str">
        <f t="shared" si="12"/>
        <v/>
      </c>
      <c r="AN66" s="1">
        <f t="shared" si="13"/>
        <v>0</v>
      </c>
      <c r="AO66" s="1">
        <v>0</v>
      </c>
      <c r="AP66" s="61">
        <f t="shared" si="14"/>
        <v>0</v>
      </c>
      <c r="AQ66" s="61">
        <v>0</v>
      </c>
      <c r="AR66" s="76">
        <v>0</v>
      </c>
      <c r="AS66" s="76">
        <f t="shared" si="15"/>
        <v>240</v>
      </c>
      <c r="AT66" s="69" t="str">
        <f t="shared" si="16"/>
        <v>OK</v>
      </c>
      <c r="AU66" s="77">
        <f t="shared" si="17"/>
        <v>84</v>
      </c>
      <c r="AV66" s="61" t="str">
        <f t="shared" si="18"/>
        <v>Sem mapa/sem consumo automático</v>
      </c>
      <c r="AW66" s="70"/>
      <c r="AX66" s="70">
        <v>0</v>
      </c>
      <c r="AY66" s="71" t="str">
        <f t="shared" si="19"/>
        <v>NÃO MAPEADO</v>
      </c>
      <c r="AZ66" s="70"/>
      <c r="BA66" s="71" t="str">
        <f t="shared" si="20"/>
        <v/>
      </c>
      <c r="BB66" s="70" t="str">
        <f t="shared" si="21"/>
        <v>Verificar cadastro</v>
      </c>
      <c r="BC66" s="78">
        <v>0</v>
      </c>
      <c r="BD66" s="78">
        <f t="shared" si="22"/>
        <v>0</v>
      </c>
      <c r="BE66" s="78">
        <v>0</v>
      </c>
      <c r="BF66">
        <v>0</v>
      </c>
      <c r="BG66">
        <v>0</v>
      </c>
      <c r="BH66">
        <v>0</v>
      </c>
      <c r="BJ66">
        <v>0</v>
      </c>
      <c r="BK66" s="103"/>
    </row>
    <row r="67" spans="1:63" ht="30" x14ac:dyDescent="0.25">
      <c r="A67" s="8" t="s">
        <v>232</v>
      </c>
      <c r="B67" s="8">
        <v>1.5</v>
      </c>
      <c r="C67" s="8">
        <v>161.75</v>
      </c>
      <c r="D67" s="8">
        <v>660</v>
      </c>
      <c r="E67" s="8" t="s">
        <v>118</v>
      </c>
      <c r="F67" s="8" t="s">
        <v>230</v>
      </c>
      <c r="G67" s="8" t="s">
        <v>232</v>
      </c>
      <c r="H67" s="8">
        <v>108</v>
      </c>
      <c r="I67" s="9">
        <v>0</v>
      </c>
      <c r="J67" s="10">
        <f>REMESSAS!W68</f>
        <v>105</v>
      </c>
      <c r="K67" s="11">
        <f t="shared" ref="K67:K131" si="25">MAX(H67-J67,0)</f>
        <v>3</v>
      </c>
      <c r="L67" s="11">
        <f t="shared" ref="L67:L131" si="26">MAX(J67-H67,0)</f>
        <v>0</v>
      </c>
      <c r="M67" s="11">
        <f t="shared" ref="M67:M131" si="27">J67-H67</f>
        <v>-3</v>
      </c>
      <c r="N67" s="11">
        <v>0</v>
      </c>
      <c r="O67" s="76">
        <f>IF($A67="","",IFERROR(SUMIF(Consumo_Joists!$A:$A,$A67,Consumo_Joists!$P:$P),0)+IFERROR(SUMIF(Consumo_Quadrantes!$A:$A,$A67,Consumo_Quadrantes!$F:$F),0))</f>
        <v>0</v>
      </c>
      <c r="P67" s="76">
        <v>105</v>
      </c>
      <c r="Q67" s="76"/>
      <c r="R67" s="76"/>
      <c r="S67" s="3">
        <f t="shared" ref="S67:S131" si="28">IFERROR(J67/H67,0)</f>
        <v>0.97222222222222221</v>
      </c>
      <c r="T67" s="1" t="str">
        <f t="shared" ref="T67:T131" si="29">IF(H67=0,"Sem planejamento",IF(J67=0,"Crítico",IF(J67&lt;H67,"Recebimento Parcial",IF(J67=H67,"Atendido","Excedente"))))</f>
        <v>Recebimento Parcial</v>
      </c>
      <c r="U67" s="1" t="s">
        <v>498</v>
      </c>
      <c r="V67" s="1" t="s">
        <v>80</v>
      </c>
      <c r="W67" s="1" t="s">
        <v>499</v>
      </c>
      <c r="X67" s="2">
        <f t="shared" ref="X67:X131" si="30">IF(K67&lt;=0,0,IF(V67="P1 - Estrutural",ROUNDUP(K67,0),IF(V67="P2 - Pré-montagem",ROUNDUP(K67,0),IF(S67&lt;0.5,ROUNDUP(K67*0.5,0),0))))</f>
        <v>0</v>
      </c>
      <c r="Y67" s="1" t="str">
        <f t="shared" ref="Y67:Y131" si="31">IF(X67=0,"Monitorar",IF(V67="P1 - Estrutural","Enviar nesta semana",IF(V67="P2 - Pré-montagem","Programar pré-montagem/embarque","Enviar se houver espaço")))</f>
        <v>Monitorar</v>
      </c>
      <c r="Z67" s="1" t="str">
        <f t="shared" ref="Z67:Z131" si="32">IF(AND(V67="P1 - Estrutural",K67&gt;0),"🔴 ALERTA P1",IF(AND(V67="P2 - Pré-montagem",K67&gt;0),"🟡 ALERTA P2",IF(AND(V67="P3 - Complementar",X67&gt;0),"🟢 PLANEJAR","OK")))</f>
        <v>OK</v>
      </c>
      <c r="AA67" s="11">
        <f t="shared" ref="AA67:AA131" si="33">IFERROR(H67/5,0)</f>
        <v>21.6</v>
      </c>
      <c r="AB67" s="11">
        <f t="shared" ref="AB67:AB131" si="34">IFERROR(MAX(K67/5,0),0)</f>
        <v>0.6</v>
      </c>
      <c r="AC67" s="1"/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76">
        <v>0</v>
      </c>
      <c r="AJ67" s="76">
        <f t="shared" ref="AJ67:AJ131" si="35">MAX($J67-$AI67,0)</f>
        <v>105</v>
      </c>
      <c r="AK67" s="1">
        <v>0</v>
      </c>
      <c r="AL67" s="1">
        <v>0</v>
      </c>
      <c r="AM67" s="1" t="str">
        <f t="shared" ref="AM67:AM131" si="36">IF($AI67&gt;0,IF($AJ67&lt;0,"CRÍTICO",IF($AJ67&lt;=$AK67,"ATENÇÃO","OK")),"")</f>
        <v/>
      </c>
      <c r="AN67" s="1">
        <f t="shared" ref="AN67:AN131" si="37">IF($AI67&gt;0,MAX($AK67-$AJ67,0),0)</f>
        <v>0</v>
      </c>
      <c r="AO67" s="1">
        <v>0</v>
      </c>
      <c r="AP67" s="61">
        <f t="shared" ref="AP67:AP131" si="38">$AW67</f>
        <v>0</v>
      </c>
      <c r="AQ67" s="61">
        <v>0</v>
      </c>
      <c r="AR67" s="76">
        <v>0</v>
      </c>
      <c r="AS67" s="76">
        <f t="shared" ref="AS67:AS131" si="39">MAX($J67-$O67,0)</f>
        <v>105</v>
      </c>
      <c r="AT67" s="69" t="str">
        <f t="shared" ref="AT67:AT131" si="40">IF($O67=0,"OK",IF($J67-$O67&lt;0,"CRÍTICO",IF($J67-$O67&lt;($H67*0.1),"ATENÇÃO","OK")))</f>
        <v>OK</v>
      </c>
      <c r="AU67" s="77">
        <f t="shared" ref="AU67:AU131" si="41">MAX($O67+$H67-$J67,0)</f>
        <v>3</v>
      </c>
      <c r="AV67" s="61" t="str">
        <f t="shared" ref="AV67:AV131" si="42">IF($AI67&gt;0,"Fluxo JOIST: apontamento x consumo por item",IF($AR67&gt;0,"Fluxo RUA: SIM no apontamento x mapa de ruas",IF($AX67&gt;1,"TAG comum em mais de uma rua: sem sinalização automática",IF($AX67=0,"Sem mapa/sem consumo automático","Aguardando baixa"))))</f>
        <v>Sem mapa/sem consumo automático</v>
      </c>
      <c r="AW67" s="70"/>
      <c r="AX67" s="70">
        <v>0</v>
      </c>
      <c r="AY67" s="71" t="str">
        <f t="shared" ref="AY67:AY131" si="43">IF($AI67&gt;0,"BAIXA POR JOIST",IF($BD67&gt;0,"BAIXA POR RUA PROPORCIONAL",IF($AX67=0,"NÃO MAPEADO","MAPEADO")))</f>
        <v>NÃO MAPEADO</v>
      </c>
      <c r="AZ67" s="70"/>
      <c r="BA67" s="71" t="str">
        <f t="shared" ref="BA67:BA131" si="44">IF($AR67&gt;0,"BAIXADO POR RUA",IF($BD67&gt;0,"AGUARDANDO RUA=SIM",""))</f>
        <v/>
      </c>
      <c r="BB67" s="70" t="str">
        <f t="shared" ref="BB67:BB131" si="45">IF($AX67&gt;1,"TAG comum: baixa parcial conforme QTD_NA_RUA no Mapa_Ruas_Estrutural",IF($AX67=1,"TAG particular: baixa conforme rua",IF($AI67&gt;0,"Baixa por apontamento de JOIST","Verificar cadastro")))</f>
        <v>Verificar cadastro</v>
      </c>
      <c r="BC67" s="78">
        <v>0</v>
      </c>
      <c r="BD67" s="78">
        <f t="shared" ref="BD67:BD131" si="46">$AR67</f>
        <v>0</v>
      </c>
      <c r="BE67" s="78">
        <v>0</v>
      </c>
      <c r="BF67">
        <v>0</v>
      </c>
      <c r="BG67">
        <v>0</v>
      </c>
      <c r="BH67">
        <v>0</v>
      </c>
      <c r="BJ67">
        <v>0</v>
      </c>
      <c r="BK67" s="103"/>
    </row>
    <row r="68" spans="1:63" ht="30" x14ac:dyDescent="0.25">
      <c r="A68" s="8" t="s">
        <v>233</v>
      </c>
      <c r="B68" s="8">
        <v>1.23</v>
      </c>
      <c r="C68" s="8">
        <v>132.49</v>
      </c>
      <c r="D68" s="8">
        <v>550</v>
      </c>
      <c r="E68" s="8" t="s">
        <v>118</v>
      </c>
      <c r="F68" s="8" t="s">
        <v>230</v>
      </c>
      <c r="G68" s="8" t="s">
        <v>233</v>
      </c>
      <c r="H68" s="8">
        <v>108</v>
      </c>
      <c r="I68" s="12">
        <v>0</v>
      </c>
      <c r="J68" s="10">
        <f>REMESSAS!W69</f>
        <v>108</v>
      </c>
      <c r="K68" s="11">
        <f t="shared" si="25"/>
        <v>0</v>
      </c>
      <c r="L68" s="11">
        <f t="shared" si="26"/>
        <v>0</v>
      </c>
      <c r="M68" s="11">
        <f t="shared" si="27"/>
        <v>0</v>
      </c>
      <c r="N68" s="11">
        <v>0</v>
      </c>
      <c r="O68" s="76">
        <f>IF($A68="","",IFERROR(SUMIF(Consumo_Joists!$A:$A,$A68,Consumo_Joists!$P:$P),0)+IFERROR(SUMIF(Consumo_Quadrantes!$A:$A,$A68,Consumo_Quadrantes!$F:$F),0))</f>
        <v>0</v>
      </c>
      <c r="P68" s="76">
        <v>108</v>
      </c>
      <c r="Q68" s="76"/>
      <c r="R68" s="76"/>
      <c r="S68" s="3">
        <f t="shared" si="28"/>
        <v>1</v>
      </c>
      <c r="T68" s="1" t="str">
        <f t="shared" si="29"/>
        <v>Atendido</v>
      </c>
      <c r="U68" s="1" t="s">
        <v>498</v>
      </c>
      <c r="V68" s="1" t="s">
        <v>80</v>
      </c>
      <c r="W68" s="1" t="s">
        <v>499</v>
      </c>
      <c r="X68" s="2">
        <f t="shared" si="30"/>
        <v>0</v>
      </c>
      <c r="Y68" s="1" t="str">
        <f t="shared" si="31"/>
        <v>Monitorar</v>
      </c>
      <c r="Z68" s="1" t="str">
        <f t="shared" si="32"/>
        <v>OK</v>
      </c>
      <c r="AA68" s="11">
        <f t="shared" si="33"/>
        <v>21.6</v>
      </c>
      <c r="AB68" s="11">
        <f t="shared" si="34"/>
        <v>0</v>
      </c>
      <c r="AC68" s="1"/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76">
        <v>0</v>
      </c>
      <c r="AJ68" s="76">
        <f t="shared" si="35"/>
        <v>108</v>
      </c>
      <c r="AK68" s="1">
        <v>0</v>
      </c>
      <c r="AL68" s="1">
        <v>0</v>
      </c>
      <c r="AM68" s="1" t="str">
        <f t="shared" si="36"/>
        <v/>
      </c>
      <c r="AN68" s="1">
        <f t="shared" si="37"/>
        <v>0</v>
      </c>
      <c r="AO68" s="1">
        <v>0</v>
      </c>
      <c r="AP68" s="61">
        <f t="shared" si="38"/>
        <v>0</v>
      </c>
      <c r="AQ68" s="61">
        <v>0</v>
      </c>
      <c r="AR68" s="76">
        <v>0</v>
      </c>
      <c r="AS68" s="76">
        <f t="shared" si="39"/>
        <v>108</v>
      </c>
      <c r="AT68" s="69" t="str">
        <f t="shared" si="40"/>
        <v>OK</v>
      </c>
      <c r="AU68" s="77">
        <f t="shared" si="41"/>
        <v>0</v>
      </c>
      <c r="AV68" s="61" t="str">
        <f t="shared" si="42"/>
        <v>Sem mapa/sem consumo automático</v>
      </c>
      <c r="AW68" s="70"/>
      <c r="AX68" s="70">
        <v>0</v>
      </c>
      <c r="AY68" s="71" t="str">
        <f t="shared" si="43"/>
        <v>NÃO MAPEADO</v>
      </c>
      <c r="AZ68" s="70"/>
      <c r="BA68" s="71" t="str">
        <f t="shared" si="44"/>
        <v/>
      </c>
      <c r="BB68" s="70" t="str">
        <f t="shared" si="45"/>
        <v>Verificar cadastro</v>
      </c>
      <c r="BC68" s="78">
        <v>0</v>
      </c>
      <c r="BD68" s="78">
        <f t="shared" si="46"/>
        <v>0</v>
      </c>
      <c r="BE68" s="78">
        <v>0</v>
      </c>
      <c r="BF68">
        <v>0</v>
      </c>
      <c r="BG68">
        <v>0</v>
      </c>
      <c r="BH68">
        <v>0</v>
      </c>
      <c r="BJ68">
        <v>0</v>
      </c>
      <c r="BK68" s="103"/>
    </row>
    <row r="69" spans="1:63" ht="30" x14ac:dyDescent="0.25">
      <c r="A69" s="8" t="s">
        <v>234</v>
      </c>
      <c r="B69" s="8">
        <v>0.96</v>
      </c>
      <c r="C69" s="8">
        <v>103.23</v>
      </c>
      <c r="D69" s="8">
        <v>440</v>
      </c>
      <c r="E69" s="8" t="s">
        <v>118</v>
      </c>
      <c r="F69" s="8" t="s">
        <v>230</v>
      </c>
      <c r="G69" s="8" t="s">
        <v>234</v>
      </c>
      <c r="H69" s="8">
        <v>108</v>
      </c>
      <c r="I69" s="9">
        <v>0</v>
      </c>
      <c r="J69" s="10">
        <f>REMESSAS!W70</f>
        <v>108</v>
      </c>
      <c r="K69" s="11">
        <f t="shared" si="25"/>
        <v>0</v>
      </c>
      <c r="L69" s="11">
        <f t="shared" si="26"/>
        <v>0</v>
      </c>
      <c r="M69" s="11">
        <f t="shared" si="27"/>
        <v>0</v>
      </c>
      <c r="N69" s="11">
        <v>0</v>
      </c>
      <c r="O69" s="76">
        <f>IF($A69="","",IFERROR(SUMIF(Consumo_Joists!$A:$A,$A69,Consumo_Joists!$P:$P),0)+IFERROR(SUMIF(Consumo_Quadrantes!$A:$A,$A69,Consumo_Quadrantes!$F:$F),0))</f>
        <v>0</v>
      </c>
      <c r="P69" s="76">
        <v>108</v>
      </c>
      <c r="Q69" s="76"/>
      <c r="R69" s="76"/>
      <c r="S69" s="3">
        <f t="shared" si="28"/>
        <v>1</v>
      </c>
      <c r="T69" s="1" t="str">
        <f t="shared" si="29"/>
        <v>Atendido</v>
      </c>
      <c r="U69" s="1" t="s">
        <v>498</v>
      </c>
      <c r="V69" s="1" t="s">
        <v>80</v>
      </c>
      <c r="W69" s="1" t="s">
        <v>499</v>
      </c>
      <c r="X69" s="2">
        <f t="shared" si="30"/>
        <v>0</v>
      </c>
      <c r="Y69" s="1" t="str">
        <f t="shared" si="31"/>
        <v>Monitorar</v>
      </c>
      <c r="Z69" s="1" t="str">
        <f t="shared" si="32"/>
        <v>OK</v>
      </c>
      <c r="AA69" s="11">
        <f t="shared" si="33"/>
        <v>21.6</v>
      </c>
      <c r="AB69" s="11">
        <f t="shared" si="34"/>
        <v>0</v>
      </c>
      <c r="AC69" s="1"/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76">
        <v>0</v>
      </c>
      <c r="AJ69" s="76">
        <f t="shared" si="35"/>
        <v>108</v>
      </c>
      <c r="AK69" s="1">
        <v>0</v>
      </c>
      <c r="AL69" s="1">
        <v>0</v>
      </c>
      <c r="AM69" s="1" t="str">
        <f t="shared" si="36"/>
        <v/>
      </c>
      <c r="AN69" s="1">
        <f t="shared" si="37"/>
        <v>0</v>
      </c>
      <c r="AO69" s="1">
        <v>0</v>
      </c>
      <c r="AP69" s="61">
        <f t="shared" si="38"/>
        <v>0</v>
      </c>
      <c r="AQ69" s="61">
        <v>0</v>
      </c>
      <c r="AR69" s="76">
        <v>0</v>
      </c>
      <c r="AS69" s="76">
        <f t="shared" si="39"/>
        <v>108</v>
      </c>
      <c r="AT69" s="69" t="str">
        <f t="shared" si="40"/>
        <v>OK</v>
      </c>
      <c r="AU69" s="77">
        <f t="shared" si="41"/>
        <v>0</v>
      </c>
      <c r="AV69" s="61" t="str">
        <f t="shared" si="42"/>
        <v>Sem mapa/sem consumo automático</v>
      </c>
      <c r="AW69" s="70"/>
      <c r="AX69" s="70">
        <v>0</v>
      </c>
      <c r="AY69" s="71" t="str">
        <f t="shared" si="43"/>
        <v>NÃO MAPEADO</v>
      </c>
      <c r="AZ69" s="70"/>
      <c r="BA69" s="71" t="str">
        <f t="shared" si="44"/>
        <v/>
      </c>
      <c r="BB69" s="70" t="str">
        <f t="shared" si="45"/>
        <v>Verificar cadastro</v>
      </c>
      <c r="BC69" s="78">
        <v>0</v>
      </c>
      <c r="BD69" s="78">
        <f t="shared" si="46"/>
        <v>0</v>
      </c>
      <c r="BE69" s="78">
        <v>0</v>
      </c>
      <c r="BF69">
        <v>0</v>
      </c>
      <c r="BG69">
        <v>0</v>
      </c>
      <c r="BH69">
        <v>0</v>
      </c>
      <c r="BJ69">
        <v>0</v>
      </c>
      <c r="BK69" s="103"/>
    </row>
    <row r="70" spans="1:63" ht="30" x14ac:dyDescent="0.25">
      <c r="A70" s="8" t="s">
        <v>235</v>
      </c>
      <c r="B70" s="8">
        <v>0.55000000000000004</v>
      </c>
      <c r="C70" s="8">
        <v>92.31</v>
      </c>
      <c r="D70" s="8">
        <v>275</v>
      </c>
      <c r="E70" s="8" t="s">
        <v>118</v>
      </c>
      <c r="F70" s="8" t="s">
        <v>230</v>
      </c>
      <c r="G70" s="8" t="s">
        <v>235</v>
      </c>
      <c r="H70" s="8">
        <v>168</v>
      </c>
      <c r="I70" s="12">
        <v>0</v>
      </c>
      <c r="J70" s="10">
        <f>REMESSAS!W71</f>
        <v>100</v>
      </c>
      <c r="K70" s="11">
        <f t="shared" si="25"/>
        <v>68</v>
      </c>
      <c r="L70" s="11">
        <f t="shared" si="26"/>
        <v>0</v>
      </c>
      <c r="M70" s="11">
        <f t="shared" si="27"/>
        <v>-68</v>
      </c>
      <c r="N70" s="11">
        <v>0</v>
      </c>
      <c r="O70" s="76">
        <f>IF($A70="","",IFERROR(SUMIF(Consumo_Joists!$A:$A,$A70,Consumo_Joists!$P:$P),0)+IFERROR(SUMIF(Consumo_Quadrantes!$A:$A,$A70,Consumo_Quadrantes!$F:$F),0))</f>
        <v>0</v>
      </c>
      <c r="P70" s="76">
        <v>100</v>
      </c>
      <c r="Q70" s="76"/>
      <c r="R70" s="76"/>
      <c r="S70" s="3">
        <f t="shared" si="28"/>
        <v>0.59523809523809523</v>
      </c>
      <c r="T70" s="1" t="str">
        <f t="shared" si="29"/>
        <v>Recebimento Parcial</v>
      </c>
      <c r="U70" s="1" t="s">
        <v>498</v>
      </c>
      <c r="V70" s="1" t="s">
        <v>80</v>
      </c>
      <c r="W70" s="1" t="s">
        <v>499</v>
      </c>
      <c r="X70" s="2">
        <f t="shared" si="30"/>
        <v>0</v>
      </c>
      <c r="Y70" s="1" t="str">
        <f t="shared" si="31"/>
        <v>Monitorar</v>
      </c>
      <c r="Z70" s="1" t="str">
        <f t="shared" si="32"/>
        <v>OK</v>
      </c>
      <c r="AA70" s="11">
        <f t="shared" si="33"/>
        <v>33.6</v>
      </c>
      <c r="AB70" s="11">
        <f t="shared" si="34"/>
        <v>13.6</v>
      </c>
      <c r="AC70" s="1"/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76">
        <v>0</v>
      </c>
      <c r="AJ70" s="76">
        <f t="shared" si="35"/>
        <v>100</v>
      </c>
      <c r="AK70" s="1">
        <v>0</v>
      </c>
      <c r="AL70" s="1">
        <v>0</v>
      </c>
      <c r="AM70" s="1" t="str">
        <f t="shared" si="36"/>
        <v/>
      </c>
      <c r="AN70" s="1">
        <f t="shared" si="37"/>
        <v>0</v>
      </c>
      <c r="AO70" s="1">
        <v>0</v>
      </c>
      <c r="AP70" s="61">
        <f t="shared" si="38"/>
        <v>0</v>
      </c>
      <c r="AQ70" s="61">
        <v>0</v>
      </c>
      <c r="AR70" s="76">
        <v>0</v>
      </c>
      <c r="AS70" s="76">
        <f t="shared" si="39"/>
        <v>100</v>
      </c>
      <c r="AT70" s="69" t="str">
        <f t="shared" si="40"/>
        <v>OK</v>
      </c>
      <c r="AU70" s="77">
        <f t="shared" si="41"/>
        <v>68</v>
      </c>
      <c r="AV70" s="61" t="str">
        <f t="shared" si="42"/>
        <v>Sem mapa/sem consumo automático</v>
      </c>
      <c r="AW70" s="70"/>
      <c r="AX70" s="70">
        <v>0</v>
      </c>
      <c r="AY70" s="71" t="str">
        <f t="shared" si="43"/>
        <v>NÃO MAPEADO</v>
      </c>
      <c r="AZ70" s="70"/>
      <c r="BA70" s="71" t="str">
        <f t="shared" si="44"/>
        <v/>
      </c>
      <c r="BB70" s="70" t="str">
        <f t="shared" si="45"/>
        <v>Verificar cadastro</v>
      </c>
      <c r="BC70" s="78">
        <v>0</v>
      </c>
      <c r="BD70" s="78">
        <f t="shared" si="46"/>
        <v>0</v>
      </c>
      <c r="BE70" s="78">
        <v>0</v>
      </c>
      <c r="BF70">
        <v>0</v>
      </c>
      <c r="BG70">
        <v>0</v>
      </c>
      <c r="BH70">
        <v>0</v>
      </c>
      <c r="BJ70">
        <v>0</v>
      </c>
      <c r="BK70" s="103"/>
    </row>
    <row r="71" spans="1:63" ht="30" x14ac:dyDescent="0.25">
      <c r="A71" s="8" t="s">
        <v>236</v>
      </c>
      <c r="B71" s="8">
        <v>1.58</v>
      </c>
      <c r="C71" s="8">
        <v>1361.91</v>
      </c>
      <c r="D71" s="8">
        <v>640</v>
      </c>
      <c r="E71" s="8" t="s">
        <v>118</v>
      </c>
      <c r="F71" s="8" t="s">
        <v>230</v>
      </c>
      <c r="G71" s="8" t="s">
        <v>236</v>
      </c>
      <c r="H71" s="8">
        <v>864</v>
      </c>
      <c r="I71" s="9">
        <v>0</v>
      </c>
      <c r="J71" s="10">
        <f>REMESSAS!W72</f>
        <v>464</v>
      </c>
      <c r="K71" s="11">
        <f t="shared" si="25"/>
        <v>400</v>
      </c>
      <c r="L71" s="11">
        <f t="shared" si="26"/>
        <v>0</v>
      </c>
      <c r="M71" s="11">
        <f t="shared" si="27"/>
        <v>-400</v>
      </c>
      <c r="N71" s="11">
        <v>0</v>
      </c>
      <c r="O71" s="76">
        <f>IF($A71="","",IFERROR(SUMIF(Consumo_Joists!$A:$A,$A71,Consumo_Joists!$P:$P),0)+IFERROR(SUMIF(Consumo_Quadrantes!$A:$A,$A71,Consumo_Quadrantes!$F:$F),0))</f>
        <v>0</v>
      </c>
      <c r="P71" s="76">
        <v>464</v>
      </c>
      <c r="Q71" s="76"/>
      <c r="R71" s="76"/>
      <c r="S71" s="3">
        <f t="shared" si="28"/>
        <v>0.53703703703703709</v>
      </c>
      <c r="T71" s="1" t="str">
        <f t="shared" si="29"/>
        <v>Recebimento Parcial</v>
      </c>
      <c r="U71" s="1" t="s">
        <v>498</v>
      </c>
      <c r="V71" s="1" t="s">
        <v>80</v>
      </c>
      <c r="W71" s="1" t="s">
        <v>499</v>
      </c>
      <c r="X71" s="2">
        <f t="shared" si="30"/>
        <v>0</v>
      </c>
      <c r="Y71" s="1" t="str">
        <f t="shared" si="31"/>
        <v>Monitorar</v>
      </c>
      <c r="Z71" s="1" t="str">
        <f t="shared" si="32"/>
        <v>OK</v>
      </c>
      <c r="AA71" s="11">
        <f t="shared" si="33"/>
        <v>172.8</v>
      </c>
      <c r="AB71" s="11">
        <f t="shared" si="34"/>
        <v>80</v>
      </c>
      <c r="AC71" s="1"/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76">
        <v>0</v>
      </c>
      <c r="AJ71" s="76">
        <f t="shared" si="35"/>
        <v>464</v>
      </c>
      <c r="AK71" s="1">
        <v>0</v>
      </c>
      <c r="AL71" s="1">
        <v>0</v>
      </c>
      <c r="AM71" s="1" t="str">
        <f t="shared" si="36"/>
        <v/>
      </c>
      <c r="AN71" s="1">
        <f t="shared" si="37"/>
        <v>0</v>
      </c>
      <c r="AO71" s="1">
        <v>0</v>
      </c>
      <c r="AP71" s="61">
        <f t="shared" si="38"/>
        <v>0</v>
      </c>
      <c r="AQ71" s="61">
        <v>0</v>
      </c>
      <c r="AR71" s="76">
        <v>0</v>
      </c>
      <c r="AS71" s="76">
        <f t="shared" si="39"/>
        <v>464</v>
      </c>
      <c r="AT71" s="69" t="str">
        <f t="shared" si="40"/>
        <v>OK</v>
      </c>
      <c r="AU71" s="77">
        <f t="shared" si="41"/>
        <v>400</v>
      </c>
      <c r="AV71" s="61" t="str">
        <f t="shared" si="42"/>
        <v>Sem mapa/sem consumo automático</v>
      </c>
      <c r="AW71" s="70"/>
      <c r="AX71" s="70">
        <v>0</v>
      </c>
      <c r="AY71" s="71" t="str">
        <f t="shared" si="43"/>
        <v>NÃO MAPEADO</v>
      </c>
      <c r="AZ71" s="70"/>
      <c r="BA71" s="71" t="str">
        <f t="shared" si="44"/>
        <v/>
      </c>
      <c r="BB71" s="70" t="str">
        <f t="shared" si="45"/>
        <v>Verificar cadastro</v>
      </c>
      <c r="BC71" s="78">
        <v>0</v>
      </c>
      <c r="BD71" s="78">
        <f t="shared" si="46"/>
        <v>0</v>
      </c>
      <c r="BE71" s="78">
        <v>0</v>
      </c>
      <c r="BF71">
        <v>0</v>
      </c>
      <c r="BG71">
        <v>0</v>
      </c>
      <c r="BH71">
        <v>0</v>
      </c>
      <c r="BJ71">
        <v>0</v>
      </c>
      <c r="BK71" s="103"/>
    </row>
    <row r="72" spans="1:63" ht="30" x14ac:dyDescent="0.25">
      <c r="A72" s="8" t="s">
        <v>238</v>
      </c>
      <c r="B72" s="8">
        <v>1365.92</v>
      </c>
      <c r="C72" s="8">
        <v>49173.04</v>
      </c>
      <c r="D72" s="8">
        <v>988</v>
      </c>
      <c r="E72" s="8" t="s">
        <v>237</v>
      </c>
      <c r="F72" s="8" t="s">
        <v>185</v>
      </c>
      <c r="G72" s="8" t="s">
        <v>238</v>
      </c>
      <c r="H72" s="8">
        <v>36</v>
      </c>
      <c r="I72" s="12">
        <v>0</v>
      </c>
      <c r="J72" s="10">
        <f>REMESSAS!W73</f>
        <v>15</v>
      </c>
      <c r="K72" s="11">
        <f t="shared" si="25"/>
        <v>21</v>
      </c>
      <c r="L72" s="11">
        <f t="shared" si="26"/>
        <v>0</v>
      </c>
      <c r="M72" s="11">
        <f t="shared" si="27"/>
        <v>-21</v>
      </c>
      <c r="N72" s="11">
        <v>0</v>
      </c>
      <c r="O72" s="76">
        <f>IF($A72="","",IFERROR(SUMIF(Consumo_Joists!$A:$A,$A72,Consumo_Joists!$P:$P),0)+IFERROR(SUMIF(Consumo_Quadrantes!$A:$A,$A72,Consumo_Quadrantes!$F:$F),0))</f>
        <v>0</v>
      </c>
      <c r="P72" s="76">
        <v>15</v>
      </c>
      <c r="Q72" s="76"/>
      <c r="R72" s="76"/>
      <c r="S72" s="3">
        <f t="shared" si="28"/>
        <v>0.41666666666666669</v>
      </c>
      <c r="T72" s="1" t="str">
        <f t="shared" si="29"/>
        <v>Recebimento Parcial</v>
      </c>
      <c r="U72" s="1" t="s">
        <v>498</v>
      </c>
      <c r="V72" s="1" t="s">
        <v>80</v>
      </c>
      <c r="W72" s="1" t="s">
        <v>499</v>
      </c>
      <c r="X72" s="2">
        <f t="shared" si="30"/>
        <v>11</v>
      </c>
      <c r="Y72" s="1" t="str">
        <f t="shared" si="31"/>
        <v>Enviar se houver espaço</v>
      </c>
      <c r="Z72" s="1" t="str">
        <f t="shared" si="32"/>
        <v>OK</v>
      </c>
      <c r="AA72" s="11">
        <f t="shared" si="33"/>
        <v>7.2</v>
      </c>
      <c r="AB72" s="11">
        <f t="shared" si="34"/>
        <v>4.2</v>
      </c>
      <c r="AC72" s="1"/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76">
        <v>0</v>
      </c>
      <c r="AJ72" s="76">
        <f t="shared" si="35"/>
        <v>15</v>
      </c>
      <c r="AK72" s="1">
        <v>0</v>
      </c>
      <c r="AL72" s="1">
        <v>0</v>
      </c>
      <c r="AM72" s="1" t="str">
        <f t="shared" si="36"/>
        <v/>
      </c>
      <c r="AN72" s="1">
        <f t="shared" si="37"/>
        <v>0</v>
      </c>
      <c r="AO72" s="1">
        <v>0</v>
      </c>
      <c r="AP72" s="61">
        <f t="shared" si="38"/>
        <v>0</v>
      </c>
      <c r="AQ72" s="61">
        <v>0</v>
      </c>
      <c r="AR72" s="76">
        <v>0</v>
      </c>
      <c r="AS72" s="76">
        <f t="shared" si="39"/>
        <v>15</v>
      </c>
      <c r="AT72" s="69" t="str">
        <f t="shared" si="40"/>
        <v>OK</v>
      </c>
      <c r="AU72" s="77">
        <f t="shared" si="41"/>
        <v>21</v>
      </c>
      <c r="AV72" s="61" t="str">
        <f t="shared" si="42"/>
        <v>Sem mapa/sem consumo automático</v>
      </c>
      <c r="AW72" s="70"/>
      <c r="AX72" s="70">
        <v>0</v>
      </c>
      <c r="AY72" s="71" t="str">
        <f t="shared" si="43"/>
        <v>NÃO MAPEADO</v>
      </c>
      <c r="AZ72" s="70"/>
      <c r="BA72" s="71" t="str">
        <f t="shared" si="44"/>
        <v/>
      </c>
      <c r="BB72" s="70" t="str">
        <f t="shared" si="45"/>
        <v>Verificar cadastro</v>
      </c>
      <c r="BC72" s="78">
        <v>0</v>
      </c>
      <c r="BD72" s="78">
        <f t="shared" si="46"/>
        <v>0</v>
      </c>
      <c r="BE72" s="78">
        <v>0</v>
      </c>
      <c r="BF72">
        <v>0</v>
      </c>
      <c r="BG72">
        <v>0</v>
      </c>
      <c r="BH72">
        <v>0</v>
      </c>
      <c r="BJ72">
        <v>0</v>
      </c>
      <c r="BK72" s="103"/>
    </row>
    <row r="73" spans="1:63" ht="30" x14ac:dyDescent="0.25">
      <c r="A73" s="8" t="s">
        <v>241</v>
      </c>
      <c r="B73" s="8">
        <v>1009.21</v>
      </c>
      <c r="C73" s="8">
        <v>34313.22</v>
      </c>
      <c r="D73" s="8">
        <v>12000</v>
      </c>
      <c r="E73" s="8" t="s">
        <v>239</v>
      </c>
      <c r="F73" s="8" t="s">
        <v>240</v>
      </c>
      <c r="G73" s="8" t="s">
        <v>241</v>
      </c>
      <c r="H73" s="8">
        <v>34</v>
      </c>
      <c r="I73" s="9">
        <v>0</v>
      </c>
      <c r="J73" s="10">
        <f>REMESSAS!W74</f>
        <v>16</v>
      </c>
      <c r="K73" s="11">
        <f t="shared" si="25"/>
        <v>18</v>
      </c>
      <c r="L73" s="11">
        <f t="shared" si="26"/>
        <v>0</v>
      </c>
      <c r="M73" s="11">
        <f t="shared" si="27"/>
        <v>-18</v>
      </c>
      <c r="N73" s="11">
        <v>0</v>
      </c>
      <c r="O73" s="76">
        <f>IF($A73="","",IFERROR(SUMIF(Consumo_Joists!$A:$A,$A73,Consumo_Joists!$P:$P),0)+IFERROR(SUMIF(Consumo_Quadrantes!$A:$A,$A73,Consumo_Quadrantes!$F:$F),0))</f>
        <v>0</v>
      </c>
      <c r="P73" s="76">
        <v>16</v>
      </c>
      <c r="Q73" s="76"/>
      <c r="R73" s="76"/>
      <c r="S73" s="3">
        <f t="shared" si="28"/>
        <v>0.47058823529411764</v>
      </c>
      <c r="T73" s="1" t="str">
        <f t="shared" si="29"/>
        <v>Recebimento Parcial</v>
      </c>
      <c r="U73" s="1" t="s">
        <v>498</v>
      </c>
      <c r="V73" s="1" t="s">
        <v>80</v>
      </c>
      <c r="W73" s="1" t="s">
        <v>499</v>
      </c>
      <c r="X73" s="2">
        <f t="shared" si="30"/>
        <v>9</v>
      </c>
      <c r="Y73" s="1" t="str">
        <f t="shared" si="31"/>
        <v>Enviar se houver espaço</v>
      </c>
      <c r="Z73" s="1" t="str">
        <f t="shared" si="32"/>
        <v>OK</v>
      </c>
      <c r="AA73" s="11">
        <f t="shared" si="33"/>
        <v>6.8</v>
      </c>
      <c r="AB73" s="11">
        <f t="shared" si="34"/>
        <v>3.6</v>
      </c>
      <c r="AC73" s="1"/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76">
        <v>0</v>
      </c>
      <c r="AJ73" s="76">
        <f t="shared" si="35"/>
        <v>16</v>
      </c>
      <c r="AK73" s="1">
        <v>0</v>
      </c>
      <c r="AL73" s="1">
        <v>0</v>
      </c>
      <c r="AM73" s="1" t="str">
        <f t="shared" si="36"/>
        <v/>
      </c>
      <c r="AN73" s="1">
        <f t="shared" si="37"/>
        <v>0</v>
      </c>
      <c r="AO73" s="1">
        <v>0</v>
      </c>
      <c r="AP73" s="61">
        <f t="shared" si="38"/>
        <v>0</v>
      </c>
      <c r="AQ73" s="61">
        <v>0</v>
      </c>
      <c r="AR73" s="76">
        <v>0</v>
      </c>
      <c r="AS73" s="76">
        <f t="shared" si="39"/>
        <v>16</v>
      </c>
      <c r="AT73" s="69" t="str">
        <f t="shared" si="40"/>
        <v>OK</v>
      </c>
      <c r="AU73" s="77">
        <f t="shared" si="41"/>
        <v>18</v>
      </c>
      <c r="AV73" s="61" t="str">
        <f t="shared" si="42"/>
        <v>Sem mapa/sem consumo automático</v>
      </c>
      <c r="AW73" s="70"/>
      <c r="AX73" s="70">
        <v>0</v>
      </c>
      <c r="AY73" s="71" t="str">
        <f t="shared" si="43"/>
        <v>NÃO MAPEADO</v>
      </c>
      <c r="AZ73" s="70"/>
      <c r="BA73" s="71" t="str">
        <f t="shared" si="44"/>
        <v/>
      </c>
      <c r="BB73" s="70" t="str">
        <f t="shared" si="45"/>
        <v>Verificar cadastro</v>
      </c>
      <c r="BC73" s="78">
        <v>0</v>
      </c>
      <c r="BD73" s="78">
        <f t="shared" si="46"/>
        <v>0</v>
      </c>
      <c r="BE73" s="78">
        <v>0</v>
      </c>
      <c r="BF73">
        <v>0</v>
      </c>
      <c r="BG73">
        <v>0</v>
      </c>
      <c r="BH73">
        <v>0</v>
      </c>
      <c r="BJ73">
        <v>0</v>
      </c>
      <c r="BK73" s="103"/>
    </row>
    <row r="74" spans="1:63" ht="30" x14ac:dyDescent="0.25">
      <c r="A74" s="8" t="s">
        <v>243</v>
      </c>
      <c r="B74" s="8">
        <v>561.85</v>
      </c>
      <c r="C74" s="8">
        <v>20226.59</v>
      </c>
      <c r="D74" s="8">
        <v>2057</v>
      </c>
      <c r="E74" s="8" t="s">
        <v>242</v>
      </c>
      <c r="F74" s="8" t="s">
        <v>240</v>
      </c>
      <c r="G74" s="8" t="s">
        <v>243</v>
      </c>
      <c r="H74" s="8">
        <v>36</v>
      </c>
      <c r="I74" s="12">
        <v>0</v>
      </c>
      <c r="J74" s="10">
        <f>REMESSAS!W75</f>
        <v>15</v>
      </c>
      <c r="K74" s="11">
        <f t="shared" si="25"/>
        <v>21</v>
      </c>
      <c r="L74" s="11">
        <f t="shared" si="26"/>
        <v>0</v>
      </c>
      <c r="M74" s="11">
        <f t="shared" si="27"/>
        <v>-21</v>
      </c>
      <c r="N74" s="11">
        <v>0</v>
      </c>
      <c r="O74" s="76">
        <f>IF($A74="","",IFERROR(SUMIF(Consumo_Joists!$A:$A,$A74,Consumo_Joists!$P:$P),0)+IFERROR(SUMIF(Consumo_Quadrantes!$A:$A,$A74,Consumo_Quadrantes!$F:$F),0))</f>
        <v>0</v>
      </c>
      <c r="P74" s="76">
        <v>15</v>
      </c>
      <c r="Q74" s="76"/>
      <c r="R74" s="76"/>
      <c r="S74" s="3">
        <f t="shared" si="28"/>
        <v>0.41666666666666669</v>
      </c>
      <c r="T74" s="1" t="str">
        <f t="shared" si="29"/>
        <v>Recebimento Parcial</v>
      </c>
      <c r="U74" s="1" t="s">
        <v>498</v>
      </c>
      <c r="V74" s="1" t="s">
        <v>80</v>
      </c>
      <c r="W74" s="1" t="s">
        <v>499</v>
      </c>
      <c r="X74" s="2">
        <f t="shared" si="30"/>
        <v>11</v>
      </c>
      <c r="Y74" s="1" t="str">
        <f t="shared" si="31"/>
        <v>Enviar se houver espaço</v>
      </c>
      <c r="Z74" s="1" t="str">
        <f t="shared" si="32"/>
        <v>OK</v>
      </c>
      <c r="AA74" s="11">
        <f t="shared" si="33"/>
        <v>7.2</v>
      </c>
      <c r="AB74" s="11">
        <f t="shared" si="34"/>
        <v>4.2</v>
      </c>
      <c r="AC74" s="1"/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76">
        <v>0</v>
      </c>
      <c r="AJ74" s="76">
        <f t="shared" si="35"/>
        <v>15</v>
      </c>
      <c r="AK74" s="1">
        <v>0</v>
      </c>
      <c r="AL74" s="1">
        <v>0</v>
      </c>
      <c r="AM74" s="1" t="str">
        <f t="shared" si="36"/>
        <v/>
      </c>
      <c r="AN74" s="1">
        <f t="shared" si="37"/>
        <v>0</v>
      </c>
      <c r="AO74" s="1">
        <v>0</v>
      </c>
      <c r="AP74" s="61">
        <f t="shared" si="38"/>
        <v>0</v>
      </c>
      <c r="AQ74" s="61">
        <v>0</v>
      </c>
      <c r="AR74" s="76">
        <v>0</v>
      </c>
      <c r="AS74" s="76">
        <f t="shared" si="39"/>
        <v>15</v>
      </c>
      <c r="AT74" s="69" t="str">
        <f t="shared" si="40"/>
        <v>OK</v>
      </c>
      <c r="AU74" s="77">
        <f t="shared" si="41"/>
        <v>21</v>
      </c>
      <c r="AV74" s="61" t="str">
        <f t="shared" si="42"/>
        <v>Sem mapa/sem consumo automático</v>
      </c>
      <c r="AW74" s="70"/>
      <c r="AX74" s="70">
        <v>0</v>
      </c>
      <c r="AY74" s="71" t="str">
        <f t="shared" si="43"/>
        <v>NÃO MAPEADO</v>
      </c>
      <c r="AZ74" s="70"/>
      <c r="BA74" s="71" t="str">
        <f t="shared" si="44"/>
        <v/>
      </c>
      <c r="BB74" s="70" t="str">
        <f t="shared" si="45"/>
        <v>Verificar cadastro</v>
      </c>
      <c r="BC74" s="78">
        <v>0</v>
      </c>
      <c r="BD74" s="78">
        <f t="shared" si="46"/>
        <v>0</v>
      </c>
      <c r="BE74" s="78">
        <v>0</v>
      </c>
      <c r="BF74">
        <v>0</v>
      </c>
      <c r="BG74">
        <v>0</v>
      </c>
      <c r="BH74">
        <v>0</v>
      </c>
      <c r="BJ74">
        <v>0</v>
      </c>
      <c r="BK74" s="103"/>
    </row>
    <row r="75" spans="1:63" ht="30" x14ac:dyDescent="0.25">
      <c r="A75" s="8" t="s">
        <v>244</v>
      </c>
      <c r="B75" s="8">
        <v>973.01</v>
      </c>
      <c r="C75" s="8">
        <v>33082.49</v>
      </c>
      <c r="D75" s="8">
        <v>12000</v>
      </c>
      <c r="E75" s="8" t="s">
        <v>239</v>
      </c>
      <c r="F75" s="8" t="s">
        <v>240</v>
      </c>
      <c r="G75" s="8" t="s">
        <v>244</v>
      </c>
      <c r="H75" s="8">
        <v>34</v>
      </c>
      <c r="I75" s="9">
        <v>0</v>
      </c>
      <c r="J75" s="10">
        <f>REMESSAS!W76</f>
        <v>16</v>
      </c>
      <c r="K75" s="11">
        <f t="shared" si="25"/>
        <v>18</v>
      </c>
      <c r="L75" s="11">
        <f t="shared" si="26"/>
        <v>0</v>
      </c>
      <c r="M75" s="11">
        <f t="shared" si="27"/>
        <v>-18</v>
      </c>
      <c r="N75" s="11">
        <v>0</v>
      </c>
      <c r="O75" s="76">
        <f>IF($A75="","",IFERROR(SUMIF(Consumo_Joists!$A:$A,$A75,Consumo_Joists!$P:$P),0)+IFERROR(SUMIF(Consumo_Quadrantes!$A:$A,$A75,Consumo_Quadrantes!$F:$F),0))</f>
        <v>0</v>
      </c>
      <c r="P75" s="76">
        <v>16</v>
      </c>
      <c r="Q75" s="76"/>
      <c r="R75" s="76"/>
      <c r="S75" s="3">
        <f t="shared" si="28"/>
        <v>0.47058823529411764</v>
      </c>
      <c r="T75" s="1" t="str">
        <f t="shared" si="29"/>
        <v>Recebimento Parcial</v>
      </c>
      <c r="U75" s="1" t="s">
        <v>498</v>
      </c>
      <c r="V75" s="1" t="s">
        <v>80</v>
      </c>
      <c r="W75" s="1" t="s">
        <v>499</v>
      </c>
      <c r="X75" s="2">
        <f t="shared" si="30"/>
        <v>9</v>
      </c>
      <c r="Y75" s="1" t="str">
        <f t="shared" si="31"/>
        <v>Enviar se houver espaço</v>
      </c>
      <c r="Z75" s="1" t="str">
        <f t="shared" si="32"/>
        <v>OK</v>
      </c>
      <c r="AA75" s="11">
        <f t="shared" si="33"/>
        <v>6.8</v>
      </c>
      <c r="AB75" s="11">
        <f t="shared" si="34"/>
        <v>3.6</v>
      </c>
      <c r="AC75" s="1"/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76">
        <v>0</v>
      </c>
      <c r="AJ75" s="76">
        <f t="shared" si="35"/>
        <v>16</v>
      </c>
      <c r="AK75" s="1">
        <v>0</v>
      </c>
      <c r="AL75" s="1">
        <v>0</v>
      </c>
      <c r="AM75" s="1" t="str">
        <f t="shared" si="36"/>
        <v/>
      </c>
      <c r="AN75" s="1">
        <f t="shared" si="37"/>
        <v>0</v>
      </c>
      <c r="AO75" s="1">
        <v>0</v>
      </c>
      <c r="AP75" s="61">
        <f t="shared" si="38"/>
        <v>0</v>
      </c>
      <c r="AQ75" s="61">
        <v>0</v>
      </c>
      <c r="AR75" s="76">
        <v>0</v>
      </c>
      <c r="AS75" s="76">
        <f t="shared" si="39"/>
        <v>16</v>
      </c>
      <c r="AT75" s="69" t="str">
        <f t="shared" si="40"/>
        <v>OK</v>
      </c>
      <c r="AU75" s="77">
        <f t="shared" si="41"/>
        <v>18</v>
      </c>
      <c r="AV75" s="61" t="str">
        <f t="shared" si="42"/>
        <v>Sem mapa/sem consumo automático</v>
      </c>
      <c r="AW75" s="70"/>
      <c r="AX75" s="70">
        <v>0</v>
      </c>
      <c r="AY75" s="71" t="str">
        <f t="shared" si="43"/>
        <v>NÃO MAPEADO</v>
      </c>
      <c r="AZ75" s="70"/>
      <c r="BA75" s="71" t="str">
        <f t="shared" si="44"/>
        <v/>
      </c>
      <c r="BB75" s="70" t="str">
        <f t="shared" si="45"/>
        <v>Verificar cadastro</v>
      </c>
      <c r="BC75" s="78">
        <v>0</v>
      </c>
      <c r="BD75" s="78">
        <f t="shared" si="46"/>
        <v>0</v>
      </c>
      <c r="BE75" s="78">
        <v>0</v>
      </c>
      <c r="BF75">
        <v>0</v>
      </c>
      <c r="BG75">
        <v>0</v>
      </c>
      <c r="BH75">
        <v>0</v>
      </c>
      <c r="BJ75">
        <v>0</v>
      </c>
      <c r="BK75" s="103"/>
    </row>
    <row r="76" spans="1:63" ht="30" x14ac:dyDescent="0.25">
      <c r="A76" s="8" t="s">
        <v>245</v>
      </c>
      <c r="B76" s="8">
        <v>575.79999999999995</v>
      </c>
      <c r="C76" s="8">
        <v>10364.39</v>
      </c>
      <c r="D76" s="8">
        <v>4507</v>
      </c>
      <c r="E76" s="8" t="s">
        <v>242</v>
      </c>
      <c r="F76" s="8" t="s">
        <v>240</v>
      </c>
      <c r="G76" s="8" t="s">
        <v>245</v>
      </c>
      <c r="H76" s="8">
        <v>18</v>
      </c>
      <c r="I76" s="12">
        <v>0</v>
      </c>
      <c r="J76" s="10">
        <f>REMESSAS!W77</f>
        <v>8</v>
      </c>
      <c r="K76" s="11">
        <f t="shared" si="25"/>
        <v>10</v>
      </c>
      <c r="L76" s="11">
        <f t="shared" si="26"/>
        <v>0</v>
      </c>
      <c r="M76" s="11">
        <f t="shared" si="27"/>
        <v>-10</v>
      </c>
      <c r="N76" s="11">
        <v>0</v>
      </c>
      <c r="O76" s="76">
        <f>IF($A76="","",IFERROR(SUMIF(Consumo_Joists!$A:$A,$A76,Consumo_Joists!$P:$P),0)+IFERROR(SUMIF(Consumo_Quadrantes!$A:$A,$A76,Consumo_Quadrantes!$F:$F),0))</f>
        <v>0</v>
      </c>
      <c r="P76" s="76">
        <v>8</v>
      </c>
      <c r="Q76" s="76"/>
      <c r="R76" s="76"/>
      <c r="S76" s="3">
        <f t="shared" si="28"/>
        <v>0.44444444444444442</v>
      </c>
      <c r="T76" s="1" t="str">
        <f t="shared" si="29"/>
        <v>Recebimento Parcial</v>
      </c>
      <c r="U76" s="1" t="s">
        <v>498</v>
      </c>
      <c r="V76" s="1" t="s">
        <v>80</v>
      </c>
      <c r="W76" s="1" t="s">
        <v>499</v>
      </c>
      <c r="X76" s="2">
        <f t="shared" si="30"/>
        <v>5</v>
      </c>
      <c r="Y76" s="1" t="str">
        <f t="shared" si="31"/>
        <v>Enviar se houver espaço</v>
      </c>
      <c r="Z76" s="1" t="str">
        <f t="shared" si="32"/>
        <v>OK</v>
      </c>
      <c r="AA76" s="11">
        <f t="shared" si="33"/>
        <v>3.6</v>
      </c>
      <c r="AB76" s="11">
        <f t="shared" si="34"/>
        <v>2</v>
      </c>
      <c r="AC76" s="1"/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76">
        <v>0</v>
      </c>
      <c r="AJ76" s="76">
        <f t="shared" si="35"/>
        <v>8</v>
      </c>
      <c r="AK76" s="1">
        <v>0</v>
      </c>
      <c r="AL76" s="1">
        <v>0</v>
      </c>
      <c r="AM76" s="1" t="str">
        <f t="shared" si="36"/>
        <v/>
      </c>
      <c r="AN76" s="1">
        <f t="shared" si="37"/>
        <v>0</v>
      </c>
      <c r="AO76" s="1">
        <v>0</v>
      </c>
      <c r="AP76" s="61">
        <f t="shared" si="38"/>
        <v>0</v>
      </c>
      <c r="AQ76" s="61">
        <v>0</v>
      </c>
      <c r="AR76" s="76">
        <v>0</v>
      </c>
      <c r="AS76" s="76">
        <f t="shared" si="39"/>
        <v>8</v>
      </c>
      <c r="AT76" s="69" t="str">
        <f t="shared" si="40"/>
        <v>OK</v>
      </c>
      <c r="AU76" s="77">
        <f t="shared" si="41"/>
        <v>10</v>
      </c>
      <c r="AV76" s="61" t="str">
        <f t="shared" si="42"/>
        <v>Sem mapa/sem consumo automático</v>
      </c>
      <c r="AW76" s="70"/>
      <c r="AX76" s="70">
        <v>0</v>
      </c>
      <c r="AY76" s="71" t="str">
        <f t="shared" si="43"/>
        <v>NÃO MAPEADO</v>
      </c>
      <c r="AZ76" s="70"/>
      <c r="BA76" s="71" t="str">
        <f t="shared" si="44"/>
        <v/>
      </c>
      <c r="BB76" s="70" t="str">
        <f t="shared" si="45"/>
        <v>Verificar cadastro</v>
      </c>
      <c r="BC76" s="78">
        <v>0</v>
      </c>
      <c r="BD76" s="78">
        <f t="shared" si="46"/>
        <v>0</v>
      </c>
      <c r="BE76" s="78">
        <v>0</v>
      </c>
      <c r="BF76">
        <v>0</v>
      </c>
      <c r="BG76">
        <v>0</v>
      </c>
      <c r="BH76">
        <v>0</v>
      </c>
      <c r="BJ76">
        <v>0</v>
      </c>
      <c r="BK76" s="103"/>
    </row>
    <row r="77" spans="1:63" ht="30" x14ac:dyDescent="0.25">
      <c r="A77" s="8" t="s">
        <v>247</v>
      </c>
      <c r="B77" s="8">
        <v>1179.8699999999999</v>
      </c>
      <c r="C77" s="8">
        <v>40115.53</v>
      </c>
      <c r="D77" s="8">
        <v>12000</v>
      </c>
      <c r="E77" s="8" t="s">
        <v>246</v>
      </c>
      <c r="F77" s="8" t="s">
        <v>240</v>
      </c>
      <c r="G77" s="8" t="s">
        <v>247</v>
      </c>
      <c r="H77" s="8">
        <v>34</v>
      </c>
      <c r="I77" s="9">
        <v>0</v>
      </c>
      <c r="J77" s="10">
        <f>REMESSAS!W78</f>
        <v>17</v>
      </c>
      <c r="K77" s="11">
        <f t="shared" si="25"/>
        <v>17</v>
      </c>
      <c r="L77" s="11">
        <f t="shared" si="26"/>
        <v>0</v>
      </c>
      <c r="M77" s="11">
        <f t="shared" si="27"/>
        <v>-17</v>
      </c>
      <c r="N77" s="11">
        <v>0</v>
      </c>
      <c r="O77" s="76">
        <f>IF($A77="","",IFERROR(SUMIF(Consumo_Joists!$A:$A,$A77,Consumo_Joists!$P:$P),0)+IFERROR(SUMIF(Consumo_Quadrantes!$A:$A,$A77,Consumo_Quadrantes!$F:$F),0))</f>
        <v>0</v>
      </c>
      <c r="P77" s="76">
        <v>17</v>
      </c>
      <c r="Q77" s="76"/>
      <c r="R77" s="76"/>
      <c r="S77" s="3">
        <f t="shared" si="28"/>
        <v>0.5</v>
      </c>
      <c r="T77" s="1" t="str">
        <f t="shared" si="29"/>
        <v>Recebimento Parcial</v>
      </c>
      <c r="U77" s="1" t="s">
        <v>498</v>
      </c>
      <c r="V77" s="1" t="s">
        <v>80</v>
      </c>
      <c r="W77" s="1" t="s">
        <v>499</v>
      </c>
      <c r="X77" s="2">
        <f t="shared" si="30"/>
        <v>0</v>
      </c>
      <c r="Y77" s="1" t="str">
        <f t="shared" si="31"/>
        <v>Monitorar</v>
      </c>
      <c r="Z77" s="1" t="str">
        <f t="shared" si="32"/>
        <v>OK</v>
      </c>
      <c r="AA77" s="11">
        <f t="shared" si="33"/>
        <v>6.8</v>
      </c>
      <c r="AB77" s="11">
        <f t="shared" si="34"/>
        <v>3.4</v>
      </c>
      <c r="AC77" s="1"/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76">
        <v>0</v>
      </c>
      <c r="AJ77" s="76">
        <f t="shared" si="35"/>
        <v>17</v>
      </c>
      <c r="AK77" s="1">
        <v>0</v>
      </c>
      <c r="AL77" s="1">
        <v>0</v>
      </c>
      <c r="AM77" s="1" t="str">
        <f t="shared" si="36"/>
        <v/>
      </c>
      <c r="AN77" s="1">
        <f t="shared" si="37"/>
        <v>0</v>
      </c>
      <c r="AO77" s="1">
        <v>0</v>
      </c>
      <c r="AP77" s="61">
        <f t="shared" si="38"/>
        <v>0</v>
      </c>
      <c r="AQ77" s="61">
        <v>0</v>
      </c>
      <c r="AR77" s="76">
        <v>0</v>
      </c>
      <c r="AS77" s="76">
        <f t="shared" si="39"/>
        <v>17</v>
      </c>
      <c r="AT77" s="69" t="str">
        <f t="shared" si="40"/>
        <v>OK</v>
      </c>
      <c r="AU77" s="77">
        <f t="shared" si="41"/>
        <v>17</v>
      </c>
      <c r="AV77" s="61" t="str">
        <f t="shared" si="42"/>
        <v>Sem mapa/sem consumo automático</v>
      </c>
      <c r="AW77" s="70"/>
      <c r="AX77" s="70">
        <v>0</v>
      </c>
      <c r="AY77" s="71" t="str">
        <f t="shared" si="43"/>
        <v>NÃO MAPEADO</v>
      </c>
      <c r="AZ77" s="70"/>
      <c r="BA77" s="71" t="str">
        <f t="shared" si="44"/>
        <v/>
      </c>
      <c r="BB77" s="70" t="str">
        <f t="shared" si="45"/>
        <v>Verificar cadastro</v>
      </c>
      <c r="BC77" s="78">
        <v>0</v>
      </c>
      <c r="BD77" s="78">
        <f t="shared" si="46"/>
        <v>0</v>
      </c>
      <c r="BE77" s="78">
        <v>0</v>
      </c>
      <c r="BF77">
        <v>0</v>
      </c>
      <c r="BG77">
        <v>0</v>
      </c>
      <c r="BH77">
        <v>0</v>
      </c>
      <c r="BJ77">
        <v>0</v>
      </c>
      <c r="BK77" s="103"/>
    </row>
    <row r="78" spans="1:63" ht="30" x14ac:dyDescent="0.25">
      <c r="A78" s="8" t="s">
        <v>248</v>
      </c>
      <c r="B78" s="8">
        <v>668.86</v>
      </c>
      <c r="C78" s="8">
        <v>24078.92</v>
      </c>
      <c r="D78" s="8">
        <v>13094</v>
      </c>
      <c r="E78" s="8" t="s">
        <v>242</v>
      </c>
      <c r="F78" s="8" t="s">
        <v>240</v>
      </c>
      <c r="G78" s="8" t="s">
        <v>248</v>
      </c>
      <c r="H78" s="8">
        <v>36</v>
      </c>
      <c r="I78" s="12">
        <v>0</v>
      </c>
      <c r="J78" s="10">
        <f>REMESSAS!W79</f>
        <v>17</v>
      </c>
      <c r="K78" s="11">
        <f t="shared" si="25"/>
        <v>19</v>
      </c>
      <c r="L78" s="11">
        <f t="shared" si="26"/>
        <v>0</v>
      </c>
      <c r="M78" s="11">
        <f t="shared" si="27"/>
        <v>-19</v>
      </c>
      <c r="N78" s="11">
        <v>0</v>
      </c>
      <c r="O78" s="76">
        <f>IF($A78="","",IFERROR(SUMIF(Consumo_Joists!$A:$A,$A78,Consumo_Joists!$P:$P),0)+IFERROR(SUMIF(Consumo_Quadrantes!$A:$A,$A78,Consumo_Quadrantes!$F:$F),0))</f>
        <v>0</v>
      </c>
      <c r="P78" s="76">
        <v>17</v>
      </c>
      <c r="Q78" s="76"/>
      <c r="R78" s="76"/>
      <c r="S78" s="3">
        <f t="shared" si="28"/>
        <v>0.47222222222222221</v>
      </c>
      <c r="T78" s="1" t="str">
        <f t="shared" si="29"/>
        <v>Recebimento Parcial</v>
      </c>
      <c r="U78" s="1" t="s">
        <v>498</v>
      </c>
      <c r="V78" s="1" t="s">
        <v>80</v>
      </c>
      <c r="W78" s="1" t="s">
        <v>499</v>
      </c>
      <c r="X78" s="2">
        <f t="shared" si="30"/>
        <v>10</v>
      </c>
      <c r="Y78" s="1" t="str">
        <f t="shared" si="31"/>
        <v>Enviar se houver espaço</v>
      </c>
      <c r="Z78" s="1" t="str">
        <f t="shared" si="32"/>
        <v>OK</v>
      </c>
      <c r="AA78" s="11">
        <f t="shared" si="33"/>
        <v>7.2</v>
      </c>
      <c r="AB78" s="11">
        <f t="shared" si="34"/>
        <v>3.8</v>
      </c>
      <c r="AC78" s="1"/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76">
        <v>0</v>
      </c>
      <c r="AJ78" s="76">
        <f t="shared" si="35"/>
        <v>17</v>
      </c>
      <c r="AK78" s="1">
        <v>0</v>
      </c>
      <c r="AL78" s="1">
        <v>0</v>
      </c>
      <c r="AM78" s="1" t="str">
        <f t="shared" si="36"/>
        <v/>
      </c>
      <c r="AN78" s="1">
        <f t="shared" si="37"/>
        <v>0</v>
      </c>
      <c r="AO78" s="1">
        <v>0</v>
      </c>
      <c r="AP78" s="61">
        <f t="shared" si="38"/>
        <v>0</v>
      </c>
      <c r="AQ78" s="61">
        <v>0</v>
      </c>
      <c r="AR78" s="76">
        <v>0</v>
      </c>
      <c r="AS78" s="76">
        <f t="shared" si="39"/>
        <v>17</v>
      </c>
      <c r="AT78" s="69" t="str">
        <f t="shared" si="40"/>
        <v>OK</v>
      </c>
      <c r="AU78" s="77">
        <f t="shared" si="41"/>
        <v>19</v>
      </c>
      <c r="AV78" s="61" t="str">
        <f t="shared" si="42"/>
        <v>Sem mapa/sem consumo automático</v>
      </c>
      <c r="AW78" s="70"/>
      <c r="AX78" s="70">
        <v>0</v>
      </c>
      <c r="AY78" s="71" t="str">
        <f t="shared" si="43"/>
        <v>NÃO MAPEADO</v>
      </c>
      <c r="AZ78" s="70"/>
      <c r="BA78" s="71" t="str">
        <f t="shared" si="44"/>
        <v/>
      </c>
      <c r="BB78" s="70" t="str">
        <f t="shared" si="45"/>
        <v>Verificar cadastro</v>
      </c>
      <c r="BC78" s="78">
        <v>0</v>
      </c>
      <c r="BD78" s="78">
        <f t="shared" si="46"/>
        <v>0</v>
      </c>
      <c r="BE78" s="78">
        <v>0</v>
      </c>
      <c r="BF78">
        <v>0</v>
      </c>
      <c r="BG78">
        <v>0</v>
      </c>
      <c r="BH78">
        <v>0</v>
      </c>
      <c r="BJ78">
        <v>0</v>
      </c>
      <c r="BK78" s="103"/>
    </row>
    <row r="79" spans="1:63" ht="30" x14ac:dyDescent="0.25">
      <c r="A79" s="8" t="s">
        <v>250</v>
      </c>
      <c r="B79" s="8">
        <v>311.69</v>
      </c>
      <c r="C79" s="8">
        <v>1246.76</v>
      </c>
      <c r="D79" s="8">
        <v>10986</v>
      </c>
      <c r="E79" s="8" t="s">
        <v>249</v>
      </c>
      <c r="F79" s="8" t="s">
        <v>240</v>
      </c>
      <c r="G79" s="8" t="s">
        <v>250</v>
      </c>
      <c r="H79" s="8">
        <v>4</v>
      </c>
      <c r="I79" s="9">
        <v>0</v>
      </c>
      <c r="J79" s="10">
        <f>REMESSAS!W80</f>
        <v>0</v>
      </c>
      <c r="K79" s="11">
        <f t="shared" si="25"/>
        <v>4</v>
      </c>
      <c r="L79" s="11">
        <f t="shared" si="26"/>
        <v>0</v>
      </c>
      <c r="M79" s="11">
        <f t="shared" si="27"/>
        <v>-4</v>
      </c>
      <c r="N79" s="11">
        <v>0</v>
      </c>
      <c r="O79" s="76">
        <f>IF($A79="","",IFERROR(SUMIF(Consumo_Joists!$A:$A,$A79,Consumo_Joists!$P:$P),0)+IFERROR(SUMIF(Consumo_Quadrantes!$A:$A,$A79,Consumo_Quadrantes!$F:$F),0))</f>
        <v>0</v>
      </c>
      <c r="P79" s="76">
        <v>0</v>
      </c>
      <c r="Q79" s="76"/>
      <c r="R79" s="76"/>
      <c r="S79" s="3">
        <f t="shared" si="28"/>
        <v>0</v>
      </c>
      <c r="T79" s="1" t="str">
        <f t="shared" si="29"/>
        <v>Crítico</v>
      </c>
      <c r="U79" s="1" t="s">
        <v>498</v>
      </c>
      <c r="V79" s="1" t="s">
        <v>80</v>
      </c>
      <c r="W79" s="1" t="s">
        <v>499</v>
      </c>
      <c r="X79" s="2">
        <f t="shared" si="30"/>
        <v>2</v>
      </c>
      <c r="Y79" s="1" t="str">
        <f t="shared" si="31"/>
        <v>Enviar se houver espaço</v>
      </c>
      <c r="Z79" s="1" t="str">
        <f t="shared" si="32"/>
        <v>OK</v>
      </c>
      <c r="AA79" s="11">
        <f t="shared" si="33"/>
        <v>0.8</v>
      </c>
      <c r="AB79" s="11">
        <f t="shared" si="34"/>
        <v>0.8</v>
      </c>
      <c r="AC79" s="1"/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76">
        <v>0</v>
      </c>
      <c r="AJ79" s="76">
        <f t="shared" si="35"/>
        <v>0</v>
      </c>
      <c r="AK79" s="1">
        <v>0</v>
      </c>
      <c r="AL79" s="1">
        <v>0</v>
      </c>
      <c r="AM79" s="1" t="str">
        <f t="shared" si="36"/>
        <v/>
      </c>
      <c r="AN79" s="1">
        <f t="shared" si="37"/>
        <v>0</v>
      </c>
      <c r="AO79" s="1">
        <v>0</v>
      </c>
      <c r="AP79" s="61">
        <f t="shared" si="38"/>
        <v>0</v>
      </c>
      <c r="AQ79" s="61">
        <v>0</v>
      </c>
      <c r="AR79" s="76">
        <v>0</v>
      </c>
      <c r="AS79" s="76">
        <f t="shared" si="39"/>
        <v>0</v>
      </c>
      <c r="AT79" s="69" t="str">
        <f t="shared" si="40"/>
        <v>OK</v>
      </c>
      <c r="AU79" s="77">
        <f t="shared" si="41"/>
        <v>4</v>
      </c>
      <c r="AV79" s="61" t="str">
        <f t="shared" si="42"/>
        <v>Sem mapa/sem consumo automático</v>
      </c>
      <c r="AW79" s="70"/>
      <c r="AX79" s="70">
        <v>0</v>
      </c>
      <c r="AY79" s="71" t="str">
        <f t="shared" si="43"/>
        <v>NÃO MAPEADO</v>
      </c>
      <c r="AZ79" s="70"/>
      <c r="BA79" s="71" t="str">
        <f t="shared" si="44"/>
        <v/>
      </c>
      <c r="BB79" s="70" t="str">
        <f t="shared" si="45"/>
        <v>Verificar cadastro</v>
      </c>
      <c r="BC79" s="78">
        <v>0</v>
      </c>
      <c r="BD79" s="78">
        <f t="shared" si="46"/>
        <v>0</v>
      </c>
      <c r="BE79" s="78">
        <v>0</v>
      </c>
      <c r="BF79">
        <v>0</v>
      </c>
      <c r="BG79">
        <v>0</v>
      </c>
      <c r="BH79">
        <v>0</v>
      </c>
      <c r="BJ79">
        <v>0</v>
      </c>
      <c r="BK79" s="103"/>
    </row>
    <row r="80" spans="1:63" ht="30" x14ac:dyDescent="0.25">
      <c r="A80" s="8" t="s">
        <v>251</v>
      </c>
      <c r="B80" s="8">
        <v>241.74</v>
      </c>
      <c r="C80" s="8">
        <v>966.95</v>
      </c>
      <c r="D80" s="8">
        <v>8373</v>
      </c>
      <c r="E80" s="8" t="s">
        <v>249</v>
      </c>
      <c r="F80" s="8" t="s">
        <v>240</v>
      </c>
      <c r="G80" s="8" t="s">
        <v>251</v>
      </c>
      <c r="H80" s="8">
        <v>4</v>
      </c>
      <c r="I80" s="12">
        <v>0</v>
      </c>
      <c r="J80" s="10">
        <f>REMESSAS!W81</f>
        <v>0</v>
      </c>
      <c r="K80" s="11">
        <f t="shared" si="25"/>
        <v>4</v>
      </c>
      <c r="L80" s="11">
        <f t="shared" si="26"/>
        <v>0</v>
      </c>
      <c r="M80" s="11">
        <f t="shared" si="27"/>
        <v>-4</v>
      </c>
      <c r="N80" s="11">
        <v>0</v>
      </c>
      <c r="O80" s="76">
        <f>IF($A80="","",IFERROR(SUMIF(Consumo_Joists!$A:$A,$A80,Consumo_Joists!$P:$P),0)+IFERROR(SUMIF(Consumo_Quadrantes!$A:$A,$A80,Consumo_Quadrantes!$F:$F),0))</f>
        <v>0</v>
      </c>
      <c r="P80" s="76">
        <v>0</v>
      </c>
      <c r="Q80" s="76"/>
      <c r="R80" s="76"/>
      <c r="S80" s="3">
        <f t="shared" si="28"/>
        <v>0</v>
      </c>
      <c r="T80" s="1" t="str">
        <f t="shared" si="29"/>
        <v>Crítico</v>
      </c>
      <c r="U80" s="1" t="s">
        <v>498</v>
      </c>
      <c r="V80" s="1" t="s">
        <v>80</v>
      </c>
      <c r="W80" s="1" t="s">
        <v>499</v>
      </c>
      <c r="X80" s="2">
        <f t="shared" si="30"/>
        <v>2</v>
      </c>
      <c r="Y80" s="1" t="str">
        <f t="shared" si="31"/>
        <v>Enviar se houver espaço</v>
      </c>
      <c r="Z80" s="1" t="str">
        <f t="shared" si="32"/>
        <v>OK</v>
      </c>
      <c r="AA80" s="11">
        <f t="shared" si="33"/>
        <v>0.8</v>
      </c>
      <c r="AB80" s="11">
        <f t="shared" si="34"/>
        <v>0.8</v>
      </c>
      <c r="AC80" s="1"/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76">
        <v>0</v>
      </c>
      <c r="AJ80" s="76">
        <f t="shared" si="35"/>
        <v>0</v>
      </c>
      <c r="AK80" s="1">
        <v>0</v>
      </c>
      <c r="AL80" s="1">
        <v>0</v>
      </c>
      <c r="AM80" s="1" t="str">
        <f t="shared" si="36"/>
        <v/>
      </c>
      <c r="AN80" s="1">
        <f t="shared" si="37"/>
        <v>0</v>
      </c>
      <c r="AO80" s="1">
        <v>0</v>
      </c>
      <c r="AP80" s="61">
        <f t="shared" si="38"/>
        <v>0</v>
      </c>
      <c r="AQ80" s="61">
        <v>0</v>
      </c>
      <c r="AR80" s="76">
        <v>0</v>
      </c>
      <c r="AS80" s="76">
        <f t="shared" si="39"/>
        <v>0</v>
      </c>
      <c r="AT80" s="69" t="str">
        <f t="shared" si="40"/>
        <v>OK</v>
      </c>
      <c r="AU80" s="77">
        <f t="shared" si="41"/>
        <v>4</v>
      </c>
      <c r="AV80" s="61" t="str">
        <f t="shared" si="42"/>
        <v>Sem mapa/sem consumo automático</v>
      </c>
      <c r="AW80" s="70"/>
      <c r="AX80" s="70">
        <v>0</v>
      </c>
      <c r="AY80" s="71" t="str">
        <f t="shared" si="43"/>
        <v>NÃO MAPEADO</v>
      </c>
      <c r="AZ80" s="70"/>
      <c r="BA80" s="71" t="str">
        <f t="shared" si="44"/>
        <v/>
      </c>
      <c r="BB80" s="70" t="str">
        <f t="shared" si="45"/>
        <v>Verificar cadastro</v>
      </c>
      <c r="BC80" s="78">
        <v>0</v>
      </c>
      <c r="BD80" s="78">
        <f t="shared" si="46"/>
        <v>0</v>
      </c>
      <c r="BE80" s="78">
        <v>0</v>
      </c>
      <c r="BF80">
        <v>0</v>
      </c>
      <c r="BG80">
        <v>0</v>
      </c>
      <c r="BH80">
        <v>0</v>
      </c>
      <c r="BJ80">
        <v>0</v>
      </c>
      <c r="BK80" s="103"/>
    </row>
    <row r="81" spans="1:63" ht="30" x14ac:dyDescent="0.25">
      <c r="A81" s="8" t="s">
        <v>252</v>
      </c>
      <c r="B81" s="8">
        <v>241.74</v>
      </c>
      <c r="C81" s="8">
        <v>2900.81</v>
      </c>
      <c r="D81" s="8">
        <v>8373</v>
      </c>
      <c r="E81" s="8" t="s">
        <v>249</v>
      </c>
      <c r="F81" s="8" t="s">
        <v>240</v>
      </c>
      <c r="G81" s="8" t="s">
        <v>252</v>
      </c>
      <c r="H81" s="8">
        <v>12</v>
      </c>
      <c r="I81" s="9">
        <v>0</v>
      </c>
      <c r="J81" s="10">
        <f>REMESSAS!W82</f>
        <v>0</v>
      </c>
      <c r="K81" s="11">
        <f t="shared" si="25"/>
        <v>12</v>
      </c>
      <c r="L81" s="11">
        <f t="shared" si="26"/>
        <v>0</v>
      </c>
      <c r="M81" s="11">
        <f t="shared" si="27"/>
        <v>-12</v>
      </c>
      <c r="N81" s="11">
        <v>0</v>
      </c>
      <c r="O81" s="76">
        <f>IF($A81="","",IFERROR(SUMIF(Consumo_Joists!$A:$A,$A81,Consumo_Joists!$P:$P),0)+IFERROR(SUMIF(Consumo_Quadrantes!$A:$A,$A81,Consumo_Quadrantes!$F:$F),0))</f>
        <v>0</v>
      </c>
      <c r="P81" s="76">
        <v>0</v>
      </c>
      <c r="Q81" s="76"/>
      <c r="R81" s="76"/>
      <c r="S81" s="3">
        <f t="shared" si="28"/>
        <v>0</v>
      </c>
      <c r="T81" s="1" t="str">
        <f t="shared" si="29"/>
        <v>Crítico</v>
      </c>
      <c r="U81" s="1" t="s">
        <v>498</v>
      </c>
      <c r="V81" s="1" t="s">
        <v>80</v>
      </c>
      <c r="W81" s="1" t="s">
        <v>499</v>
      </c>
      <c r="X81" s="2">
        <f t="shared" si="30"/>
        <v>6</v>
      </c>
      <c r="Y81" s="1" t="str">
        <f t="shared" si="31"/>
        <v>Enviar se houver espaço</v>
      </c>
      <c r="Z81" s="1" t="str">
        <f t="shared" si="32"/>
        <v>OK</v>
      </c>
      <c r="AA81" s="11">
        <f t="shared" si="33"/>
        <v>2.4</v>
      </c>
      <c r="AB81" s="11">
        <f t="shared" si="34"/>
        <v>2.4</v>
      </c>
      <c r="AC81" s="1"/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76">
        <v>0</v>
      </c>
      <c r="AJ81" s="76">
        <f t="shared" si="35"/>
        <v>0</v>
      </c>
      <c r="AK81" s="1">
        <v>0</v>
      </c>
      <c r="AL81" s="1">
        <v>0</v>
      </c>
      <c r="AM81" s="1" t="str">
        <f t="shared" si="36"/>
        <v/>
      </c>
      <c r="AN81" s="1">
        <f t="shared" si="37"/>
        <v>0</v>
      </c>
      <c r="AO81" s="1">
        <v>0</v>
      </c>
      <c r="AP81" s="61">
        <f t="shared" si="38"/>
        <v>0</v>
      </c>
      <c r="AQ81" s="61">
        <v>0</v>
      </c>
      <c r="AR81" s="76">
        <v>0</v>
      </c>
      <c r="AS81" s="76">
        <f t="shared" si="39"/>
        <v>0</v>
      </c>
      <c r="AT81" s="69" t="str">
        <f t="shared" si="40"/>
        <v>OK</v>
      </c>
      <c r="AU81" s="77">
        <f t="shared" si="41"/>
        <v>12</v>
      </c>
      <c r="AV81" s="61" t="str">
        <f t="shared" si="42"/>
        <v>Sem mapa/sem consumo automático</v>
      </c>
      <c r="AW81" s="70"/>
      <c r="AX81" s="70">
        <v>0</v>
      </c>
      <c r="AY81" s="71" t="str">
        <f t="shared" si="43"/>
        <v>NÃO MAPEADO</v>
      </c>
      <c r="AZ81" s="70"/>
      <c r="BA81" s="71" t="str">
        <f t="shared" si="44"/>
        <v/>
      </c>
      <c r="BB81" s="70" t="str">
        <f t="shared" si="45"/>
        <v>Verificar cadastro</v>
      </c>
      <c r="BC81" s="78">
        <v>0</v>
      </c>
      <c r="BD81" s="78">
        <f t="shared" si="46"/>
        <v>0</v>
      </c>
      <c r="BE81" s="78">
        <v>0</v>
      </c>
      <c r="BF81">
        <v>0</v>
      </c>
      <c r="BG81">
        <v>0</v>
      </c>
      <c r="BH81">
        <v>0</v>
      </c>
      <c r="BJ81">
        <v>0</v>
      </c>
      <c r="BK81" s="103"/>
    </row>
    <row r="82" spans="1:63" ht="30" x14ac:dyDescent="0.25">
      <c r="A82" s="8" t="s">
        <v>253</v>
      </c>
      <c r="B82" s="8">
        <v>241.74</v>
      </c>
      <c r="C82" s="8">
        <v>966.95</v>
      </c>
      <c r="D82" s="8">
        <v>8373</v>
      </c>
      <c r="E82" s="8" t="s">
        <v>249</v>
      </c>
      <c r="F82" s="8" t="s">
        <v>240</v>
      </c>
      <c r="G82" s="8" t="s">
        <v>253</v>
      </c>
      <c r="H82" s="8">
        <v>4</v>
      </c>
      <c r="I82" s="12">
        <v>0</v>
      </c>
      <c r="J82" s="10">
        <f>REMESSAS!W83</f>
        <v>0</v>
      </c>
      <c r="K82" s="11">
        <f t="shared" si="25"/>
        <v>4</v>
      </c>
      <c r="L82" s="11">
        <f t="shared" si="26"/>
        <v>0</v>
      </c>
      <c r="M82" s="11">
        <f t="shared" si="27"/>
        <v>-4</v>
      </c>
      <c r="N82" s="11">
        <v>0</v>
      </c>
      <c r="O82" s="76">
        <f>IF($A82="","",IFERROR(SUMIF(Consumo_Joists!$A:$A,$A82,Consumo_Joists!$P:$P),0)+IFERROR(SUMIF(Consumo_Quadrantes!$A:$A,$A82,Consumo_Quadrantes!$F:$F),0))</f>
        <v>0</v>
      </c>
      <c r="P82" s="76">
        <v>0</v>
      </c>
      <c r="Q82" s="76"/>
      <c r="R82" s="76"/>
      <c r="S82" s="3">
        <f t="shared" si="28"/>
        <v>0</v>
      </c>
      <c r="T82" s="1" t="str">
        <f t="shared" si="29"/>
        <v>Crítico</v>
      </c>
      <c r="U82" s="1" t="s">
        <v>498</v>
      </c>
      <c r="V82" s="1" t="s">
        <v>80</v>
      </c>
      <c r="W82" s="1" t="s">
        <v>499</v>
      </c>
      <c r="X82" s="2">
        <f t="shared" si="30"/>
        <v>2</v>
      </c>
      <c r="Y82" s="1" t="str">
        <f t="shared" si="31"/>
        <v>Enviar se houver espaço</v>
      </c>
      <c r="Z82" s="1" t="str">
        <f t="shared" si="32"/>
        <v>OK</v>
      </c>
      <c r="AA82" s="11">
        <f t="shared" si="33"/>
        <v>0.8</v>
      </c>
      <c r="AB82" s="11">
        <f t="shared" si="34"/>
        <v>0.8</v>
      </c>
      <c r="AC82" s="1"/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76">
        <v>0</v>
      </c>
      <c r="AJ82" s="76">
        <f t="shared" si="35"/>
        <v>0</v>
      </c>
      <c r="AK82" s="1">
        <v>0</v>
      </c>
      <c r="AL82" s="1">
        <v>0</v>
      </c>
      <c r="AM82" s="1" t="str">
        <f t="shared" si="36"/>
        <v/>
      </c>
      <c r="AN82" s="1">
        <f t="shared" si="37"/>
        <v>0</v>
      </c>
      <c r="AO82" s="1">
        <v>0</v>
      </c>
      <c r="AP82" s="61">
        <f t="shared" si="38"/>
        <v>0</v>
      </c>
      <c r="AQ82" s="61">
        <v>0</v>
      </c>
      <c r="AR82" s="76">
        <v>0</v>
      </c>
      <c r="AS82" s="76">
        <f t="shared" si="39"/>
        <v>0</v>
      </c>
      <c r="AT82" s="69" t="str">
        <f t="shared" si="40"/>
        <v>OK</v>
      </c>
      <c r="AU82" s="77">
        <f t="shared" si="41"/>
        <v>4</v>
      </c>
      <c r="AV82" s="61" t="str">
        <f t="shared" si="42"/>
        <v>Sem mapa/sem consumo automático</v>
      </c>
      <c r="AW82" s="70"/>
      <c r="AX82" s="70">
        <v>0</v>
      </c>
      <c r="AY82" s="71" t="str">
        <f t="shared" si="43"/>
        <v>NÃO MAPEADO</v>
      </c>
      <c r="AZ82" s="70"/>
      <c r="BA82" s="71" t="str">
        <f t="shared" si="44"/>
        <v/>
      </c>
      <c r="BB82" s="70" t="str">
        <f t="shared" si="45"/>
        <v>Verificar cadastro</v>
      </c>
      <c r="BC82" s="78">
        <v>0</v>
      </c>
      <c r="BD82" s="78">
        <f t="shared" si="46"/>
        <v>0</v>
      </c>
      <c r="BE82" s="78">
        <v>0</v>
      </c>
      <c r="BF82">
        <v>0</v>
      </c>
      <c r="BG82">
        <v>0</v>
      </c>
      <c r="BH82">
        <v>0</v>
      </c>
      <c r="BJ82">
        <v>0</v>
      </c>
      <c r="BK82" s="103"/>
    </row>
    <row r="83" spans="1:63" ht="30" x14ac:dyDescent="0.25">
      <c r="A83" s="8" t="s">
        <v>254</v>
      </c>
      <c r="B83" s="8">
        <v>240.28</v>
      </c>
      <c r="C83" s="8">
        <v>961.11</v>
      </c>
      <c r="D83" s="8">
        <v>8321</v>
      </c>
      <c r="E83" s="8" t="s">
        <v>249</v>
      </c>
      <c r="F83" s="8" t="s">
        <v>240</v>
      </c>
      <c r="G83" s="8" t="s">
        <v>254</v>
      </c>
      <c r="H83" s="8">
        <v>4</v>
      </c>
      <c r="I83" s="9">
        <v>0</v>
      </c>
      <c r="J83" s="10">
        <f>REMESSAS!W84</f>
        <v>0</v>
      </c>
      <c r="K83" s="11">
        <f t="shared" si="25"/>
        <v>4</v>
      </c>
      <c r="L83" s="11">
        <f t="shared" si="26"/>
        <v>0</v>
      </c>
      <c r="M83" s="11">
        <f t="shared" si="27"/>
        <v>-4</v>
      </c>
      <c r="N83" s="11">
        <v>0</v>
      </c>
      <c r="O83" s="76">
        <f>IF($A83="","",IFERROR(SUMIF(Consumo_Joists!$A:$A,$A83,Consumo_Joists!$P:$P),0)+IFERROR(SUMIF(Consumo_Quadrantes!$A:$A,$A83,Consumo_Quadrantes!$F:$F),0))</f>
        <v>0</v>
      </c>
      <c r="P83" s="76">
        <v>0</v>
      </c>
      <c r="Q83" s="76"/>
      <c r="R83" s="76"/>
      <c r="S83" s="3">
        <f t="shared" si="28"/>
        <v>0</v>
      </c>
      <c r="T83" s="1" t="str">
        <f t="shared" si="29"/>
        <v>Crítico</v>
      </c>
      <c r="U83" s="1" t="s">
        <v>498</v>
      </c>
      <c r="V83" s="1" t="s">
        <v>80</v>
      </c>
      <c r="W83" s="1" t="s">
        <v>499</v>
      </c>
      <c r="X83" s="2">
        <f t="shared" si="30"/>
        <v>2</v>
      </c>
      <c r="Y83" s="1" t="str">
        <f t="shared" si="31"/>
        <v>Enviar se houver espaço</v>
      </c>
      <c r="Z83" s="1" t="str">
        <f t="shared" si="32"/>
        <v>OK</v>
      </c>
      <c r="AA83" s="11">
        <f t="shared" si="33"/>
        <v>0.8</v>
      </c>
      <c r="AB83" s="11">
        <f t="shared" si="34"/>
        <v>0.8</v>
      </c>
      <c r="AC83" s="1"/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76">
        <v>0</v>
      </c>
      <c r="AJ83" s="76">
        <f t="shared" si="35"/>
        <v>0</v>
      </c>
      <c r="AK83" s="1">
        <v>0</v>
      </c>
      <c r="AL83" s="1">
        <v>0</v>
      </c>
      <c r="AM83" s="1" t="str">
        <f t="shared" si="36"/>
        <v/>
      </c>
      <c r="AN83" s="1">
        <f t="shared" si="37"/>
        <v>0</v>
      </c>
      <c r="AO83" s="1">
        <v>0</v>
      </c>
      <c r="AP83" s="61">
        <f t="shared" si="38"/>
        <v>0</v>
      </c>
      <c r="AQ83" s="61">
        <v>0</v>
      </c>
      <c r="AR83" s="76">
        <v>0</v>
      </c>
      <c r="AS83" s="76">
        <f t="shared" si="39"/>
        <v>0</v>
      </c>
      <c r="AT83" s="69" t="str">
        <f t="shared" si="40"/>
        <v>OK</v>
      </c>
      <c r="AU83" s="77">
        <f t="shared" si="41"/>
        <v>4</v>
      </c>
      <c r="AV83" s="61" t="str">
        <f t="shared" si="42"/>
        <v>Sem mapa/sem consumo automático</v>
      </c>
      <c r="AW83" s="70"/>
      <c r="AX83" s="70">
        <v>0</v>
      </c>
      <c r="AY83" s="71" t="str">
        <f t="shared" si="43"/>
        <v>NÃO MAPEADO</v>
      </c>
      <c r="AZ83" s="70"/>
      <c r="BA83" s="71" t="str">
        <f t="shared" si="44"/>
        <v/>
      </c>
      <c r="BB83" s="70" t="str">
        <f t="shared" si="45"/>
        <v>Verificar cadastro</v>
      </c>
      <c r="BC83" s="78">
        <v>0</v>
      </c>
      <c r="BD83" s="78">
        <f t="shared" si="46"/>
        <v>0</v>
      </c>
      <c r="BE83" s="78">
        <v>0</v>
      </c>
      <c r="BF83">
        <v>0</v>
      </c>
      <c r="BG83">
        <v>0</v>
      </c>
      <c r="BH83">
        <v>0</v>
      </c>
      <c r="BJ83">
        <v>0</v>
      </c>
      <c r="BK83" s="103"/>
    </row>
    <row r="84" spans="1:63" ht="30" x14ac:dyDescent="0.25">
      <c r="A84" s="8" t="s">
        <v>255</v>
      </c>
      <c r="B84" s="8">
        <v>241.74</v>
      </c>
      <c r="C84" s="8">
        <v>966.95</v>
      </c>
      <c r="D84" s="8">
        <v>8373</v>
      </c>
      <c r="E84" s="8" t="s">
        <v>249</v>
      </c>
      <c r="F84" s="8" t="s">
        <v>240</v>
      </c>
      <c r="G84" s="8" t="s">
        <v>255</v>
      </c>
      <c r="H84" s="8">
        <v>4</v>
      </c>
      <c r="I84" s="12">
        <v>0</v>
      </c>
      <c r="J84" s="10">
        <f>REMESSAS!W85</f>
        <v>0</v>
      </c>
      <c r="K84" s="11">
        <f t="shared" si="25"/>
        <v>4</v>
      </c>
      <c r="L84" s="11">
        <f t="shared" si="26"/>
        <v>0</v>
      </c>
      <c r="M84" s="11">
        <f t="shared" si="27"/>
        <v>-4</v>
      </c>
      <c r="N84" s="11">
        <v>0</v>
      </c>
      <c r="O84" s="76">
        <f>IF($A84="","",IFERROR(SUMIF(Consumo_Joists!$A:$A,$A84,Consumo_Joists!$P:$P),0)+IFERROR(SUMIF(Consumo_Quadrantes!$A:$A,$A84,Consumo_Quadrantes!$F:$F),0))</f>
        <v>0</v>
      </c>
      <c r="P84" s="76">
        <v>0</v>
      </c>
      <c r="Q84" s="76"/>
      <c r="R84" s="76"/>
      <c r="S84" s="3">
        <f t="shared" si="28"/>
        <v>0</v>
      </c>
      <c r="T84" s="1" t="str">
        <f t="shared" si="29"/>
        <v>Crítico</v>
      </c>
      <c r="U84" s="1" t="s">
        <v>498</v>
      </c>
      <c r="V84" s="1" t="s">
        <v>80</v>
      </c>
      <c r="W84" s="1" t="s">
        <v>499</v>
      </c>
      <c r="X84" s="2">
        <f t="shared" si="30"/>
        <v>2</v>
      </c>
      <c r="Y84" s="1" t="str">
        <f t="shared" si="31"/>
        <v>Enviar se houver espaço</v>
      </c>
      <c r="Z84" s="1" t="str">
        <f t="shared" si="32"/>
        <v>OK</v>
      </c>
      <c r="AA84" s="11">
        <f t="shared" si="33"/>
        <v>0.8</v>
      </c>
      <c r="AB84" s="11">
        <f t="shared" si="34"/>
        <v>0.8</v>
      </c>
      <c r="AC84" s="1"/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76">
        <v>0</v>
      </c>
      <c r="AJ84" s="76">
        <f t="shared" si="35"/>
        <v>0</v>
      </c>
      <c r="AK84" s="1">
        <v>0</v>
      </c>
      <c r="AL84" s="1">
        <v>0</v>
      </c>
      <c r="AM84" s="1" t="str">
        <f t="shared" si="36"/>
        <v/>
      </c>
      <c r="AN84" s="1">
        <f t="shared" si="37"/>
        <v>0</v>
      </c>
      <c r="AO84" s="1">
        <v>0</v>
      </c>
      <c r="AP84" s="61">
        <f t="shared" si="38"/>
        <v>0</v>
      </c>
      <c r="AQ84" s="61">
        <v>0</v>
      </c>
      <c r="AR84" s="76">
        <v>0</v>
      </c>
      <c r="AS84" s="76">
        <f t="shared" si="39"/>
        <v>0</v>
      </c>
      <c r="AT84" s="69" t="str">
        <f t="shared" si="40"/>
        <v>OK</v>
      </c>
      <c r="AU84" s="77">
        <f t="shared" si="41"/>
        <v>4</v>
      </c>
      <c r="AV84" s="61" t="str">
        <f t="shared" si="42"/>
        <v>Sem mapa/sem consumo automático</v>
      </c>
      <c r="AW84" s="70"/>
      <c r="AX84" s="70">
        <v>0</v>
      </c>
      <c r="AY84" s="71" t="str">
        <f t="shared" si="43"/>
        <v>NÃO MAPEADO</v>
      </c>
      <c r="AZ84" s="70"/>
      <c r="BA84" s="71" t="str">
        <f t="shared" si="44"/>
        <v/>
      </c>
      <c r="BB84" s="70" t="str">
        <f t="shared" si="45"/>
        <v>Verificar cadastro</v>
      </c>
      <c r="BC84" s="78">
        <v>0</v>
      </c>
      <c r="BD84" s="78">
        <f t="shared" si="46"/>
        <v>0</v>
      </c>
      <c r="BE84" s="78">
        <v>0</v>
      </c>
      <c r="BF84">
        <v>0</v>
      </c>
      <c r="BG84">
        <v>0</v>
      </c>
      <c r="BH84">
        <v>0</v>
      </c>
      <c r="BJ84">
        <v>0</v>
      </c>
      <c r="BK84" s="103"/>
    </row>
    <row r="85" spans="1:63" ht="30" x14ac:dyDescent="0.25">
      <c r="A85" s="8" t="s">
        <v>256</v>
      </c>
      <c r="B85" s="8">
        <v>240.28</v>
      </c>
      <c r="C85" s="8">
        <v>961.12</v>
      </c>
      <c r="D85" s="8">
        <v>8321</v>
      </c>
      <c r="E85" s="8" t="s">
        <v>249</v>
      </c>
      <c r="F85" s="8" t="s">
        <v>240</v>
      </c>
      <c r="G85" s="8" t="s">
        <v>256</v>
      </c>
      <c r="H85" s="8">
        <v>4</v>
      </c>
      <c r="I85" s="9">
        <v>0</v>
      </c>
      <c r="J85" s="10">
        <f>REMESSAS!W86</f>
        <v>0</v>
      </c>
      <c r="K85" s="11">
        <f t="shared" si="25"/>
        <v>4</v>
      </c>
      <c r="L85" s="11">
        <f t="shared" si="26"/>
        <v>0</v>
      </c>
      <c r="M85" s="11">
        <f t="shared" si="27"/>
        <v>-4</v>
      </c>
      <c r="N85" s="11">
        <v>0</v>
      </c>
      <c r="O85" s="76">
        <f>IF($A85="","",IFERROR(SUMIF(Consumo_Joists!$A:$A,$A85,Consumo_Joists!$P:$P),0)+IFERROR(SUMIF(Consumo_Quadrantes!$A:$A,$A85,Consumo_Quadrantes!$F:$F),0))</f>
        <v>0</v>
      </c>
      <c r="P85" s="76">
        <v>0</v>
      </c>
      <c r="Q85" s="76"/>
      <c r="R85" s="76"/>
      <c r="S85" s="3">
        <f t="shared" si="28"/>
        <v>0</v>
      </c>
      <c r="T85" s="1" t="str">
        <f t="shared" si="29"/>
        <v>Crítico</v>
      </c>
      <c r="U85" s="1" t="s">
        <v>498</v>
      </c>
      <c r="V85" s="1" t="s">
        <v>80</v>
      </c>
      <c r="W85" s="1" t="s">
        <v>499</v>
      </c>
      <c r="X85" s="2">
        <f t="shared" si="30"/>
        <v>2</v>
      </c>
      <c r="Y85" s="1" t="str">
        <f t="shared" si="31"/>
        <v>Enviar se houver espaço</v>
      </c>
      <c r="Z85" s="1" t="str">
        <f t="shared" si="32"/>
        <v>OK</v>
      </c>
      <c r="AA85" s="11">
        <f t="shared" si="33"/>
        <v>0.8</v>
      </c>
      <c r="AB85" s="11">
        <f t="shared" si="34"/>
        <v>0.8</v>
      </c>
      <c r="AC85" s="1"/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76">
        <v>0</v>
      </c>
      <c r="AJ85" s="76">
        <f t="shared" si="35"/>
        <v>0</v>
      </c>
      <c r="AK85" s="1">
        <v>0</v>
      </c>
      <c r="AL85" s="1">
        <v>0</v>
      </c>
      <c r="AM85" s="1" t="str">
        <f t="shared" si="36"/>
        <v/>
      </c>
      <c r="AN85" s="1">
        <f t="shared" si="37"/>
        <v>0</v>
      </c>
      <c r="AO85" s="1">
        <v>0</v>
      </c>
      <c r="AP85" s="61">
        <f t="shared" si="38"/>
        <v>0</v>
      </c>
      <c r="AQ85" s="61">
        <v>0</v>
      </c>
      <c r="AR85" s="76">
        <v>0</v>
      </c>
      <c r="AS85" s="76">
        <f t="shared" si="39"/>
        <v>0</v>
      </c>
      <c r="AT85" s="69" t="str">
        <f t="shared" si="40"/>
        <v>OK</v>
      </c>
      <c r="AU85" s="77">
        <f t="shared" si="41"/>
        <v>4</v>
      </c>
      <c r="AV85" s="61" t="str">
        <f t="shared" si="42"/>
        <v>Sem mapa/sem consumo automático</v>
      </c>
      <c r="AW85" s="70"/>
      <c r="AX85" s="70">
        <v>0</v>
      </c>
      <c r="AY85" s="71" t="str">
        <f t="shared" si="43"/>
        <v>NÃO MAPEADO</v>
      </c>
      <c r="AZ85" s="70"/>
      <c r="BA85" s="71" t="str">
        <f t="shared" si="44"/>
        <v/>
      </c>
      <c r="BB85" s="70" t="str">
        <f t="shared" si="45"/>
        <v>Verificar cadastro</v>
      </c>
      <c r="BC85" s="78">
        <v>0</v>
      </c>
      <c r="BD85" s="78">
        <f t="shared" si="46"/>
        <v>0</v>
      </c>
      <c r="BE85" s="78">
        <v>0</v>
      </c>
      <c r="BF85">
        <v>0</v>
      </c>
      <c r="BG85">
        <v>0</v>
      </c>
      <c r="BH85">
        <v>0</v>
      </c>
      <c r="BJ85">
        <v>0</v>
      </c>
      <c r="BK85" s="103"/>
    </row>
    <row r="86" spans="1:63" ht="30" x14ac:dyDescent="0.25">
      <c r="A86" s="8" t="s">
        <v>257</v>
      </c>
      <c r="B86" s="8">
        <v>241.74</v>
      </c>
      <c r="C86" s="8">
        <v>966.95</v>
      </c>
      <c r="D86" s="8">
        <v>8373</v>
      </c>
      <c r="E86" s="8" t="s">
        <v>249</v>
      </c>
      <c r="F86" s="8" t="s">
        <v>240</v>
      </c>
      <c r="G86" s="8" t="s">
        <v>257</v>
      </c>
      <c r="H86" s="8">
        <v>4</v>
      </c>
      <c r="I86" s="12">
        <v>0</v>
      </c>
      <c r="J86" s="10">
        <f>REMESSAS!W87</f>
        <v>0</v>
      </c>
      <c r="K86" s="11">
        <f t="shared" si="25"/>
        <v>4</v>
      </c>
      <c r="L86" s="11">
        <f t="shared" si="26"/>
        <v>0</v>
      </c>
      <c r="M86" s="11">
        <f t="shared" si="27"/>
        <v>-4</v>
      </c>
      <c r="N86" s="11">
        <v>0</v>
      </c>
      <c r="O86" s="76">
        <f>IF($A86="","",IFERROR(SUMIF(Consumo_Joists!$A:$A,$A86,Consumo_Joists!$P:$P),0)+IFERROR(SUMIF(Consumo_Quadrantes!$A:$A,$A86,Consumo_Quadrantes!$F:$F),0))</f>
        <v>0</v>
      </c>
      <c r="P86" s="76">
        <v>0</v>
      </c>
      <c r="Q86" s="76"/>
      <c r="R86" s="76"/>
      <c r="S86" s="3">
        <f t="shared" si="28"/>
        <v>0</v>
      </c>
      <c r="T86" s="1" t="str">
        <f t="shared" si="29"/>
        <v>Crítico</v>
      </c>
      <c r="U86" s="1" t="s">
        <v>498</v>
      </c>
      <c r="V86" s="1" t="s">
        <v>80</v>
      </c>
      <c r="W86" s="1" t="s">
        <v>499</v>
      </c>
      <c r="X86" s="2">
        <f t="shared" si="30"/>
        <v>2</v>
      </c>
      <c r="Y86" s="1" t="str">
        <f t="shared" si="31"/>
        <v>Enviar se houver espaço</v>
      </c>
      <c r="Z86" s="1" t="str">
        <f t="shared" si="32"/>
        <v>OK</v>
      </c>
      <c r="AA86" s="11">
        <f t="shared" si="33"/>
        <v>0.8</v>
      </c>
      <c r="AB86" s="11">
        <f t="shared" si="34"/>
        <v>0.8</v>
      </c>
      <c r="AC86" s="1"/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76">
        <v>0</v>
      </c>
      <c r="AJ86" s="76">
        <f t="shared" si="35"/>
        <v>0</v>
      </c>
      <c r="AK86" s="1">
        <v>0</v>
      </c>
      <c r="AL86" s="1">
        <v>0</v>
      </c>
      <c r="AM86" s="1" t="str">
        <f t="shared" si="36"/>
        <v/>
      </c>
      <c r="AN86" s="1">
        <f t="shared" si="37"/>
        <v>0</v>
      </c>
      <c r="AO86" s="1">
        <v>0</v>
      </c>
      <c r="AP86" s="61">
        <f t="shared" si="38"/>
        <v>0</v>
      </c>
      <c r="AQ86" s="61">
        <v>0</v>
      </c>
      <c r="AR86" s="76">
        <v>0</v>
      </c>
      <c r="AS86" s="76">
        <f t="shared" si="39"/>
        <v>0</v>
      </c>
      <c r="AT86" s="69" t="str">
        <f t="shared" si="40"/>
        <v>OK</v>
      </c>
      <c r="AU86" s="77">
        <f t="shared" si="41"/>
        <v>4</v>
      </c>
      <c r="AV86" s="61" t="str">
        <f t="shared" si="42"/>
        <v>Sem mapa/sem consumo automático</v>
      </c>
      <c r="AW86" s="70"/>
      <c r="AX86" s="70">
        <v>0</v>
      </c>
      <c r="AY86" s="71" t="str">
        <f t="shared" si="43"/>
        <v>NÃO MAPEADO</v>
      </c>
      <c r="AZ86" s="70"/>
      <c r="BA86" s="71" t="str">
        <f t="shared" si="44"/>
        <v/>
      </c>
      <c r="BB86" s="70" t="str">
        <f t="shared" si="45"/>
        <v>Verificar cadastro</v>
      </c>
      <c r="BC86" s="78">
        <v>0</v>
      </c>
      <c r="BD86" s="78">
        <f t="shared" si="46"/>
        <v>0</v>
      </c>
      <c r="BE86" s="78">
        <v>0</v>
      </c>
      <c r="BF86">
        <v>0</v>
      </c>
      <c r="BG86">
        <v>0</v>
      </c>
      <c r="BH86">
        <v>0</v>
      </c>
      <c r="BJ86">
        <v>0</v>
      </c>
      <c r="BK86" s="103"/>
    </row>
    <row r="87" spans="1:63" ht="30" x14ac:dyDescent="0.25">
      <c r="A87" s="8" t="s">
        <v>258</v>
      </c>
      <c r="B87" s="8">
        <v>114.42</v>
      </c>
      <c r="C87" s="8">
        <v>228.84</v>
      </c>
      <c r="D87" s="8">
        <v>1937</v>
      </c>
      <c r="E87" s="8" t="s">
        <v>249</v>
      </c>
      <c r="F87" s="8" t="s">
        <v>240</v>
      </c>
      <c r="G87" s="8" t="s">
        <v>258</v>
      </c>
      <c r="H87" s="8">
        <v>2</v>
      </c>
      <c r="I87" s="9">
        <v>0</v>
      </c>
      <c r="J87" s="10">
        <f>REMESSAS!W88</f>
        <v>0</v>
      </c>
      <c r="K87" s="11">
        <f t="shared" si="25"/>
        <v>2</v>
      </c>
      <c r="L87" s="11">
        <f t="shared" si="26"/>
        <v>0</v>
      </c>
      <c r="M87" s="11">
        <f t="shared" si="27"/>
        <v>-2</v>
      </c>
      <c r="N87" s="11">
        <v>0</v>
      </c>
      <c r="O87" s="76">
        <f>IF($A87="","",IFERROR(SUMIF(Consumo_Joists!$A:$A,$A87,Consumo_Joists!$P:$P),0)+IFERROR(SUMIF(Consumo_Quadrantes!$A:$A,$A87,Consumo_Quadrantes!$F:$F),0))</f>
        <v>0</v>
      </c>
      <c r="P87" s="76">
        <v>0</v>
      </c>
      <c r="Q87" s="76"/>
      <c r="R87" s="76"/>
      <c r="S87" s="3">
        <f t="shared" si="28"/>
        <v>0</v>
      </c>
      <c r="T87" s="1" t="str">
        <f t="shared" si="29"/>
        <v>Crítico</v>
      </c>
      <c r="U87" s="1" t="s">
        <v>498</v>
      </c>
      <c r="V87" s="1" t="s">
        <v>80</v>
      </c>
      <c r="W87" s="1" t="s">
        <v>499</v>
      </c>
      <c r="X87" s="2">
        <f t="shared" si="30"/>
        <v>1</v>
      </c>
      <c r="Y87" s="1" t="str">
        <f t="shared" si="31"/>
        <v>Enviar se houver espaço</v>
      </c>
      <c r="Z87" s="1" t="str">
        <f t="shared" si="32"/>
        <v>OK</v>
      </c>
      <c r="AA87" s="11">
        <f t="shared" si="33"/>
        <v>0.4</v>
      </c>
      <c r="AB87" s="11">
        <f t="shared" si="34"/>
        <v>0.4</v>
      </c>
      <c r="AC87" s="1"/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76">
        <v>0</v>
      </c>
      <c r="AJ87" s="76">
        <f t="shared" si="35"/>
        <v>0</v>
      </c>
      <c r="AK87" s="1">
        <v>0</v>
      </c>
      <c r="AL87" s="1">
        <v>0</v>
      </c>
      <c r="AM87" s="1" t="str">
        <f t="shared" si="36"/>
        <v/>
      </c>
      <c r="AN87" s="1">
        <f t="shared" si="37"/>
        <v>0</v>
      </c>
      <c r="AO87" s="1">
        <v>0</v>
      </c>
      <c r="AP87" s="61">
        <f t="shared" si="38"/>
        <v>0</v>
      </c>
      <c r="AQ87" s="61">
        <v>0</v>
      </c>
      <c r="AR87" s="76">
        <v>0</v>
      </c>
      <c r="AS87" s="76">
        <f t="shared" si="39"/>
        <v>0</v>
      </c>
      <c r="AT87" s="69" t="str">
        <f t="shared" si="40"/>
        <v>OK</v>
      </c>
      <c r="AU87" s="77">
        <f t="shared" si="41"/>
        <v>2</v>
      </c>
      <c r="AV87" s="61" t="str">
        <f t="shared" si="42"/>
        <v>Sem mapa/sem consumo automático</v>
      </c>
      <c r="AW87" s="70"/>
      <c r="AX87" s="70">
        <v>0</v>
      </c>
      <c r="AY87" s="71" t="str">
        <f t="shared" si="43"/>
        <v>NÃO MAPEADO</v>
      </c>
      <c r="AZ87" s="70"/>
      <c r="BA87" s="71" t="str">
        <f t="shared" si="44"/>
        <v/>
      </c>
      <c r="BB87" s="70" t="str">
        <f t="shared" si="45"/>
        <v>Verificar cadastro</v>
      </c>
      <c r="BC87" s="78">
        <v>0</v>
      </c>
      <c r="BD87" s="78">
        <f t="shared" si="46"/>
        <v>0</v>
      </c>
      <c r="BE87" s="78">
        <v>0</v>
      </c>
      <c r="BF87">
        <v>0</v>
      </c>
      <c r="BG87">
        <v>0</v>
      </c>
      <c r="BH87">
        <v>0</v>
      </c>
      <c r="BJ87">
        <v>0</v>
      </c>
      <c r="BK87" s="103"/>
    </row>
    <row r="88" spans="1:63" ht="30" x14ac:dyDescent="0.25">
      <c r="A88" s="8" t="s">
        <v>259</v>
      </c>
      <c r="B88" s="8">
        <v>1009.21</v>
      </c>
      <c r="C88" s="8">
        <v>1009.21</v>
      </c>
      <c r="D88" s="8">
        <v>12000</v>
      </c>
      <c r="E88" s="8" t="s">
        <v>239</v>
      </c>
      <c r="F88" s="8" t="s">
        <v>240</v>
      </c>
      <c r="G88" s="8" t="s">
        <v>259</v>
      </c>
      <c r="H88" s="8">
        <v>1</v>
      </c>
      <c r="I88" s="12">
        <v>0</v>
      </c>
      <c r="J88" s="10">
        <f>REMESSAS!W89</f>
        <v>0</v>
      </c>
      <c r="K88" s="11">
        <f t="shared" si="25"/>
        <v>1</v>
      </c>
      <c r="L88" s="11">
        <f t="shared" si="26"/>
        <v>0</v>
      </c>
      <c r="M88" s="11">
        <f t="shared" si="27"/>
        <v>-1</v>
      </c>
      <c r="N88" s="11">
        <v>0</v>
      </c>
      <c r="O88" s="76">
        <f>IF($A88="","",IFERROR(SUMIF(Consumo_Joists!$A:$A,$A88,Consumo_Joists!$P:$P),0)+IFERROR(SUMIF(Consumo_Quadrantes!$A:$A,$A88,Consumo_Quadrantes!$F:$F),0))</f>
        <v>0</v>
      </c>
      <c r="P88" s="76">
        <v>0</v>
      </c>
      <c r="Q88" s="76"/>
      <c r="R88" s="76"/>
      <c r="S88" s="3">
        <f t="shared" si="28"/>
        <v>0</v>
      </c>
      <c r="T88" s="1" t="str">
        <f t="shared" si="29"/>
        <v>Crítico</v>
      </c>
      <c r="U88" s="1" t="s">
        <v>498</v>
      </c>
      <c r="V88" s="1" t="s">
        <v>80</v>
      </c>
      <c r="W88" s="1" t="s">
        <v>499</v>
      </c>
      <c r="X88" s="2">
        <f t="shared" si="30"/>
        <v>1</v>
      </c>
      <c r="Y88" s="1" t="str">
        <f t="shared" si="31"/>
        <v>Enviar se houver espaço</v>
      </c>
      <c r="Z88" s="1" t="str">
        <f t="shared" si="32"/>
        <v>OK</v>
      </c>
      <c r="AA88" s="11">
        <f t="shared" si="33"/>
        <v>0.2</v>
      </c>
      <c r="AB88" s="11">
        <f t="shared" si="34"/>
        <v>0.2</v>
      </c>
      <c r="AC88" s="1"/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76">
        <v>0</v>
      </c>
      <c r="AJ88" s="76">
        <f t="shared" si="35"/>
        <v>0</v>
      </c>
      <c r="AK88" s="1">
        <v>0</v>
      </c>
      <c r="AL88" s="1">
        <v>0</v>
      </c>
      <c r="AM88" s="1" t="str">
        <f t="shared" si="36"/>
        <v/>
      </c>
      <c r="AN88" s="1">
        <f t="shared" si="37"/>
        <v>0</v>
      </c>
      <c r="AO88" s="1">
        <v>0</v>
      </c>
      <c r="AP88" s="61">
        <f t="shared" si="38"/>
        <v>0</v>
      </c>
      <c r="AQ88" s="61">
        <v>0</v>
      </c>
      <c r="AR88" s="76">
        <v>0</v>
      </c>
      <c r="AS88" s="76">
        <f t="shared" si="39"/>
        <v>0</v>
      </c>
      <c r="AT88" s="69" t="str">
        <f t="shared" si="40"/>
        <v>OK</v>
      </c>
      <c r="AU88" s="77">
        <f t="shared" si="41"/>
        <v>1</v>
      </c>
      <c r="AV88" s="61" t="str">
        <f t="shared" si="42"/>
        <v>Sem mapa/sem consumo automático</v>
      </c>
      <c r="AW88" s="70"/>
      <c r="AX88" s="70">
        <v>0</v>
      </c>
      <c r="AY88" s="71" t="str">
        <f t="shared" si="43"/>
        <v>NÃO MAPEADO</v>
      </c>
      <c r="AZ88" s="70"/>
      <c r="BA88" s="71" t="str">
        <f t="shared" si="44"/>
        <v/>
      </c>
      <c r="BB88" s="70" t="str">
        <f t="shared" si="45"/>
        <v>Verificar cadastro</v>
      </c>
      <c r="BC88" s="78">
        <v>0</v>
      </c>
      <c r="BD88" s="78">
        <f t="shared" si="46"/>
        <v>0</v>
      </c>
      <c r="BE88" s="78">
        <v>0</v>
      </c>
      <c r="BF88">
        <v>0</v>
      </c>
      <c r="BG88">
        <v>0</v>
      </c>
      <c r="BH88">
        <v>0</v>
      </c>
      <c r="BJ88">
        <v>0</v>
      </c>
      <c r="BK88" s="103"/>
    </row>
    <row r="89" spans="1:63" ht="30" x14ac:dyDescent="0.25">
      <c r="A89" s="8" t="s">
        <v>260</v>
      </c>
      <c r="B89" s="8">
        <v>1009.21</v>
      </c>
      <c r="C89" s="8">
        <v>1009.21</v>
      </c>
      <c r="D89" s="8">
        <v>12000</v>
      </c>
      <c r="E89" s="8" t="s">
        <v>239</v>
      </c>
      <c r="F89" s="8" t="s">
        <v>240</v>
      </c>
      <c r="G89" s="8" t="s">
        <v>260</v>
      </c>
      <c r="H89" s="8">
        <v>1</v>
      </c>
      <c r="I89" s="9">
        <v>0</v>
      </c>
      <c r="J89" s="10">
        <f>REMESSAS!W90</f>
        <v>0</v>
      </c>
      <c r="K89" s="11">
        <f t="shared" si="25"/>
        <v>1</v>
      </c>
      <c r="L89" s="11">
        <f t="shared" si="26"/>
        <v>0</v>
      </c>
      <c r="M89" s="11">
        <f t="shared" si="27"/>
        <v>-1</v>
      </c>
      <c r="N89" s="11">
        <v>0</v>
      </c>
      <c r="O89" s="76">
        <f>IF($A89="","",IFERROR(SUMIF(Consumo_Joists!$A:$A,$A89,Consumo_Joists!$P:$P),0)+IFERROR(SUMIF(Consumo_Quadrantes!$A:$A,$A89,Consumo_Quadrantes!$F:$F),0))</f>
        <v>0</v>
      </c>
      <c r="P89" s="76">
        <v>0</v>
      </c>
      <c r="Q89" s="76"/>
      <c r="R89" s="76"/>
      <c r="S89" s="3">
        <f t="shared" si="28"/>
        <v>0</v>
      </c>
      <c r="T89" s="1" t="str">
        <f t="shared" si="29"/>
        <v>Crítico</v>
      </c>
      <c r="U89" s="1" t="s">
        <v>498</v>
      </c>
      <c r="V89" s="1" t="s">
        <v>80</v>
      </c>
      <c r="W89" s="1" t="s">
        <v>499</v>
      </c>
      <c r="X89" s="2">
        <f t="shared" si="30"/>
        <v>1</v>
      </c>
      <c r="Y89" s="1" t="str">
        <f t="shared" si="31"/>
        <v>Enviar se houver espaço</v>
      </c>
      <c r="Z89" s="1" t="str">
        <f t="shared" si="32"/>
        <v>OK</v>
      </c>
      <c r="AA89" s="11">
        <f t="shared" si="33"/>
        <v>0.2</v>
      </c>
      <c r="AB89" s="11">
        <f t="shared" si="34"/>
        <v>0.2</v>
      </c>
      <c r="AC89" s="1"/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76">
        <v>0</v>
      </c>
      <c r="AJ89" s="76">
        <f t="shared" si="35"/>
        <v>0</v>
      </c>
      <c r="AK89" s="1">
        <v>0</v>
      </c>
      <c r="AL89" s="1">
        <v>0</v>
      </c>
      <c r="AM89" s="1" t="str">
        <f t="shared" si="36"/>
        <v/>
      </c>
      <c r="AN89" s="1">
        <f t="shared" si="37"/>
        <v>0</v>
      </c>
      <c r="AO89" s="1">
        <v>0</v>
      </c>
      <c r="AP89" s="61">
        <f t="shared" si="38"/>
        <v>0</v>
      </c>
      <c r="AQ89" s="61">
        <v>0</v>
      </c>
      <c r="AR89" s="76">
        <v>0</v>
      </c>
      <c r="AS89" s="76">
        <f t="shared" si="39"/>
        <v>0</v>
      </c>
      <c r="AT89" s="69" t="str">
        <f t="shared" si="40"/>
        <v>OK</v>
      </c>
      <c r="AU89" s="77">
        <f t="shared" si="41"/>
        <v>1</v>
      </c>
      <c r="AV89" s="61" t="str">
        <f t="shared" si="42"/>
        <v>Sem mapa/sem consumo automático</v>
      </c>
      <c r="AW89" s="70"/>
      <c r="AX89" s="70">
        <v>0</v>
      </c>
      <c r="AY89" s="71" t="str">
        <f t="shared" si="43"/>
        <v>NÃO MAPEADO</v>
      </c>
      <c r="AZ89" s="70"/>
      <c r="BA89" s="71" t="str">
        <f t="shared" si="44"/>
        <v/>
      </c>
      <c r="BB89" s="70" t="str">
        <f t="shared" si="45"/>
        <v>Verificar cadastro</v>
      </c>
      <c r="BC89" s="78">
        <v>0</v>
      </c>
      <c r="BD89" s="78">
        <f t="shared" si="46"/>
        <v>0</v>
      </c>
      <c r="BE89" s="78">
        <v>0</v>
      </c>
      <c r="BF89">
        <v>0</v>
      </c>
      <c r="BG89">
        <v>0</v>
      </c>
      <c r="BH89">
        <v>0</v>
      </c>
      <c r="BJ89">
        <v>0</v>
      </c>
      <c r="BK89" s="103"/>
    </row>
    <row r="90" spans="1:63" ht="30" x14ac:dyDescent="0.25">
      <c r="A90" s="8" t="s">
        <v>261</v>
      </c>
      <c r="B90" s="8">
        <v>973.01</v>
      </c>
      <c r="C90" s="8">
        <v>973.01</v>
      </c>
      <c r="D90" s="8">
        <v>12000</v>
      </c>
      <c r="E90" s="8" t="s">
        <v>239</v>
      </c>
      <c r="F90" s="8" t="s">
        <v>240</v>
      </c>
      <c r="G90" s="8" t="s">
        <v>261</v>
      </c>
      <c r="H90" s="8">
        <v>1</v>
      </c>
      <c r="I90" s="12">
        <v>0</v>
      </c>
      <c r="J90" s="10">
        <f>REMESSAS!W91</f>
        <v>0</v>
      </c>
      <c r="K90" s="11">
        <f t="shared" si="25"/>
        <v>1</v>
      </c>
      <c r="L90" s="11">
        <f t="shared" si="26"/>
        <v>0</v>
      </c>
      <c r="M90" s="11">
        <f t="shared" si="27"/>
        <v>-1</v>
      </c>
      <c r="N90" s="11">
        <v>0</v>
      </c>
      <c r="O90" s="76">
        <f>IF($A90="","",IFERROR(SUMIF(Consumo_Joists!$A:$A,$A90,Consumo_Joists!$P:$P),0)+IFERROR(SUMIF(Consumo_Quadrantes!$A:$A,$A90,Consumo_Quadrantes!$F:$F),0))</f>
        <v>0</v>
      </c>
      <c r="P90" s="76">
        <v>0</v>
      </c>
      <c r="Q90" s="76"/>
      <c r="R90" s="76"/>
      <c r="S90" s="3">
        <f t="shared" si="28"/>
        <v>0</v>
      </c>
      <c r="T90" s="1" t="str">
        <f t="shared" si="29"/>
        <v>Crítico</v>
      </c>
      <c r="U90" s="1" t="s">
        <v>498</v>
      </c>
      <c r="V90" s="1" t="s">
        <v>80</v>
      </c>
      <c r="W90" s="1" t="s">
        <v>499</v>
      </c>
      <c r="X90" s="2">
        <f t="shared" si="30"/>
        <v>1</v>
      </c>
      <c r="Y90" s="1" t="str">
        <f t="shared" si="31"/>
        <v>Enviar se houver espaço</v>
      </c>
      <c r="Z90" s="1" t="str">
        <f t="shared" si="32"/>
        <v>OK</v>
      </c>
      <c r="AA90" s="11">
        <f t="shared" si="33"/>
        <v>0.2</v>
      </c>
      <c r="AB90" s="11">
        <f t="shared" si="34"/>
        <v>0.2</v>
      </c>
      <c r="AC90" s="1"/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76">
        <v>0</v>
      </c>
      <c r="AJ90" s="76">
        <f t="shared" si="35"/>
        <v>0</v>
      </c>
      <c r="AK90" s="1">
        <v>0</v>
      </c>
      <c r="AL90" s="1">
        <v>0</v>
      </c>
      <c r="AM90" s="1" t="str">
        <f t="shared" si="36"/>
        <v/>
      </c>
      <c r="AN90" s="1">
        <f t="shared" si="37"/>
        <v>0</v>
      </c>
      <c r="AO90" s="1">
        <v>0</v>
      </c>
      <c r="AP90" s="61">
        <f t="shared" si="38"/>
        <v>0</v>
      </c>
      <c r="AQ90" s="61">
        <v>0</v>
      </c>
      <c r="AR90" s="76">
        <v>0</v>
      </c>
      <c r="AS90" s="76">
        <f t="shared" si="39"/>
        <v>0</v>
      </c>
      <c r="AT90" s="69" t="str">
        <f t="shared" si="40"/>
        <v>OK</v>
      </c>
      <c r="AU90" s="77">
        <f t="shared" si="41"/>
        <v>1</v>
      </c>
      <c r="AV90" s="61" t="str">
        <f t="shared" si="42"/>
        <v>Sem mapa/sem consumo automático</v>
      </c>
      <c r="AW90" s="70"/>
      <c r="AX90" s="70">
        <v>0</v>
      </c>
      <c r="AY90" s="71" t="str">
        <f t="shared" si="43"/>
        <v>NÃO MAPEADO</v>
      </c>
      <c r="AZ90" s="70"/>
      <c r="BA90" s="71" t="str">
        <f t="shared" si="44"/>
        <v/>
      </c>
      <c r="BB90" s="70" t="str">
        <f t="shared" si="45"/>
        <v>Verificar cadastro</v>
      </c>
      <c r="BC90" s="78">
        <v>0</v>
      </c>
      <c r="BD90" s="78">
        <f t="shared" si="46"/>
        <v>0</v>
      </c>
      <c r="BE90" s="78">
        <v>0</v>
      </c>
      <c r="BF90">
        <v>0</v>
      </c>
      <c r="BG90">
        <v>0</v>
      </c>
      <c r="BH90">
        <v>0</v>
      </c>
      <c r="BJ90">
        <v>0</v>
      </c>
      <c r="BK90" s="103"/>
    </row>
    <row r="91" spans="1:63" ht="30" x14ac:dyDescent="0.25">
      <c r="A91" s="8" t="s">
        <v>262</v>
      </c>
      <c r="B91" s="8">
        <v>973.01</v>
      </c>
      <c r="C91" s="8">
        <v>973.01</v>
      </c>
      <c r="D91" s="8">
        <v>12000</v>
      </c>
      <c r="E91" s="8" t="s">
        <v>239</v>
      </c>
      <c r="F91" s="8" t="s">
        <v>240</v>
      </c>
      <c r="G91" s="8" t="s">
        <v>262</v>
      </c>
      <c r="H91" s="8">
        <v>1</v>
      </c>
      <c r="I91" s="9">
        <v>0</v>
      </c>
      <c r="J91" s="10">
        <f>REMESSAS!W92</f>
        <v>0</v>
      </c>
      <c r="K91" s="11">
        <f t="shared" si="25"/>
        <v>1</v>
      </c>
      <c r="L91" s="11">
        <f t="shared" si="26"/>
        <v>0</v>
      </c>
      <c r="M91" s="11">
        <f t="shared" si="27"/>
        <v>-1</v>
      </c>
      <c r="N91" s="11">
        <v>0</v>
      </c>
      <c r="O91" s="76">
        <f>IF($A91="","",IFERROR(SUMIF(Consumo_Joists!$A:$A,$A91,Consumo_Joists!$P:$P),0)+IFERROR(SUMIF(Consumo_Quadrantes!$A:$A,$A91,Consumo_Quadrantes!$F:$F),0))</f>
        <v>0</v>
      </c>
      <c r="P91" s="76">
        <v>0</v>
      </c>
      <c r="Q91" s="76"/>
      <c r="R91" s="76"/>
      <c r="S91" s="3">
        <f t="shared" si="28"/>
        <v>0</v>
      </c>
      <c r="T91" s="1" t="str">
        <f t="shared" si="29"/>
        <v>Crítico</v>
      </c>
      <c r="U91" s="1" t="s">
        <v>498</v>
      </c>
      <c r="V91" s="1" t="s">
        <v>80</v>
      </c>
      <c r="W91" s="1" t="s">
        <v>499</v>
      </c>
      <c r="X91" s="2">
        <f t="shared" si="30"/>
        <v>1</v>
      </c>
      <c r="Y91" s="1" t="str">
        <f t="shared" si="31"/>
        <v>Enviar se houver espaço</v>
      </c>
      <c r="Z91" s="1" t="str">
        <f t="shared" si="32"/>
        <v>OK</v>
      </c>
      <c r="AA91" s="11">
        <f t="shared" si="33"/>
        <v>0.2</v>
      </c>
      <c r="AB91" s="11">
        <f t="shared" si="34"/>
        <v>0.2</v>
      </c>
      <c r="AC91" s="1"/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76">
        <v>0</v>
      </c>
      <c r="AJ91" s="76">
        <f t="shared" si="35"/>
        <v>0</v>
      </c>
      <c r="AK91" s="1">
        <v>0</v>
      </c>
      <c r="AL91" s="1">
        <v>0</v>
      </c>
      <c r="AM91" s="1" t="str">
        <f t="shared" si="36"/>
        <v/>
      </c>
      <c r="AN91" s="1">
        <f t="shared" si="37"/>
        <v>0</v>
      </c>
      <c r="AO91" s="1">
        <v>0</v>
      </c>
      <c r="AP91" s="61">
        <f t="shared" si="38"/>
        <v>0</v>
      </c>
      <c r="AQ91" s="61">
        <v>0</v>
      </c>
      <c r="AR91" s="76">
        <v>0</v>
      </c>
      <c r="AS91" s="76">
        <f t="shared" si="39"/>
        <v>0</v>
      </c>
      <c r="AT91" s="69" t="str">
        <f t="shared" si="40"/>
        <v>OK</v>
      </c>
      <c r="AU91" s="77">
        <f t="shared" si="41"/>
        <v>1</v>
      </c>
      <c r="AV91" s="61" t="str">
        <f t="shared" si="42"/>
        <v>Sem mapa/sem consumo automático</v>
      </c>
      <c r="AW91" s="70"/>
      <c r="AX91" s="70">
        <v>0</v>
      </c>
      <c r="AY91" s="71" t="str">
        <f t="shared" si="43"/>
        <v>NÃO MAPEADO</v>
      </c>
      <c r="AZ91" s="70"/>
      <c r="BA91" s="71" t="str">
        <f t="shared" si="44"/>
        <v/>
      </c>
      <c r="BB91" s="70" t="str">
        <f t="shared" si="45"/>
        <v>Verificar cadastro</v>
      </c>
      <c r="BC91" s="78">
        <v>0</v>
      </c>
      <c r="BD91" s="78">
        <f t="shared" si="46"/>
        <v>0</v>
      </c>
      <c r="BE91" s="78">
        <v>0</v>
      </c>
      <c r="BF91">
        <v>0</v>
      </c>
      <c r="BG91">
        <v>0</v>
      </c>
      <c r="BH91">
        <v>0</v>
      </c>
      <c r="BJ91">
        <v>0</v>
      </c>
      <c r="BK91" s="103"/>
    </row>
    <row r="92" spans="1:63" ht="30" x14ac:dyDescent="0.25">
      <c r="A92" s="8" t="s">
        <v>263</v>
      </c>
      <c r="B92" s="8">
        <v>1179.8699999999999</v>
      </c>
      <c r="C92" s="8">
        <v>1179.8699999999999</v>
      </c>
      <c r="D92" s="8">
        <v>12000</v>
      </c>
      <c r="E92" s="8" t="s">
        <v>246</v>
      </c>
      <c r="F92" s="8" t="s">
        <v>240</v>
      </c>
      <c r="G92" s="8" t="s">
        <v>263</v>
      </c>
      <c r="H92" s="8">
        <v>1</v>
      </c>
      <c r="I92" s="12">
        <v>0</v>
      </c>
      <c r="J92" s="10">
        <f>REMESSAS!W93</f>
        <v>0</v>
      </c>
      <c r="K92" s="11">
        <f t="shared" si="25"/>
        <v>1</v>
      </c>
      <c r="L92" s="11">
        <f t="shared" si="26"/>
        <v>0</v>
      </c>
      <c r="M92" s="11">
        <f t="shared" si="27"/>
        <v>-1</v>
      </c>
      <c r="N92" s="11">
        <v>0</v>
      </c>
      <c r="O92" s="76">
        <f>IF($A92="","",IFERROR(SUMIF(Consumo_Joists!$A:$A,$A92,Consumo_Joists!$P:$P),0)+IFERROR(SUMIF(Consumo_Quadrantes!$A:$A,$A92,Consumo_Quadrantes!$F:$F),0))</f>
        <v>0</v>
      </c>
      <c r="P92" s="76">
        <v>0</v>
      </c>
      <c r="Q92" s="76"/>
      <c r="R92" s="76"/>
      <c r="S92" s="3">
        <f t="shared" si="28"/>
        <v>0</v>
      </c>
      <c r="T92" s="1" t="str">
        <f t="shared" si="29"/>
        <v>Crítico</v>
      </c>
      <c r="U92" s="1" t="s">
        <v>498</v>
      </c>
      <c r="V92" s="1" t="s">
        <v>80</v>
      </c>
      <c r="W92" s="1" t="s">
        <v>499</v>
      </c>
      <c r="X92" s="2">
        <f t="shared" si="30"/>
        <v>1</v>
      </c>
      <c r="Y92" s="1" t="str">
        <f t="shared" si="31"/>
        <v>Enviar se houver espaço</v>
      </c>
      <c r="Z92" s="1" t="str">
        <f t="shared" si="32"/>
        <v>OK</v>
      </c>
      <c r="AA92" s="11">
        <f t="shared" si="33"/>
        <v>0.2</v>
      </c>
      <c r="AB92" s="11">
        <f t="shared" si="34"/>
        <v>0.2</v>
      </c>
      <c r="AC92" s="1"/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76">
        <v>0</v>
      </c>
      <c r="AJ92" s="76">
        <f t="shared" si="35"/>
        <v>0</v>
      </c>
      <c r="AK92" s="1">
        <v>0</v>
      </c>
      <c r="AL92" s="1">
        <v>0</v>
      </c>
      <c r="AM92" s="1" t="str">
        <f t="shared" si="36"/>
        <v/>
      </c>
      <c r="AN92" s="1">
        <f t="shared" si="37"/>
        <v>0</v>
      </c>
      <c r="AO92" s="1">
        <v>0</v>
      </c>
      <c r="AP92" s="61">
        <f t="shared" si="38"/>
        <v>0</v>
      </c>
      <c r="AQ92" s="61">
        <v>0</v>
      </c>
      <c r="AR92" s="76">
        <v>0</v>
      </c>
      <c r="AS92" s="76">
        <f t="shared" si="39"/>
        <v>0</v>
      </c>
      <c r="AT92" s="69" t="str">
        <f t="shared" si="40"/>
        <v>OK</v>
      </c>
      <c r="AU92" s="77">
        <f t="shared" si="41"/>
        <v>1</v>
      </c>
      <c r="AV92" s="61" t="str">
        <f t="shared" si="42"/>
        <v>Sem mapa/sem consumo automático</v>
      </c>
      <c r="AW92" s="70"/>
      <c r="AX92" s="70">
        <v>0</v>
      </c>
      <c r="AY92" s="71" t="str">
        <f t="shared" si="43"/>
        <v>NÃO MAPEADO</v>
      </c>
      <c r="AZ92" s="70"/>
      <c r="BA92" s="71" t="str">
        <f t="shared" si="44"/>
        <v/>
      </c>
      <c r="BB92" s="70" t="str">
        <f t="shared" si="45"/>
        <v>Verificar cadastro</v>
      </c>
      <c r="BC92" s="78">
        <v>0</v>
      </c>
      <c r="BD92" s="78">
        <f t="shared" si="46"/>
        <v>0</v>
      </c>
      <c r="BE92" s="78">
        <v>0</v>
      </c>
      <c r="BF92">
        <v>0</v>
      </c>
      <c r="BG92">
        <v>0</v>
      </c>
      <c r="BH92">
        <v>0</v>
      </c>
      <c r="BJ92">
        <v>0</v>
      </c>
      <c r="BK92" s="103"/>
    </row>
    <row r="93" spans="1:63" ht="30" x14ac:dyDescent="0.25">
      <c r="A93" s="8" t="s">
        <v>264</v>
      </c>
      <c r="B93" s="8">
        <v>1179.8699999999999</v>
      </c>
      <c r="C93" s="8">
        <v>1179.8699999999999</v>
      </c>
      <c r="D93" s="8">
        <v>12000</v>
      </c>
      <c r="E93" s="8" t="s">
        <v>246</v>
      </c>
      <c r="F93" s="8" t="s">
        <v>240</v>
      </c>
      <c r="G93" s="8" t="s">
        <v>264</v>
      </c>
      <c r="H93" s="8">
        <v>1</v>
      </c>
      <c r="I93" s="9">
        <v>0</v>
      </c>
      <c r="J93" s="10">
        <f>REMESSAS!W94</f>
        <v>0</v>
      </c>
      <c r="K93" s="11">
        <f t="shared" si="25"/>
        <v>1</v>
      </c>
      <c r="L93" s="11">
        <f t="shared" si="26"/>
        <v>0</v>
      </c>
      <c r="M93" s="11">
        <f t="shared" si="27"/>
        <v>-1</v>
      </c>
      <c r="N93" s="11">
        <v>0</v>
      </c>
      <c r="O93" s="76">
        <f>IF($A93="","",IFERROR(SUMIF(Consumo_Joists!$A:$A,$A93,Consumo_Joists!$P:$P),0)+IFERROR(SUMIF(Consumo_Quadrantes!$A:$A,$A93,Consumo_Quadrantes!$F:$F),0))</f>
        <v>0</v>
      </c>
      <c r="P93" s="76">
        <v>0</v>
      </c>
      <c r="Q93" s="76"/>
      <c r="R93" s="76"/>
      <c r="S93" s="3">
        <f t="shared" si="28"/>
        <v>0</v>
      </c>
      <c r="T93" s="1" t="str">
        <f t="shared" si="29"/>
        <v>Crítico</v>
      </c>
      <c r="U93" s="1" t="s">
        <v>498</v>
      </c>
      <c r="V93" s="1" t="s">
        <v>80</v>
      </c>
      <c r="W93" s="1" t="s">
        <v>499</v>
      </c>
      <c r="X93" s="2">
        <f t="shared" si="30"/>
        <v>1</v>
      </c>
      <c r="Y93" s="1" t="str">
        <f t="shared" si="31"/>
        <v>Enviar se houver espaço</v>
      </c>
      <c r="Z93" s="1" t="str">
        <f t="shared" si="32"/>
        <v>OK</v>
      </c>
      <c r="AA93" s="11">
        <f t="shared" si="33"/>
        <v>0.2</v>
      </c>
      <c r="AB93" s="11">
        <f t="shared" si="34"/>
        <v>0.2</v>
      </c>
      <c r="AC93" s="1"/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76">
        <v>0</v>
      </c>
      <c r="AJ93" s="76">
        <f t="shared" si="35"/>
        <v>0</v>
      </c>
      <c r="AK93" s="1">
        <v>0</v>
      </c>
      <c r="AL93" s="1">
        <v>0</v>
      </c>
      <c r="AM93" s="1" t="str">
        <f t="shared" si="36"/>
        <v/>
      </c>
      <c r="AN93" s="1">
        <f t="shared" si="37"/>
        <v>0</v>
      </c>
      <c r="AO93" s="1">
        <v>0</v>
      </c>
      <c r="AP93" s="61">
        <f t="shared" si="38"/>
        <v>0</v>
      </c>
      <c r="AQ93" s="61">
        <v>0</v>
      </c>
      <c r="AR93" s="76">
        <v>0</v>
      </c>
      <c r="AS93" s="76">
        <f t="shared" si="39"/>
        <v>0</v>
      </c>
      <c r="AT93" s="69" t="str">
        <f t="shared" si="40"/>
        <v>OK</v>
      </c>
      <c r="AU93" s="77">
        <f t="shared" si="41"/>
        <v>1</v>
      </c>
      <c r="AV93" s="61" t="str">
        <f t="shared" si="42"/>
        <v>Sem mapa/sem consumo automático</v>
      </c>
      <c r="AW93" s="70"/>
      <c r="AX93" s="70">
        <v>0</v>
      </c>
      <c r="AY93" s="71" t="str">
        <f t="shared" si="43"/>
        <v>NÃO MAPEADO</v>
      </c>
      <c r="AZ93" s="70"/>
      <c r="BA93" s="71" t="str">
        <f t="shared" si="44"/>
        <v/>
      </c>
      <c r="BB93" s="70" t="str">
        <f t="shared" si="45"/>
        <v>Verificar cadastro</v>
      </c>
      <c r="BC93" s="78">
        <v>0</v>
      </c>
      <c r="BD93" s="78">
        <f t="shared" si="46"/>
        <v>0</v>
      </c>
      <c r="BE93" s="78">
        <v>0</v>
      </c>
      <c r="BF93">
        <v>0</v>
      </c>
      <c r="BG93">
        <v>0</v>
      </c>
      <c r="BH93">
        <v>0</v>
      </c>
      <c r="BJ93">
        <v>0</v>
      </c>
      <c r="BK93" s="103"/>
    </row>
    <row r="94" spans="1:63" ht="30" x14ac:dyDescent="0.25">
      <c r="A94" s="8" t="s">
        <v>267</v>
      </c>
      <c r="B94" s="8">
        <v>2.2000000000000002</v>
      </c>
      <c r="C94" s="8">
        <v>1663.2</v>
      </c>
      <c r="D94" s="8">
        <v>1775</v>
      </c>
      <c r="E94" s="8" t="s">
        <v>265</v>
      </c>
      <c r="F94" s="8" t="s">
        <v>266</v>
      </c>
      <c r="G94" s="8" t="s">
        <v>267</v>
      </c>
      <c r="H94" s="8">
        <v>756</v>
      </c>
      <c r="I94" s="12">
        <v>0</v>
      </c>
      <c r="J94" s="10">
        <f>REMESSAS!W95</f>
        <v>0</v>
      </c>
      <c r="K94" s="11">
        <f t="shared" si="25"/>
        <v>756</v>
      </c>
      <c r="L94" s="11">
        <f t="shared" si="26"/>
        <v>0</v>
      </c>
      <c r="M94" s="11">
        <f t="shared" si="27"/>
        <v>-756</v>
      </c>
      <c r="N94" s="11">
        <v>0</v>
      </c>
      <c r="O94" s="76">
        <f>IF($A94="","",IFERROR(SUMIF(Consumo_Joists!$A:$A,$A94,Consumo_Joists!$P:$P),0)+IFERROR(SUMIF(Consumo_Quadrantes!$A:$A,$A94,Consumo_Quadrantes!$F:$F),0))</f>
        <v>0</v>
      </c>
      <c r="P94" s="76">
        <v>0</v>
      </c>
      <c r="Q94" s="76"/>
      <c r="R94" s="76"/>
      <c r="S94" s="3">
        <f t="shared" si="28"/>
        <v>0</v>
      </c>
      <c r="T94" s="1" t="str">
        <f t="shared" si="29"/>
        <v>Crítico</v>
      </c>
      <c r="U94" s="1" t="s">
        <v>498</v>
      </c>
      <c r="V94" s="1" t="s">
        <v>80</v>
      </c>
      <c r="W94" s="1" t="s">
        <v>499</v>
      </c>
      <c r="X94" s="2">
        <f t="shared" si="30"/>
        <v>378</v>
      </c>
      <c r="Y94" s="1" t="str">
        <f t="shared" si="31"/>
        <v>Enviar se houver espaço</v>
      </c>
      <c r="Z94" s="1" t="str">
        <f t="shared" si="32"/>
        <v>OK</v>
      </c>
      <c r="AA94" s="11">
        <f t="shared" si="33"/>
        <v>151.19999999999999</v>
      </c>
      <c r="AB94" s="11">
        <f t="shared" si="34"/>
        <v>151.19999999999999</v>
      </c>
      <c r="AC94" s="1"/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76">
        <v>0</v>
      </c>
      <c r="AJ94" s="76">
        <f t="shared" si="35"/>
        <v>0</v>
      </c>
      <c r="AK94" s="1">
        <v>0</v>
      </c>
      <c r="AL94" s="1">
        <v>0</v>
      </c>
      <c r="AM94" s="1" t="str">
        <f t="shared" si="36"/>
        <v/>
      </c>
      <c r="AN94" s="1">
        <f t="shared" si="37"/>
        <v>0</v>
      </c>
      <c r="AO94" s="1">
        <v>0</v>
      </c>
      <c r="AP94" s="61">
        <f t="shared" si="38"/>
        <v>0</v>
      </c>
      <c r="AQ94" s="61">
        <v>0</v>
      </c>
      <c r="AR94" s="76">
        <v>0</v>
      </c>
      <c r="AS94" s="76">
        <f t="shared" si="39"/>
        <v>0</v>
      </c>
      <c r="AT94" s="69" t="str">
        <f t="shared" si="40"/>
        <v>OK</v>
      </c>
      <c r="AU94" s="77">
        <f t="shared" si="41"/>
        <v>756</v>
      </c>
      <c r="AV94" s="61" t="str">
        <f t="shared" si="42"/>
        <v>Sem mapa/sem consumo automático</v>
      </c>
      <c r="AW94" s="70"/>
      <c r="AX94" s="70">
        <v>0</v>
      </c>
      <c r="AY94" s="71" t="str">
        <f t="shared" si="43"/>
        <v>NÃO MAPEADO</v>
      </c>
      <c r="AZ94" s="70"/>
      <c r="BA94" s="71" t="str">
        <f t="shared" si="44"/>
        <v/>
      </c>
      <c r="BB94" s="70" t="str">
        <f t="shared" si="45"/>
        <v>Verificar cadastro</v>
      </c>
      <c r="BC94" s="78">
        <v>0</v>
      </c>
      <c r="BD94" s="78">
        <f t="shared" si="46"/>
        <v>0</v>
      </c>
      <c r="BE94" s="78">
        <v>0</v>
      </c>
      <c r="BF94">
        <v>0</v>
      </c>
      <c r="BG94">
        <v>0</v>
      </c>
      <c r="BH94">
        <v>0</v>
      </c>
      <c r="BJ94">
        <v>0</v>
      </c>
      <c r="BK94" s="103"/>
    </row>
    <row r="95" spans="1:63" ht="30" x14ac:dyDescent="0.25">
      <c r="A95" s="8" t="s">
        <v>268</v>
      </c>
      <c r="B95" s="8">
        <v>1.32</v>
      </c>
      <c r="C95" s="8">
        <v>47.5</v>
      </c>
      <c r="D95" s="8">
        <v>975</v>
      </c>
      <c r="E95" s="8" t="s">
        <v>265</v>
      </c>
      <c r="F95" s="8" t="s">
        <v>266</v>
      </c>
      <c r="G95" s="8" t="s">
        <v>268</v>
      </c>
      <c r="H95" s="8">
        <v>36</v>
      </c>
      <c r="I95" s="9">
        <v>0</v>
      </c>
      <c r="J95" s="10">
        <f>REMESSAS!W96</f>
        <v>0</v>
      </c>
      <c r="K95" s="11">
        <f t="shared" si="25"/>
        <v>36</v>
      </c>
      <c r="L95" s="11">
        <f t="shared" si="26"/>
        <v>0</v>
      </c>
      <c r="M95" s="11">
        <f t="shared" si="27"/>
        <v>-36</v>
      </c>
      <c r="N95" s="11">
        <v>0</v>
      </c>
      <c r="O95" s="76">
        <f>IF($A95="","",IFERROR(SUMIF(Consumo_Joists!$A:$A,$A95,Consumo_Joists!$P:$P),0)+IFERROR(SUMIF(Consumo_Quadrantes!$A:$A,$A95,Consumo_Quadrantes!$F:$F),0))</f>
        <v>0</v>
      </c>
      <c r="P95" s="76">
        <v>0</v>
      </c>
      <c r="Q95" s="76"/>
      <c r="R95" s="76"/>
      <c r="S95" s="3">
        <f t="shared" si="28"/>
        <v>0</v>
      </c>
      <c r="T95" s="1" t="str">
        <f t="shared" si="29"/>
        <v>Crítico</v>
      </c>
      <c r="U95" s="1" t="s">
        <v>498</v>
      </c>
      <c r="V95" s="1" t="s">
        <v>80</v>
      </c>
      <c r="W95" s="1" t="s">
        <v>499</v>
      </c>
      <c r="X95" s="2">
        <f t="shared" si="30"/>
        <v>18</v>
      </c>
      <c r="Y95" s="1" t="str">
        <f t="shared" si="31"/>
        <v>Enviar se houver espaço</v>
      </c>
      <c r="Z95" s="1" t="str">
        <f t="shared" si="32"/>
        <v>OK</v>
      </c>
      <c r="AA95" s="11">
        <f t="shared" si="33"/>
        <v>7.2</v>
      </c>
      <c r="AB95" s="11">
        <f t="shared" si="34"/>
        <v>7.2</v>
      </c>
      <c r="AC95" s="1"/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76">
        <v>0</v>
      </c>
      <c r="AJ95" s="76">
        <f t="shared" si="35"/>
        <v>0</v>
      </c>
      <c r="AK95" s="1">
        <v>0</v>
      </c>
      <c r="AL95" s="1">
        <v>0</v>
      </c>
      <c r="AM95" s="1" t="str">
        <f t="shared" si="36"/>
        <v/>
      </c>
      <c r="AN95" s="1">
        <f t="shared" si="37"/>
        <v>0</v>
      </c>
      <c r="AO95" s="1">
        <v>0</v>
      </c>
      <c r="AP95" s="61">
        <f t="shared" si="38"/>
        <v>0</v>
      </c>
      <c r="AQ95" s="61">
        <v>0</v>
      </c>
      <c r="AR95" s="76">
        <v>0</v>
      </c>
      <c r="AS95" s="76">
        <f t="shared" si="39"/>
        <v>0</v>
      </c>
      <c r="AT95" s="69" t="str">
        <f t="shared" si="40"/>
        <v>OK</v>
      </c>
      <c r="AU95" s="77">
        <f t="shared" si="41"/>
        <v>36</v>
      </c>
      <c r="AV95" s="61" t="str">
        <f t="shared" si="42"/>
        <v>Sem mapa/sem consumo automático</v>
      </c>
      <c r="AW95" s="70"/>
      <c r="AX95" s="70">
        <v>0</v>
      </c>
      <c r="AY95" s="71" t="str">
        <f t="shared" si="43"/>
        <v>NÃO MAPEADO</v>
      </c>
      <c r="AZ95" s="70"/>
      <c r="BA95" s="71" t="str">
        <f t="shared" si="44"/>
        <v/>
      </c>
      <c r="BB95" s="70" t="str">
        <f t="shared" si="45"/>
        <v>Verificar cadastro</v>
      </c>
      <c r="BC95" s="78">
        <v>0</v>
      </c>
      <c r="BD95" s="78">
        <f t="shared" si="46"/>
        <v>0</v>
      </c>
      <c r="BE95" s="78">
        <v>0</v>
      </c>
      <c r="BF95">
        <v>0</v>
      </c>
      <c r="BG95">
        <v>0</v>
      </c>
      <c r="BH95">
        <v>0</v>
      </c>
      <c r="BJ95">
        <v>0</v>
      </c>
      <c r="BK95" s="103"/>
    </row>
    <row r="96" spans="1:63" ht="30" x14ac:dyDescent="0.25">
      <c r="A96" s="8" t="s">
        <v>269</v>
      </c>
      <c r="B96" s="8">
        <v>1.98</v>
      </c>
      <c r="C96" s="8">
        <v>59.4</v>
      </c>
      <c r="D96" s="8">
        <v>1575</v>
      </c>
      <c r="E96" s="8" t="s">
        <v>265</v>
      </c>
      <c r="F96" s="8" t="s">
        <v>266</v>
      </c>
      <c r="G96" s="8" t="s">
        <v>269</v>
      </c>
      <c r="H96" s="8">
        <v>30</v>
      </c>
      <c r="I96" s="12">
        <v>0</v>
      </c>
      <c r="J96" s="10">
        <f>REMESSAS!W97</f>
        <v>0</v>
      </c>
      <c r="K96" s="11">
        <f t="shared" si="25"/>
        <v>30</v>
      </c>
      <c r="L96" s="11">
        <f t="shared" si="26"/>
        <v>0</v>
      </c>
      <c r="M96" s="11">
        <f t="shared" si="27"/>
        <v>-30</v>
      </c>
      <c r="N96" s="11">
        <v>0</v>
      </c>
      <c r="O96" s="76">
        <f>IF($A96="","",IFERROR(SUMIF(Consumo_Joists!$A:$A,$A96,Consumo_Joists!$P:$P),0)+IFERROR(SUMIF(Consumo_Quadrantes!$A:$A,$A96,Consumo_Quadrantes!$F:$F),0))</f>
        <v>0</v>
      </c>
      <c r="P96" s="76">
        <v>0</v>
      </c>
      <c r="Q96" s="76"/>
      <c r="R96" s="76"/>
      <c r="S96" s="3">
        <f t="shared" si="28"/>
        <v>0</v>
      </c>
      <c r="T96" s="1" t="str">
        <f t="shared" si="29"/>
        <v>Crítico</v>
      </c>
      <c r="U96" s="1" t="s">
        <v>498</v>
      </c>
      <c r="V96" s="1" t="s">
        <v>80</v>
      </c>
      <c r="W96" s="1" t="s">
        <v>499</v>
      </c>
      <c r="X96" s="2">
        <f t="shared" si="30"/>
        <v>15</v>
      </c>
      <c r="Y96" s="1" t="str">
        <f t="shared" si="31"/>
        <v>Enviar se houver espaço</v>
      </c>
      <c r="Z96" s="1" t="str">
        <f t="shared" si="32"/>
        <v>OK</v>
      </c>
      <c r="AA96" s="11">
        <f t="shared" si="33"/>
        <v>6</v>
      </c>
      <c r="AB96" s="11">
        <f t="shared" si="34"/>
        <v>6</v>
      </c>
      <c r="AC96" s="1"/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76">
        <v>0</v>
      </c>
      <c r="AJ96" s="76">
        <f t="shared" si="35"/>
        <v>0</v>
      </c>
      <c r="AK96" s="1">
        <v>0</v>
      </c>
      <c r="AL96" s="1">
        <v>0</v>
      </c>
      <c r="AM96" s="1" t="str">
        <f t="shared" si="36"/>
        <v/>
      </c>
      <c r="AN96" s="1">
        <f t="shared" si="37"/>
        <v>0</v>
      </c>
      <c r="AO96" s="1">
        <v>0</v>
      </c>
      <c r="AP96" s="61">
        <f t="shared" si="38"/>
        <v>0</v>
      </c>
      <c r="AQ96" s="61">
        <v>0</v>
      </c>
      <c r="AR96" s="76">
        <v>0</v>
      </c>
      <c r="AS96" s="76">
        <f t="shared" si="39"/>
        <v>0</v>
      </c>
      <c r="AT96" s="69" t="str">
        <f t="shared" si="40"/>
        <v>OK</v>
      </c>
      <c r="AU96" s="77">
        <f t="shared" si="41"/>
        <v>30</v>
      </c>
      <c r="AV96" s="61" t="str">
        <f t="shared" si="42"/>
        <v>Sem mapa/sem consumo automático</v>
      </c>
      <c r="AW96" s="70"/>
      <c r="AX96" s="70">
        <v>0</v>
      </c>
      <c r="AY96" s="71" t="str">
        <f t="shared" si="43"/>
        <v>NÃO MAPEADO</v>
      </c>
      <c r="AZ96" s="70"/>
      <c r="BA96" s="71" t="str">
        <f t="shared" si="44"/>
        <v/>
      </c>
      <c r="BB96" s="70" t="str">
        <f t="shared" si="45"/>
        <v>Verificar cadastro</v>
      </c>
      <c r="BC96" s="78">
        <v>0</v>
      </c>
      <c r="BD96" s="78">
        <f t="shared" si="46"/>
        <v>0</v>
      </c>
      <c r="BE96" s="78">
        <v>0</v>
      </c>
      <c r="BF96">
        <v>0</v>
      </c>
      <c r="BG96">
        <v>0</v>
      </c>
      <c r="BH96">
        <v>0</v>
      </c>
      <c r="BJ96">
        <v>0</v>
      </c>
      <c r="BK96" s="103"/>
    </row>
    <row r="97" spans="1:63" ht="30" x14ac:dyDescent="0.25">
      <c r="A97" s="8" t="s">
        <v>270</v>
      </c>
      <c r="B97" s="8">
        <v>2.1800000000000002</v>
      </c>
      <c r="C97" s="8">
        <v>662.95</v>
      </c>
      <c r="D97" s="8">
        <v>1634</v>
      </c>
      <c r="E97" s="8" t="s">
        <v>265</v>
      </c>
      <c r="F97" s="8" t="s">
        <v>266</v>
      </c>
      <c r="G97" s="8" t="s">
        <v>270</v>
      </c>
      <c r="H97" s="8">
        <v>304</v>
      </c>
      <c r="I97" s="9">
        <v>0</v>
      </c>
      <c r="J97" s="10">
        <f>REMESSAS!W98</f>
        <v>0</v>
      </c>
      <c r="K97" s="11">
        <f t="shared" si="25"/>
        <v>304</v>
      </c>
      <c r="L97" s="11">
        <f t="shared" si="26"/>
        <v>0</v>
      </c>
      <c r="M97" s="11">
        <f t="shared" si="27"/>
        <v>-304</v>
      </c>
      <c r="N97" s="11">
        <v>0</v>
      </c>
      <c r="O97" s="76">
        <f>IF($A97="","",IFERROR(SUMIF(Consumo_Joists!$A:$A,$A97,Consumo_Joists!$P:$P),0)+IFERROR(SUMIF(Consumo_Quadrantes!$A:$A,$A97,Consumo_Quadrantes!$F:$F),0))</f>
        <v>0</v>
      </c>
      <c r="P97" s="76">
        <v>0</v>
      </c>
      <c r="Q97" s="76"/>
      <c r="R97" s="76"/>
      <c r="S97" s="3">
        <f t="shared" si="28"/>
        <v>0</v>
      </c>
      <c r="T97" s="1" t="str">
        <f t="shared" si="29"/>
        <v>Crítico</v>
      </c>
      <c r="U97" s="1" t="s">
        <v>498</v>
      </c>
      <c r="V97" s="1" t="s">
        <v>80</v>
      </c>
      <c r="W97" s="1" t="s">
        <v>499</v>
      </c>
      <c r="X97" s="2">
        <f t="shared" si="30"/>
        <v>152</v>
      </c>
      <c r="Y97" s="1" t="str">
        <f t="shared" si="31"/>
        <v>Enviar se houver espaço</v>
      </c>
      <c r="Z97" s="1" t="str">
        <f t="shared" si="32"/>
        <v>OK</v>
      </c>
      <c r="AA97" s="11">
        <f t="shared" si="33"/>
        <v>60.8</v>
      </c>
      <c r="AB97" s="11">
        <f t="shared" si="34"/>
        <v>60.8</v>
      </c>
      <c r="AC97" s="1"/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76">
        <v>0</v>
      </c>
      <c r="AJ97" s="76">
        <f t="shared" si="35"/>
        <v>0</v>
      </c>
      <c r="AK97" s="1">
        <v>0</v>
      </c>
      <c r="AL97" s="1">
        <v>0</v>
      </c>
      <c r="AM97" s="1" t="str">
        <f t="shared" si="36"/>
        <v/>
      </c>
      <c r="AN97" s="1">
        <f t="shared" si="37"/>
        <v>0</v>
      </c>
      <c r="AO97" s="1">
        <v>0</v>
      </c>
      <c r="AP97" s="61">
        <f t="shared" si="38"/>
        <v>0</v>
      </c>
      <c r="AQ97" s="61">
        <v>0</v>
      </c>
      <c r="AR97" s="76">
        <v>0</v>
      </c>
      <c r="AS97" s="76">
        <f t="shared" si="39"/>
        <v>0</v>
      </c>
      <c r="AT97" s="69" t="str">
        <f t="shared" si="40"/>
        <v>OK</v>
      </c>
      <c r="AU97" s="77">
        <f t="shared" si="41"/>
        <v>304</v>
      </c>
      <c r="AV97" s="61" t="str">
        <f t="shared" si="42"/>
        <v>Sem mapa/sem consumo automático</v>
      </c>
      <c r="AW97" s="70"/>
      <c r="AX97" s="70">
        <v>0</v>
      </c>
      <c r="AY97" s="71" t="str">
        <f t="shared" si="43"/>
        <v>NÃO MAPEADO</v>
      </c>
      <c r="AZ97" s="70"/>
      <c r="BA97" s="71" t="str">
        <f t="shared" si="44"/>
        <v/>
      </c>
      <c r="BB97" s="70" t="str">
        <f t="shared" si="45"/>
        <v>Verificar cadastro</v>
      </c>
      <c r="BC97" s="78">
        <v>0</v>
      </c>
      <c r="BD97" s="78">
        <f t="shared" si="46"/>
        <v>0</v>
      </c>
      <c r="BE97" s="78">
        <v>0</v>
      </c>
      <c r="BF97">
        <v>0</v>
      </c>
      <c r="BG97">
        <v>0</v>
      </c>
      <c r="BH97">
        <v>0</v>
      </c>
      <c r="BJ97">
        <v>0</v>
      </c>
      <c r="BK97" s="103"/>
    </row>
    <row r="98" spans="1:63" ht="30" x14ac:dyDescent="0.25">
      <c r="A98" s="8" t="s">
        <v>271</v>
      </c>
      <c r="B98" s="8">
        <v>2.46</v>
      </c>
      <c r="C98" s="8">
        <v>1493.17</v>
      </c>
      <c r="D98" s="8">
        <v>1884</v>
      </c>
      <c r="E98" s="8" t="s">
        <v>265</v>
      </c>
      <c r="F98" s="8" t="s">
        <v>266</v>
      </c>
      <c r="G98" s="8" t="s">
        <v>271</v>
      </c>
      <c r="H98" s="8">
        <v>608</v>
      </c>
      <c r="I98" s="12">
        <v>0</v>
      </c>
      <c r="J98" s="10">
        <f>REMESSAS!W99</f>
        <v>0</v>
      </c>
      <c r="K98" s="11">
        <f t="shared" si="25"/>
        <v>608</v>
      </c>
      <c r="L98" s="11">
        <f t="shared" si="26"/>
        <v>0</v>
      </c>
      <c r="M98" s="11">
        <f t="shared" si="27"/>
        <v>-608</v>
      </c>
      <c r="N98" s="11">
        <v>0</v>
      </c>
      <c r="O98" s="76">
        <f>IF($A98="","",IFERROR(SUMIF(Consumo_Joists!$A:$A,$A98,Consumo_Joists!$P:$P),0)+IFERROR(SUMIF(Consumo_Quadrantes!$A:$A,$A98,Consumo_Quadrantes!$F:$F),0))</f>
        <v>0</v>
      </c>
      <c r="P98" s="76">
        <v>0</v>
      </c>
      <c r="Q98" s="76"/>
      <c r="R98" s="76"/>
      <c r="S98" s="3">
        <f t="shared" si="28"/>
        <v>0</v>
      </c>
      <c r="T98" s="1" t="str">
        <f t="shared" si="29"/>
        <v>Crítico</v>
      </c>
      <c r="U98" s="1" t="s">
        <v>498</v>
      </c>
      <c r="V98" s="1" t="s">
        <v>80</v>
      </c>
      <c r="W98" s="1" t="s">
        <v>499</v>
      </c>
      <c r="X98" s="2">
        <f t="shared" si="30"/>
        <v>304</v>
      </c>
      <c r="Y98" s="1" t="str">
        <f t="shared" si="31"/>
        <v>Enviar se houver espaço</v>
      </c>
      <c r="Z98" s="1" t="str">
        <f t="shared" si="32"/>
        <v>OK</v>
      </c>
      <c r="AA98" s="11">
        <f t="shared" si="33"/>
        <v>121.6</v>
      </c>
      <c r="AB98" s="11">
        <f t="shared" si="34"/>
        <v>121.6</v>
      </c>
      <c r="AC98" s="1"/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76">
        <v>0</v>
      </c>
      <c r="AJ98" s="76">
        <f t="shared" si="35"/>
        <v>0</v>
      </c>
      <c r="AK98" s="1">
        <v>0</v>
      </c>
      <c r="AL98" s="1">
        <v>0</v>
      </c>
      <c r="AM98" s="1" t="str">
        <f t="shared" si="36"/>
        <v/>
      </c>
      <c r="AN98" s="1">
        <f t="shared" si="37"/>
        <v>0</v>
      </c>
      <c r="AO98" s="1">
        <v>0</v>
      </c>
      <c r="AP98" s="61">
        <f t="shared" si="38"/>
        <v>0</v>
      </c>
      <c r="AQ98" s="61">
        <v>0</v>
      </c>
      <c r="AR98" s="76">
        <v>0</v>
      </c>
      <c r="AS98" s="76">
        <f t="shared" si="39"/>
        <v>0</v>
      </c>
      <c r="AT98" s="69" t="str">
        <f t="shared" si="40"/>
        <v>OK</v>
      </c>
      <c r="AU98" s="77">
        <f t="shared" si="41"/>
        <v>608</v>
      </c>
      <c r="AV98" s="61" t="str">
        <f t="shared" si="42"/>
        <v>Sem mapa/sem consumo automático</v>
      </c>
      <c r="AW98" s="70"/>
      <c r="AX98" s="70">
        <v>0</v>
      </c>
      <c r="AY98" s="71" t="str">
        <f t="shared" si="43"/>
        <v>NÃO MAPEADO</v>
      </c>
      <c r="AZ98" s="70"/>
      <c r="BA98" s="71" t="str">
        <f t="shared" si="44"/>
        <v/>
      </c>
      <c r="BB98" s="70" t="str">
        <f t="shared" si="45"/>
        <v>Verificar cadastro</v>
      </c>
      <c r="BC98" s="78">
        <v>0</v>
      </c>
      <c r="BD98" s="78">
        <f t="shared" si="46"/>
        <v>0</v>
      </c>
      <c r="BE98" s="78">
        <v>0</v>
      </c>
      <c r="BF98">
        <v>0</v>
      </c>
      <c r="BG98">
        <v>0</v>
      </c>
      <c r="BH98">
        <v>0</v>
      </c>
      <c r="BJ98">
        <v>0</v>
      </c>
      <c r="BK98" s="103"/>
    </row>
    <row r="99" spans="1:63" ht="30" x14ac:dyDescent="0.25">
      <c r="A99" s="8" t="s">
        <v>274</v>
      </c>
      <c r="B99" s="8">
        <v>3.29</v>
      </c>
      <c r="C99" s="8">
        <v>1025.92</v>
      </c>
      <c r="D99" s="8">
        <v>308</v>
      </c>
      <c r="E99" s="8" t="s">
        <v>272</v>
      </c>
      <c r="F99" s="8" t="s">
        <v>273</v>
      </c>
      <c r="G99" s="8" t="s">
        <v>274</v>
      </c>
      <c r="H99" s="8">
        <v>312</v>
      </c>
      <c r="I99" s="9">
        <v>0</v>
      </c>
      <c r="J99" s="10">
        <f>REMESSAS!W100</f>
        <v>0</v>
      </c>
      <c r="K99" s="11">
        <f t="shared" si="25"/>
        <v>312</v>
      </c>
      <c r="L99" s="11">
        <f t="shared" si="26"/>
        <v>0</v>
      </c>
      <c r="M99" s="11">
        <f t="shared" si="27"/>
        <v>-312</v>
      </c>
      <c r="N99" s="11">
        <v>0</v>
      </c>
      <c r="O99" s="76">
        <f>IF($A99="","",IFERROR(SUMIF(Consumo_Joists!$A:$A,$A99,Consumo_Joists!$P:$P),0)+IFERROR(SUMIF(Consumo_Quadrantes!$A:$A,$A99,Consumo_Quadrantes!$F:$F),0))</f>
        <v>0</v>
      </c>
      <c r="P99" s="76">
        <v>0</v>
      </c>
      <c r="Q99" s="76"/>
      <c r="R99" s="76"/>
      <c r="S99" s="3">
        <f t="shared" si="28"/>
        <v>0</v>
      </c>
      <c r="T99" s="1" t="str">
        <f t="shared" si="29"/>
        <v>Crítico</v>
      </c>
      <c r="U99" s="1" t="s">
        <v>498</v>
      </c>
      <c r="V99" s="1" t="s">
        <v>80</v>
      </c>
      <c r="W99" s="1" t="s">
        <v>499</v>
      </c>
      <c r="X99" s="2">
        <f t="shared" si="30"/>
        <v>156</v>
      </c>
      <c r="Y99" s="1" t="str">
        <f t="shared" si="31"/>
        <v>Enviar se houver espaço</v>
      </c>
      <c r="Z99" s="1" t="str">
        <f t="shared" si="32"/>
        <v>OK</v>
      </c>
      <c r="AA99" s="11">
        <f t="shared" si="33"/>
        <v>62.4</v>
      </c>
      <c r="AB99" s="11">
        <f t="shared" si="34"/>
        <v>62.4</v>
      </c>
      <c r="AC99" s="1"/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76">
        <v>0</v>
      </c>
      <c r="AJ99" s="76">
        <f t="shared" si="35"/>
        <v>0</v>
      </c>
      <c r="AK99" s="1">
        <v>0</v>
      </c>
      <c r="AL99" s="1">
        <v>0</v>
      </c>
      <c r="AM99" s="1" t="str">
        <f t="shared" si="36"/>
        <v/>
      </c>
      <c r="AN99" s="1">
        <f t="shared" si="37"/>
        <v>0</v>
      </c>
      <c r="AO99" s="1">
        <v>0</v>
      </c>
      <c r="AP99" s="61">
        <f t="shared" si="38"/>
        <v>0</v>
      </c>
      <c r="AQ99" s="61">
        <v>0</v>
      </c>
      <c r="AR99" s="76">
        <v>0</v>
      </c>
      <c r="AS99" s="76">
        <f t="shared" si="39"/>
        <v>0</v>
      </c>
      <c r="AT99" s="69" t="str">
        <f t="shared" si="40"/>
        <v>OK</v>
      </c>
      <c r="AU99" s="77">
        <f t="shared" si="41"/>
        <v>312</v>
      </c>
      <c r="AV99" s="61" t="str">
        <f t="shared" si="42"/>
        <v>Sem mapa/sem consumo automático</v>
      </c>
      <c r="AW99" s="70"/>
      <c r="AX99" s="70">
        <v>0</v>
      </c>
      <c r="AY99" s="71" t="str">
        <f t="shared" si="43"/>
        <v>NÃO MAPEADO</v>
      </c>
      <c r="AZ99" s="70"/>
      <c r="BA99" s="71" t="str">
        <f t="shared" si="44"/>
        <v/>
      </c>
      <c r="BB99" s="70" t="str">
        <f t="shared" si="45"/>
        <v>Verificar cadastro</v>
      </c>
      <c r="BC99" s="78">
        <v>0</v>
      </c>
      <c r="BD99" s="78">
        <f t="shared" si="46"/>
        <v>0</v>
      </c>
      <c r="BE99" s="78">
        <v>0</v>
      </c>
      <c r="BF99">
        <v>0</v>
      </c>
      <c r="BG99">
        <v>0</v>
      </c>
      <c r="BH99">
        <v>0</v>
      </c>
      <c r="BJ99">
        <v>0</v>
      </c>
      <c r="BK99" s="103"/>
    </row>
    <row r="100" spans="1:63" ht="30" x14ac:dyDescent="0.25">
      <c r="A100" s="8" t="s">
        <v>275</v>
      </c>
      <c r="B100" s="8">
        <v>2.58</v>
      </c>
      <c r="C100" s="8">
        <v>868.09</v>
      </c>
      <c r="D100" s="8">
        <v>242</v>
      </c>
      <c r="E100" s="8" t="s">
        <v>272</v>
      </c>
      <c r="F100" s="8" t="s">
        <v>273</v>
      </c>
      <c r="G100" s="8" t="s">
        <v>275</v>
      </c>
      <c r="H100" s="8">
        <v>336</v>
      </c>
      <c r="I100" s="12">
        <v>0</v>
      </c>
      <c r="J100" s="10">
        <f>REMESSAS!W101</f>
        <v>0</v>
      </c>
      <c r="K100" s="11">
        <f t="shared" si="25"/>
        <v>336</v>
      </c>
      <c r="L100" s="11">
        <f t="shared" si="26"/>
        <v>0</v>
      </c>
      <c r="M100" s="11">
        <f t="shared" si="27"/>
        <v>-336</v>
      </c>
      <c r="N100" s="11">
        <v>0</v>
      </c>
      <c r="O100" s="76">
        <f>IF($A100="","",IFERROR(SUMIF(Consumo_Joists!$A:$A,$A100,Consumo_Joists!$P:$P),0)+IFERROR(SUMIF(Consumo_Quadrantes!$A:$A,$A100,Consumo_Quadrantes!$F:$F),0))</f>
        <v>0</v>
      </c>
      <c r="P100" s="76">
        <v>0</v>
      </c>
      <c r="Q100" s="76"/>
      <c r="R100" s="76"/>
      <c r="S100" s="3">
        <f t="shared" si="28"/>
        <v>0</v>
      </c>
      <c r="T100" s="1" t="str">
        <f t="shared" si="29"/>
        <v>Crítico</v>
      </c>
      <c r="U100" s="1" t="s">
        <v>498</v>
      </c>
      <c r="V100" s="1" t="s">
        <v>80</v>
      </c>
      <c r="W100" s="1" t="s">
        <v>499</v>
      </c>
      <c r="X100" s="2">
        <f t="shared" si="30"/>
        <v>168</v>
      </c>
      <c r="Y100" s="1" t="str">
        <f t="shared" si="31"/>
        <v>Enviar se houver espaço</v>
      </c>
      <c r="Z100" s="1" t="str">
        <f t="shared" si="32"/>
        <v>OK</v>
      </c>
      <c r="AA100" s="11">
        <f t="shared" si="33"/>
        <v>67.2</v>
      </c>
      <c r="AB100" s="11">
        <f t="shared" si="34"/>
        <v>67.2</v>
      </c>
      <c r="AC100" s="1"/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76">
        <v>0</v>
      </c>
      <c r="AJ100" s="76">
        <f t="shared" si="35"/>
        <v>0</v>
      </c>
      <c r="AK100" s="1">
        <v>0</v>
      </c>
      <c r="AL100" s="1">
        <v>0</v>
      </c>
      <c r="AM100" s="1" t="str">
        <f t="shared" si="36"/>
        <v/>
      </c>
      <c r="AN100" s="1">
        <f t="shared" si="37"/>
        <v>0</v>
      </c>
      <c r="AO100" s="1">
        <v>0</v>
      </c>
      <c r="AP100" s="61">
        <f t="shared" si="38"/>
        <v>0</v>
      </c>
      <c r="AQ100" s="61">
        <v>0</v>
      </c>
      <c r="AR100" s="76">
        <v>0</v>
      </c>
      <c r="AS100" s="76">
        <f t="shared" si="39"/>
        <v>0</v>
      </c>
      <c r="AT100" s="69" t="str">
        <f t="shared" si="40"/>
        <v>OK</v>
      </c>
      <c r="AU100" s="77">
        <f t="shared" si="41"/>
        <v>336</v>
      </c>
      <c r="AV100" s="61" t="str">
        <f t="shared" si="42"/>
        <v>Sem mapa/sem consumo automático</v>
      </c>
      <c r="AW100" s="70"/>
      <c r="AX100" s="70">
        <v>0</v>
      </c>
      <c r="AY100" s="71" t="str">
        <f t="shared" si="43"/>
        <v>NÃO MAPEADO</v>
      </c>
      <c r="AZ100" s="70"/>
      <c r="BA100" s="71" t="str">
        <f t="shared" si="44"/>
        <v/>
      </c>
      <c r="BB100" s="70" t="str">
        <f t="shared" si="45"/>
        <v>Verificar cadastro</v>
      </c>
      <c r="BC100" s="78">
        <v>0</v>
      </c>
      <c r="BD100" s="78">
        <f t="shared" si="46"/>
        <v>0</v>
      </c>
      <c r="BE100" s="78">
        <v>0</v>
      </c>
      <c r="BF100">
        <v>0</v>
      </c>
      <c r="BG100">
        <v>0</v>
      </c>
      <c r="BH100">
        <v>0</v>
      </c>
      <c r="BJ100">
        <v>0</v>
      </c>
      <c r="BK100" s="103"/>
    </row>
    <row r="101" spans="1:63" ht="30" x14ac:dyDescent="0.25">
      <c r="A101" s="8" t="s">
        <v>278</v>
      </c>
      <c r="B101" s="8">
        <v>42.48</v>
      </c>
      <c r="C101" s="8">
        <v>594.78</v>
      </c>
      <c r="D101" s="8">
        <v>9850</v>
      </c>
      <c r="E101" s="8" t="s">
        <v>276</v>
      </c>
      <c r="F101" s="8" t="s">
        <v>277</v>
      </c>
      <c r="G101" s="8" t="s">
        <v>278</v>
      </c>
      <c r="H101" s="8">
        <v>14</v>
      </c>
      <c r="I101" s="9">
        <v>0</v>
      </c>
      <c r="J101" s="10">
        <f>REMESSAS!W102</f>
        <v>0</v>
      </c>
      <c r="K101" s="11">
        <f t="shared" si="25"/>
        <v>14</v>
      </c>
      <c r="L101" s="11">
        <f t="shared" si="26"/>
        <v>0</v>
      </c>
      <c r="M101" s="11">
        <f t="shared" si="27"/>
        <v>-14</v>
      </c>
      <c r="N101" s="11">
        <v>0</v>
      </c>
      <c r="O101" s="76">
        <f>IF($A101="","",IFERROR(SUMIF(Consumo_Joists!$A:$A,$A101,Consumo_Joists!$P:$P),0)+IFERROR(SUMIF(Consumo_Quadrantes!$A:$A,$A101,Consumo_Quadrantes!$F:$F),0))</f>
        <v>0</v>
      </c>
      <c r="P101" s="76">
        <v>0</v>
      </c>
      <c r="Q101" s="76"/>
      <c r="R101" s="76"/>
      <c r="S101" s="3">
        <f t="shared" si="28"/>
        <v>0</v>
      </c>
      <c r="T101" s="1" t="str">
        <f t="shared" si="29"/>
        <v>Crítico</v>
      </c>
      <c r="U101" s="1" t="s">
        <v>498</v>
      </c>
      <c r="V101" s="1" t="s">
        <v>80</v>
      </c>
      <c r="W101" s="1" t="s">
        <v>499</v>
      </c>
      <c r="X101" s="2">
        <f t="shared" si="30"/>
        <v>7</v>
      </c>
      <c r="Y101" s="1" t="str">
        <f t="shared" si="31"/>
        <v>Enviar se houver espaço</v>
      </c>
      <c r="Z101" s="1" t="str">
        <f t="shared" si="32"/>
        <v>OK</v>
      </c>
      <c r="AA101" s="11">
        <f t="shared" si="33"/>
        <v>2.8</v>
      </c>
      <c r="AB101" s="11">
        <f t="shared" si="34"/>
        <v>2.8</v>
      </c>
      <c r="AC101" s="1"/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76">
        <v>0</v>
      </c>
      <c r="AJ101" s="76">
        <f t="shared" si="35"/>
        <v>0</v>
      </c>
      <c r="AK101" s="1">
        <v>0</v>
      </c>
      <c r="AL101" s="1">
        <v>0</v>
      </c>
      <c r="AM101" s="1" t="str">
        <f t="shared" si="36"/>
        <v/>
      </c>
      <c r="AN101" s="1">
        <f t="shared" si="37"/>
        <v>0</v>
      </c>
      <c r="AO101" s="1">
        <v>0</v>
      </c>
      <c r="AP101" s="61">
        <f t="shared" si="38"/>
        <v>0</v>
      </c>
      <c r="AQ101" s="61">
        <v>0</v>
      </c>
      <c r="AR101" s="76">
        <v>0</v>
      </c>
      <c r="AS101" s="76">
        <f t="shared" si="39"/>
        <v>0</v>
      </c>
      <c r="AT101" s="69" t="str">
        <f t="shared" si="40"/>
        <v>OK</v>
      </c>
      <c r="AU101" s="77">
        <f t="shared" si="41"/>
        <v>14</v>
      </c>
      <c r="AV101" s="61" t="str">
        <f t="shared" si="42"/>
        <v>Sem mapa/sem consumo automático</v>
      </c>
      <c r="AW101" s="70"/>
      <c r="AX101" s="70">
        <v>0</v>
      </c>
      <c r="AY101" s="71" t="str">
        <f t="shared" si="43"/>
        <v>NÃO MAPEADO</v>
      </c>
      <c r="AZ101" s="70"/>
      <c r="BA101" s="71" t="str">
        <f t="shared" si="44"/>
        <v/>
      </c>
      <c r="BB101" s="70" t="str">
        <f t="shared" si="45"/>
        <v>Verificar cadastro</v>
      </c>
      <c r="BC101" s="78">
        <v>0</v>
      </c>
      <c r="BD101" s="78">
        <f t="shared" si="46"/>
        <v>0</v>
      </c>
      <c r="BE101" s="78">
        <v>0</v>
      </c>
      <c r="BF101">
        <v>0</v>
      </c>
      <c r="BG101">
        <v>0</v>
      </c>
      <c r="BH101">
        <v>0</v>
      </c>
      <c r="BJ101">
        <v>0</v>
      </c>
      <c r="BK101" s="103"/>
    </row>
    <row r="102" spans="1:63" ht="30" x14ac:dyDescent="0.25">
      <c r="A102" s="8" t="s">
        <v>280</v>
      </c>
      <c r="B102" s="8">
        <v>41.29</v>
      </c>
      <c r="C102" s="8">
        <v>3963.79</v>
      </c>
      <c r="D102" s="8">
        <v>10480</v>
      </c>
      <c r="E102" s="8" t="s">
        <v>279</v>
      </c>
      <c r="F102" s="8" t="s">
        <v>277</v>
      </c>
      <c r="G102" s="8" t="s">
        <v>280</v>
      </c>
      <c r="H102" s="8">
        <v>96</v>
      </c>
      <c r="I102" s="12">
        <v>0</v>
      </c>
      <c r="J102" s="10">
        <f>REMESSAS!W103</f>
        <v>0</v>
      </c>
      <c r="K102" s="11">
        <f t="shared" si="25"/>
        <v>96</v>
      </c>
      <c r="L102" s="11">
        <f t="shared" si="26"/>
        <v>0</v>
      </c>
      <c r="M102" s="11">
        <f t="shared" si="27"/>
        <v>-96</v>
      </c>
      <c r="N102" s="11">
        <v>0</v>
      </c>
      <c r="O102" s="76">
        <f>IF($A102="","",IFERROR(SUMIF(Consumo_Joists!$A:$A,$A102,Consumo_Joists!$P:$P),0)+IFERROR(SUMIF(Consumo_Quadrantes!$A:$A,$A102,Consumo_Quadrantes!$F:$F),0))</f>
        <v>0</v>
      </c>
      <c r="P102" s="76">
        <v>0</v>
      </c>
      <c r="Q102" s="76"/>
      <c r="R102" s="76"/>
      <c r="S102" s="3">
        <f t="shared" si="28"/>
        <v>0</v>
      </c>
      <c r="T102" s="1" t="str">
        <f t="shared" si="29"/>
        <v>Crítico</v>
      </c>
      <c r="U102" s="1" t="s">
        <v>498</v>
      </c>
      <c r="V102" s="1" t="s">
        <v>80</v>
      </c>
      <c r="W102" s="1" t="s">
        <v>499</v>
      </c>
      <c r="X102" s="2">
        <f t="shared" si="30"/>
        <v>48</v>
      </c>
      <c r="Y102" s="1" t="str">
        <f t="shared" si="31"/>
        <v>Enviar se houver espaço</v>
      </c>
      <c r="Z102" s="1" t="str">
        <f t="shared" si="32"/>
        <v>OK</v>
      </c>
      <c r="AA102" s="11">
        <f t="shared" si="33"/>
        <v>19.2</v>
      </c>
      <c r="AB102" s="11">
        <f t="shared" si="34"/>
        <v>19.2</v>
      </c>
      <c r="AC102" s="1"/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76">
        <v>0</v>
      </c>
      <c r="AJ102" s="76">
        <f t="shared" si="35"/>
        <v>0</v>
      </c>
      <c r="AK102" s="1">
        <v>0</v>
      </c>
      <c r="AL102" s="1">
        <v>0</v>
      </c>
      <c r="AM102" s="1" t="str">
        <f t="shared" si="36"/>
        <v/>
      </c>
      <c r="AN102" s="1">
        <f t="shared" si="37"/>
        <v>0</v>
      </c>
      <c r="AO102" s="1">
        <v>0</v>
      </c>
      <c r="AP102" s="61">
        <f t="shared" si="38"/>
        <v>0</v>
      </c>
      <c r="AQ102" s="61">
        <v>0</v>
      </c>
      <c r="AR102" s="76">
        <v>0</v>
      </c>
      <c r="AS102" s="76">
        <f t="shared" si="39"/>
        <v>0</v>
      </c>
      <c r="AT102" s="69" t="str">
        <f t="shared" si="40"/>
        <v>OK</v>
      </c>
      <c r="AU102" s="77">
        <f t="shared" si="41"/>
        <v>96</v>
      </c>
      <c r="AV102" s="61" t="str">
        <f t="shared" si="42"/>
        <v>Sem mapa/sem consumo automático</v>
      </c>
      <c r="AW102" s="70"/>
      <c r="AX102" s="70">
        <v>0</v>
      </c>
      <c r="AY102" s="71" t="str">
        <f t="shared" si="43"/>
        <v>NÃO MAPEADO</v>
      </c>
      <c r="AZ102" s="70"/>
      <c r="BA102" s="71" t="str">
        <f t="shared" si="44"/>
        <v/>
      </c>
      <c r="BB102" s="70" t="str">
        <f t="shared" si="45"/>
        <v>Verificar cadastro</v>
      </c>
      <c r="BC102" s="78">
        <v>0</v>
      </c>
      <c r="BD102" s="78">
        <f t="shared" si="46"/>
        <v>0</v>
      </c>
      <c r="BE102" s="78">
        <v>0</v>
      </c>
      <c r="BF102">
        <v>0</v>
      </c>
      <c r="BG102">
        <v>0</v>
      </c>
      <c r="BH102">
        <v>0</v>
      </c>
      <c r="BJ102">
        <v>0</v>
      </c>
      <c r="BK102" s="103"/>
    </row>
    <row r="103" spans="1:63" ht="30" x14ac:dyDescent="0.25">
      <c r="A103" s="8" t="s">
        <v>282</v>
      </c>
      <c r="B103" s="8">
        <v>33.42</v>
      </c>
      <c r="C103" s="8">
        <v>6015.85</v>
      </c>
      <c r="D103" s="8">
        <v>10480</v>
      </c>
      <c r="E103" s="8" t="s">
        <v>281</v>
      </c>
      <c r="F103" s="8" t="s">
        <v>277</v>
      </c>
      <c r="G103" s="8" t="s">
        <v>282</v>
      </c>
      <c r="H103" s="8">
        <v>180</v>
      </c>
      <c r="I103" s="9">
        <v>0</v>
      </c>
      <c r="J103" s="10">
        <f>REMESSAS!W104</f>
        <v>0</v>
      </c>
      <c r="K103" s="11">
        <f t="shared" si="25"/>
        <v>180</v>
      </c>
      <c r="L103" s="11">
        <f t="shared" si="26"/>
        <v>0</v>
      </c>
      <c r="M103" s="11">
        <f t="shared" si="27"/>
        <v>-180</v>
      </c>
      <c r="N103" s="11">
        <v>0</v>
      </c>
      <c r="O103" s="76">
        <f>IF($A103="","",IFERROR(SUMIF(Consumo_Joists!$A:$A,$A103,Consumo_Joists!$P:$P),0)+IFERROR(SUMIF(Consumo_Quadrantes!$A:$A,$A103,Consumo_Quadrantes!$F:$F),0))</f>
        <v>0</v>
      </c>
      <c r="P103" s="76">
        <v>0</v>
      </c>
      <c r="Q103" s="76"/>
      <c r="R103" s="76"/>
      <c r="S103" s="3">
        <f t="shared" si="28"/>
        <v>0</v>
      </c>
      <c r="T103" s="1" t="str">
        <f t="shared" si="29"/>
        <v>Crítico</v>
      </c>
      <c r="U103" s="1" t="s">
        <v>498</v>
      </c>
      <c r="V103" s="1" t="s">
        <v>80</v>
      </c>
      <c r="W103" s="1" t="s">
        <v>499</v>
      </c>
      <c r="X103" s="2">
        <f t="shared" si="30"/>
        <v>90</v>
      </c>
      <c r="Y103" s="1" t="str">
        <f t="shared" si="31"/>
        <v>Enviar se houver espaço</v>
      </c>
      <c r="Z103" s="1" t="str">
        <f t="shared" si="32"/>
        <v>OK</v>
      </c>
      <c r="AA103" s="11">
        <f t="shared" si="33"/>
        <v>36</v>
      </c>
      <c r="AB103" s="11">
        <f t="shared" si="34"/>
        <v>36</v>
      </c>
      <c r="AC103" s="1"/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76">
        <v>0</v>
      </c>
      <c r="AJ103" s="76">
        <f t="shared" si="35"/>
        <v>0</v>
      </c>
      <c r="AK103" s="1">
        <v>0</v>
      </c>
      <c r="AL103" s="1">
        <v>0</v>
      </c>
      <c r="AM103" s="1" t="str">
        <f t="shared" si="36"/>
        <v/>
      </c>
      <c r="AN103" s="1">
        <f t="shared" si="37"/>
        <v>0</v>
      </c>
      <c r="AO103" s="1">
        <v>0</v>
      </c>
      <c r="AP103" s="61">
        <f t="shared" si="38"/>
        <v>0</v>
      </c>
      <c r="AQ103" s="61">
        <v>0</v>
      </c>
      <c r="AR103" s="76">
        <v>0</v>
      </c>
      <c r="AS103" s="76">
        <f t="shared" si="39"/>
        <v>0</v>
      </c>
      <c r="AT103" s="69" t="str">
        <f t="shared" si="40"/>
        <v>OK</v>
      </c>
      <c r="AU103" s="77">
        <f t="shared" si="41"/>
        <v>180</v>
      </c>
      <c r="AV103" s="61" t="str">
        <f t="shared" si="42"/>
        <v>Sem mapa/sem consumo automático</v>
      </c>
      <c r="AW103" s="70"/>
      <c r="AX103" s="70">
        <v>0</v>
      </c>
      <c r="AY103" s="71" t="str">
        <f t="shared" si="43"/>
        <v>NÃO MAPEADO</v>
      </c>
      <c r="AZ103" s="70"/>
      <c r="BA103" s="71" t="str">
        <f t="shared" si="44"/>
        <v/>
      </c>
      <c r="BB103" s="70" t="str">
        <f t="shared" si="45"/>
        <v>Verificar cadastro</v>
      </c>
      <c r="BC103" s="78">
        <v>0</v>
      </c>
      <c r="BD103" s="78">
        <f t="shared" si="46"/>
        <v>0</v>
      </c>
      <c r="BE103" s="78">
        <v>0</v>
      </c>
      <c r="BF103">
        <v>0</v>
      </c>
      <c r="BG103">
        <v>0</v>
      </c>
      <c r="BH103">
        <v>0</v>
      </c>
      <c r="BJ103">
        <v>0</v>
      </c>
      <c r="BK103" s="103"/>
    </row>
    <row r="104" spans="1:63" ht="30" x14ac:dyDescent="0.25">
      <c r="A104" s="8" t="s">
        <v>283</v>
      </c>
      <c r="B104" s="8">
        <v>42.48</v>
      </c>
      <c r="C104" s="8">
        <v>594.78</v>
      </c>
      <c r="D104" s="8">
        <v>9850</v>
      </c>
      <c r="E104" s="8" t="s">
        <v>276</v>
      </c>
      <c r="F104" s="8" t="s">
        <v>277</v>
      </c>
      <c r="G104" s="8" t="s">
        <v>283</v>
      </c>
      <c r="H104" s="8">
        <v>14</v>
      </c>
      <c r="I104" s="12">
        <v>0</v>
      </c>
      <c r="J104" s="10">
        <f>REMESSAS!W105</f>
        <v>0</v>
      </c>
      <c r="K104" s="11">
        <f t="shared" si="25"/>
        <v>14</v>
      </c>
      <c r="L104" s="11">
        <f t="shared" si="26"/>
        <v>0</v>
      </c>
      <c r="M104" s="11">
        <f t="shared" si="27"/>
        <v>-14</v>
      </c>
      <c r="N104" s="11">
        <v>0</v>
      </c>
      <c r="O104" s="76">
        <f>IF($A104="","",IFERROR(SUMIF(Consumo_Joists!$A:$A,$A104,Consumo_Joists!$P:$P),0)+IFERROR(SUMIF(Consumo_Quadrantes!$A:$A,$A104,Consumo_Quadrantes!$F:$F),0))</f>
        <v>0</v>
      </c>
      <c r="P104" s="76">
        <v>0</v>
      </c>
      <c r="Q104" s="76"/>
      <c r="R104" s="76"/>
      <c r="S104" s="3">
        <f t="shared" si="28"/>
        <v>0</v>
      </c>
      <c r="T104" s="1" t="str">
        <f t="shared" si="29"/>
        <v>Crítico</v>
      </c>
      <c r="U104" s="1" t="s">
        <v>498</v>
      </c>
      <c r="V104" s="1" t="s">
        <v>80</v>
      </c>
      <c r="W104" s="1" t="s">
        <v>499</v>
      </c>
      <c r="X104" s="2">
        <f t="shared" si="30"/>
        <v>7</v>
      </c>
      <c r="Y104" s="1" t="str">
        <f t="shared" si="31"/>
        <v>Enviar se houver espaço</v>
      </c>
      <c r="Z104" s="1" t="str">
        <f t="shared" si="32"/>
        <v>OK</v>
      </c>
      <c r="AA104" s="11">
        <f t="shared" si="33"/>
        <v>2.8</v>
      </c>
      <c r="AB104" s="11">
        <f t="shared" si="34"/>
        <v>2.8</v>
      </c>
      <c r="AC104" s="1"/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76">
        <v>0</v>
      </c>
      <c r="AJ104" s="76">
        <f t="shared" si="35"/>
        <v>0</v>
      </c>
      <c r="AK104" s="1">
        <v>0</v>
      </c>
      <c r="AL104" s="1">
        <v>0</v>
      </c>
      <c r="AM104" s="1" t="str">
        <f t="shared" si="36"/>
        <v/>
      </c>
      <c r="AN104" s="1">
        <f t="shared" si="37"/>
        <v>0</v>
      </c>
      <c r="AO104" s="1">
        <v>0</v>
      </c>
      <c r="AP104" s="61">
        <f t="shared" si="38"/>
        <v>0</v>
      </c>
      <c r="AQ104" s="61">
        <v>0</v>
      </c>
      <c r="AR104" s="76">
        <v>0</v>
      </c>
      <c r="AS104" s="76">
        <f t="shared" si="39"/>
        <v>0</v>
      </c>
      <c r="AT104" s="69" t="str">
        <f t="shared" si="40"/>
        <v>OK</v>
      </c>
      <c r="AU104" s="77">
        <f t="shared" si="41"/>
        <v>14</v>
      </c>
      <c r="AV104" s="61" t="str">
        <f t="shared" si="42"/>
        <v>Sem mapa/sem consumo automático</v>
      </c>
      <c r="AW104" s="70"/>
      <c r="AX104" s="70">
        <v>0</v>
      </c>
      <c r="AY104" s="71" t="str">
        <f t="shared" si="43"/>
        <v>NÃO MAPEADO</v>
      </c>
      <c r="AZ104" s="70"/>
      <c r="BA104" s="71" t="str">
        <f t="shared" si="44"/>
        <v/>
      </c>
      <c r="BB104" s="70" t="str">
        <f t="shared" si="45"/>
        <v>Verificar cadastro</v>
      </c>
      <c r="BC104" s="78">
        <v>0</v>
      </c>
      <c r="BD104" s="78">
        <f t="shared" si="46"/>
        <v>0</v>
      </c>
      <c r="BE104" s="78">
        <v>0</v>
      </c>
      <c r="BF104">
        <v>0</v>
      </c>
      <c r="BG104">
        <v>0</v>
      </c>
      <c r="BH104">
        <v>0</v>
      </c>
      <c r="BJ104">
        <v>0</v>
      </c>
      <c r="BK104" s="103"/>
    </row>
    <row r="105" spans="1:63" ht="30" x14ac:dyDescent="0.25">
      <c r="A105" s="8" t="s">
        <v>284</v>
      </c>
      <c r="B105" s="8">
        <v>41.54</v>
      </c>
      <c r="C105" s="8">
        <v>249.21</v>
      </c>
      <c r="D105" s="8">
        <v>9630</v>
      </c>
      <c r="E105" s="8" t="s">
        <v>276</v>
      </c>
      <c r="F105" s="8" t="s">
        <v>277</v>
      </c>
      <c r="G105" s="8" t="s">
        <v>284</v>
      </c>
      <c r="H105" s="8">
        <v>6</v>
      </c>
      <c r="I105" s="9">
        <v>0</v>
      </c>
      <c r="J105" s="10">
        <f>REMESSAS!W106</f>
        <v>0</v>
      </c>
      <c r="K105" s="11">
        <f t="shared" si="25"/>
        <v>6</v>
      </c>
      <c r="L105" s="11">
        <f t="shared" si="26"/>
        <v>0</v>
      </c>
      <c r="M105" s="11">
        <f t="shared" si="27"/>
        <v>-6</v>
      </c>
      <c r="N105" s="11">
        <v>0</v>
      </c>
      <c r="O105" s="76">
        <f>IF($A105="","",IFERROR(SUMIF(Consumo_Joists!$A:$A,$A105,Consumo_Joists!$P:$P),0)+IFERROR(SUMIF(Consumo_Quadrantes!$A:$A,$A105,Consumo_Quadrantes!$F:$F),0))</f>
        <v>0</v>
      </c>
      <c r="P105" s="76">
        <v>0</v>
      </c>
      <c r="Q105" s="76"/>
      <c r="R105" s="76"/>
      <c r="S105" s="3">
        <f t="shared" si="28"/>
        <v>0</v>
      </c>
      <c r="T105" s="1" t="str">
        <f t="shared" si="29"/>
        <v>Crítico</v>
      </c>
      <c r="U105" s="1" t="s">
        <v>498</v>
      </c>
      <c r="V105" s="1" t="s">
        <v>80</v>
      </c>
      <c r="W105" s="1" t="s">
        <v>499</v>
      </c>
      <c r="X105" s="2">
        <f t="shared" si="30"/>
        <v>3</v>
      </c>
      <c r="Y105" s="1" t="str">
        <f t="shared" si="31"/>
        <v>Enviar se houver espaço</v>
      </c>
      <c r="Z105" s="1" t="str">
        <f t="shared" si="32"/>
        <v>OK</v>
      </c>
      <c r="AA105" s="11">
        <f t="shared" si="33"/>
        <v>1.2</v>
      </c>
      <c r="AB105" s="11">
        <f t="shared" si="34"/>
        <v>1.2</v>
      </c>
      <c r="AC105" s="1"/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76">
        <v>0</v>
      </c>
      <c r="AJ105" s="76">
        <f t="shared" si="35"/>
        <v>0</v>
      </c>
      <c r="AK105" s="1">
        <v>0</v>
      </c>
      <c r="AL105" s="1">
        <v>0</v>
      </c>
      <c r="AM105" s="1" t="str">
        <f t="shared" si="36"/>
        <v/>
      </c>
      <c r="AN105" s="1">
        <f t="shared" si="37"/>
        <v>0</v>
      </c>
      <c r="AO105" s="1">
        <v>0</v>
      </c>
      <c r="AP105" s="61">
        <f t="shared" si="38"/>
        <v>0</v>
      </c>
      <c r="AQ105" s="61">
        <v>0</v>
      </c>
      <c r="AR105" s="76">
        <v>0</v>
      </c>
      <c r="AS105" s="76">
        <f t="shared" si="39"/>
        <v>0</v>
      </c>
      <c r="AT105" s="69" t="str">
        <f t="shared" si="40"/>
        <v>OK</v>
      </c>
      <c r="AU105" s="77">
        <f t="shared" si="41"/>
        <v>6</v>
      </c>
      <c r="AV105" s="61" t="str">
        <f t="shared" si="42"/>
        <v>Sem mapa/sem consumo automático</v>
      </c>
      <c r="AW105" s="70"/>
      <c r="AX105" s="70">
        <v>0</v>
      </c>
      <c r="AY105" s="71" t="str">
        <f t="shared" si="43"/>
        <v>NÃO MAPEADO</v>
      </c>
      <c r="AZ105" s="70"/>
      <c r="BA105" s="71" t="str">
        <f t="shared" si="44"/>
        <v/>
      </c>
      <c r="BB105" s="70" t="str">
        <f t="shared" si="45"/>
        <v>Verificar cadastro</v>
      </c>
      <c r="BC105" s="78">
        <v>0</v>
      </c>
      <c r="BD105" s="78">
        <f t="shared" si="46"/>
        <v>0</v>
      </c>
      <c r="BE105" s="78">
        <v>0</v>
      </c>
      <c r="BF105">
        <v>0</v>
      </c>
      <c r="BG105">
        <v>0</v>
      </c>
      <c r="BH105">
        <v>0</v>
      </c>
      <c r="BJ105">
        <v>0</v>
      </c>
      <c r="BK105" s="103"/>
    </row>
    <row r="106" spans="1:63" ht="30" x14ac:dyDescent="0.25">
      <c r="A106" s="8" t="s">
        <v>285</v>
      </c>
      <c r="B106" s="8">
        <v>41.54</v>
      </c>
      <c r="C106" s="8">
        <v>249.21</v>
      </c>
      <c r="D106" s="8">
        <v>9630</v>
      </c>
      <c r="E106" s="8" t="s">
        <v>276</v>
      </c>
      <c r="F106" s="8" t="s">
        <v>277</v>
      </c>
      <c r="G106" s="8" t="s">
        <v>285</v>
      </c>
      <c r="H106" s="8">
        <v>6</v>
      </c>
      <c r="I106" s="12">
        <v>0</v>
      </c>
      <c r="J106" s="10">
        <f>REMESSAS!W107</f>
        <v>0</v>
      </c>
      <c r="K106" s="11">
        <f t="shared" si="25"/>
        <v>6</v>
      </c>
      <c r="L106" s="11">
        <f t="shared" si="26"/>
        <v>0</v>
      </c>
      <c r="M106" s="11">
        <f t="shared" si="27"/>
        <v>-6</v>
      </c>
      <c r="N106" s="11">
        <v>0</v>
      </c>
      <c r="O106" s="76">
        <f>IF($A106="","",IFERROR(SUMIF(Consumo_Joists!$A:$A,$A106,Consumo_Joists!$P:$P),0)+IFERROR(SUMIF(Consumo_Quadrantes!$A:$A,$A106,Consumo_Quadrantes!$F:$F),0))</f>
        <v>0</v>
      </c>
      <c r="P106" s="76">
        <v>0</v>
      </c>
      <c r="Q106" s="76"/>
      <c r="R106" s="76"/>
      <c r="S106" s="3">
        <f t="shared" si="28"/>
        <v>0</v>
      </c>
      <c r="T106" s="1" t="str">
        <f t="shared" si="29"/>
        <v>Crítico</v>
      </c>
      <c r="U106" s="1" t="s">
        <v>498</v>
      </c>
      <c r="V106" s="1" t="s">
        <v>80</v>
      </c>
      <c r="W106" s="1" t="s">
        <v>499</v>
      </c>
      <c r="X106" s="2">
        <f t="shared" si="30"/>
        <v>3</v>
      </c>
      <c r="Y106" s="1" t="str">
        <f t="shared" si="31"/>
        <v>Enviar se houver espaço</v>
      </c>
      <c r="Z106" s="1" t="str">
        <f t="shared" si="32"/>
        <v>OK</v>
      </c>
      <c r="AA106" s="11">
        <f t="shared" si="33"/>
        <v>1.2</v>
      </c>
      <c r="AB106" s="11">
        <f t="shared" si="34"/>
        <v>1.2</v>
      </c>
      <c r="AC106" s="1"/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76">
        <v>0</v>
      </c>
      <c r="AJ106" s="76">
        <f t="shared" si="35"/>
        <v>0</v>
      </c>
      <c r="AK106" s="1">
        <v>0</v>
      </c>
      <c r="AL106" s="1">
        <v>0</v>
      </c>
      <c r="AM106" s="1" t="str">
        <f t="shared" si="36"/>
        <v/>
      </c>
      <c r="AN106" s="1">
        <f t="shared" si="37"/>
        <v>0</v>
      </c>
      <c r="AO106" s="1">
        <v>0</v>
      </c>
      <c r="AP106" s="61">
        <f t="shared" si="38"/>
        <v>0</v>
      </c>
      <c r="AQ106" s="61">
        <v>0</v>
      </c>
      <c r="AR106" s="76">
        <v>0</v>
      </c>
      <c r="AS106" s="76">
        <f t="shared" si="39"/>
        <v>0</v>
      </c>
      <c r="AT106" s="69" t="str">
        <f t="shared" si="40"/>
        <v>OK</v>
      </c>
      <c r="AU106" s="77">
        <f t="shared" si="41"/>
        <v>6</v>
      </c>
      <c r="AV106" s="61" t="str">
        <f t="shared" si="42"/>
        <v>Sem mapa/sem consumo automático</v>
      </c>
      <c r="AW106" s="70"/>
      <c r="AX106" s="70">
        <v>0</v>
      </c>
      <c r="AY106" s="71" t="str">
        <f t="shared" si="43"/>
        <v>NÃO MAPEADO</v>
      </c>
      <c r="AZ106" s="70"/>
      <c r="BA106" s="71" t="str">
        <f t="shared" si="44"/>
        <v/>
      </c>
      <c r="BB106" s="70" t="str">
        <f t="shared" si="45"/>
        <v>Verificar cadastro</v>
      </c>
      <c r="BC106" s="78">
        <v>0</v>
      </c>
      <c r="BD106" s="78">
        <f t="shared" si="46"/>
        <v>0</v>
      </c>
      <c r="BE106" s="78">
        <v>0</v>
      </c>
      <c r="BF106">
        <v>0</v>
      </c>
      <c r="BG106">
        <v>0</v>
      </c>
      <c r="BH106">
        <v>0</v>
      </c>
      <c r="BJ106">
        <v>0</v>
      </c>
      <c r="BK106" s="103"/>
    </row>
    <row r="107" spans="1:63" ht="30" x14ac:dyDescent="0.25">
      <c r="A107" s="8" t="s">
        <v>287</v>
      </c>
      <c r="B107" s="8">
        <v>95.74</v>
      </c>
      <c r="C107" s="8">
        <v>765.91</v>
      </c>
      <c r="D107" s="8">
        <v>15350</v>
      </c>
      <c r="E107" s="8" t="s">
        <v>286</v>
      </c>
      <c r="F107" s="8" t="s">
        <v>277</v>
      </c>
      <c r="G107" s="8" t="s">
        <v>287</v>
      </c>
      <c r="H107" s="8">
        <v>8</v>
      </c>
      <c r="I107" s="9">
        <v>0</v>
      </c>
      <c r="J107" s="10">
        <f>REMESSAS!W108</f>
        <v>0</v>
      </c>
      <c r="K107" s="11">
        <f t="shared" si="25"/>
        <v>8</v>
      </c>
      <c r="L107" s="11">
        <f t="shared" si="26"/>
        <v>0</v>
      </c>
      <c r="M107" s="11">
        <f t="shared" si="27"/>
        <v>-8</v>
      </c>
      <c r="N107" s="11">
        <v>0</v>
      </c>
      <c r="O107" s="76">
        <f>IF($A107="","",IFERROR(SUMIF(Consumo_Joists!$A:$A,$A107,Consumo_Joists!$P:$P),0)+IFERROR(SUMIF(Consumo_Quadrantes!$A:$A,$A107,Consumo_Quadrantes!$F:$F),0))</f>
        <v>0</v>
      </c>
      <c r="P107" s="76">
        <v>0</v>
      </c>
      <c r="Q107" s="76"/>
      <c r="R107" s="76"/>
      <c r="S107" s="3">
        <f t="shared" si="28"/>
        <v>0</v>
      </c>
      <c r="T107" s="1" t="str">
        <f t="shared" si="29"/>
        <v>Crítico</v>
      </c>
      <c r="U107" s="1" t="s">
        <v>498</v>
      </c>
      <c r="V107" s="1" t="s">
        <v>80</v>
      </c>
      <c r="W107" s="1" t="s">
        <v>499</v>
      </c>
      <c r="X107" s="2">
        <f t="shared" si="30"/>
        <v>4</v>
      </c>
      <c r="Y107" s="1" t="str">
        <f t="shared" si="31"/>
        <v>Enviar se houver espaço</v>
      </c>
      <c r="Z107" s="1" t="str">
        <f t="shared" si="32"/>
        <v>OK</v>
      </c>
      <c r="AA107" s="11">
        <f t="shared" si="33"/>
        <v>1.6</v>
      </c>
      <c r="AB107" s="11">
        <f t="shared" si="34"/>
        <v>1.6</v>
      </c>
      <c r="AC107" s="1"/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76">
        <v>0</v>
      </c>
      <c r="AJ107" s="76">
        <f t="shared" si="35"/>
        <v>0</v>
      </c>
      <c r="AK107" s="1">
        <v>0</v>
      </c>
      <c r="AL107" s="1">
        <v>0</v>
      </c>
      <c r="AM107" s="1" t="str">
        <f t="shared" si="36"/>
        <v/>
      </c>
      <c r="AN107" s="1">
        <f t="shared" si="37"/>
        <v>0</v>
      </c>
      <c r="AO107" s="1">
        <v>0</v>
      </c>
      <c r="AP107" s="61">
        <f t="shared" si="38"/>
        <v>0</v>
      </c>
      <c r="AQ107" s="61">
        <v>0</v>
      </c>
      <c r="AR107" s="76">
        <v>0</v>
      </c>
      <c r="AS107" s="76">
        <f t="shared" si="39"/>
        <v>0</v>
      </c>
      <c r="AT107" s="69" t="str">
        <f t="shared" si="40"/>
        <v>OK</v>
      </c>
      <c r="AU107" s="77">
        <f t="shared" si="41"/>
        <v>8</v>
      </c>
      <c r="AV107" s="61" t="str">
        <f t="shared" si="42"/>
        <v>Sem mapa/sem consumo automático</v>
      </c>
      <c r="AW107" s="70"/>
      <c r="AX107" s="70">
        <v>0</v>
      </c>
      <c r="AY107" s="71" t="str">
        <f t="shared" si="43"/>
        <v>NÃO MAPEADO</v>
      </c>
      <c r="AZ107" s="70"/>
      <c r="BA107" s="71" t="str">
        <f t="shared" si="44"/>
        <v/>
      </c>
      <c r="BB107" s="70" t="str">
        <f t="shared" si="45"/>
        <v>Verificar cadastro</v>
      </c>
      <c r="BC107" s="78">
        <v>0</v>
      </c>
      <c r="BD107" s="78">
        <f t="shared" si="46"/>
        <v>0</v>
      </c>
      <c r="BE107" s="78">
        <v>0</v>
      </c>
      <c r="BF107">
        <v>0</v>
      </c>
      <c r="BG107">
        <v>0</v>
      </c>
      <c r="BH107">
        <v>0</v>
      </c>
      <c r="BJ107">
        <v>0</v>
      </c>
    </row>
    <row r="108" spans="1:63" ht="30" x14ac:dyDescent="0.25">
      <c r="A108" s="8" t="s">
        <v>289</v>
      </c>
      <c r="B108" s="8">
        <v>68</v>
      </c>
      <c r="C108" s="8">
        <v>9248.3799999999992</v>
      </c>
      <c r="D108" s="8">
        <v>12000</v>
      </c>
      <c r="E108" s="8" t="s">
        <v>288</v>
      </c>
      <c r="F108" s="8" t="s">
        <v>277</v>
      </c>
      <c r="G108" s="8" t="s">
        <v>289</v>
      </c>
      <c r="H108" s="8">
        <v>136</v>
      </c>
      <c r="I108" s="12">
        <v>0</v>
      </c>
      <c r="J108" s="10">
        <f>REMESSAS!W109</f>
        <v>0</v>
      </c>
      <c r="K108" s="11">
        <f t="shared" si="25"/>
        <v>136</v>
      </c>
      <c r="L108" s="11">
        <f t="shared" si="26"/>
        <v>0</v>
      </c>
      <c r="M108" s="11">
        <f t="shared" si="27"/>
        <v>-136</v>
      </c>
      <c r="N108" s="11">
        <v>0</v>
      </c>
      <c r="O108" s="76">
        <f>IF($A108="","",IFERROR(SUMIF(Consumo_Joists!$A:$A,$A108,Consumo_Joists!$P:$P),0)+IFERROR(SUMIF(Consumo_Quadrantes!$A:$A,$A108,Consumo_Quadrantes!$F:$F),0))</f>
        <v>0</v>
      </c>
      <c r="P108" s="76">
        <v>0</v>
      </c>
      <c r="Q108" s="76"/>
      <c r="R108" s="76"/>
      <c r="S108" s="3">
        <f t="shared" si="28"/>
        <v>0</v>
      </c>
      <c r="T108" s="1" t="str">
        <f t="shared" si="29"/>
        <v>Crítico</v>
      </c>
      <c r="U108" s="1" t="s">
        <v>498</v>
      </c>
      <c r="V108" s="1" t="s">
        <v>80</v>
      </c>
      <c r="W108" s="1" t="s">
        <v>499</v>
      </c>
      <c r="X108" s="2">
        <f t="shared" si="30"/>
        <v>68</v>
      </c>
      <c r="Y108" s="1" t="str">
        <f t="shared" si="31"/>
        <v>Enviar se houver espaço</v>
      </c>
      <c r="Z108" s="1" t="str">
        <f t="shared" si="32"/>
        <v>OK</v>
      </c>
      <c r="AA108" s="11">
        <f t="shared" si="33"/>
        <v>27.2</v>
      </c>
      <c r="AB108" s="11">
        <f t="shared" si="34"/>
        <v>27.2</v>
      </c>
      <c r="AC108" s="1"/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76">
        <v>0</v>
      </c>
      <c r="AJ108" s="76">
        <f t="shared" si="35"/>
        <v>0</v>
      </c>
      <c r="AK108" s="1">
        <v>0</v>
      </c>
      <c r="AL108" s="1">
        <v>0</v>
      </c>
      <c r="AM108" s="1" t="str">
        <f t="shared" si="36"/>
        <v/>
      </c>
      <c r="AN108" s="1">
        <f t="shared" si="37"/>
        <v>0</v>
      </c>
      <c r="AO108" s="1">
        <v>0</v>
      </c>
      <c r="AP108" s="61">
        <f t="shared" si="38"/>
        <v>0</v>
      </c>
      <c r="AQ108" s="61">
        <v>0</v>
      </c>
      <c r="AR108" s="76">
        <v>0</v>
      </c>
      <c r="AS108" s="76">
        <f t="shared" si="39"/>
        <v>0</v>
      </c>
      <c r="AT108" s="69" t="str">
        <f t="shared" si="40"/>
        <v>OK</v>
      </c>
      <c r="AU108" s="77">
        <f t="shared" si="41"/>
        <v>136</v>
      </c>
      <c r="AV108" s="61" t="str">
        <f t="shared" si="42"/>
        <v>Sem mapa/sem consumo automático</v>
      </c>
      <c r="AW108" s="70"/>
      <c r="AX108" s="70">
        <v>0</v>
      </c>
      <c r="AY108" s="71" t="str">
        <f t="shared" si="43"/>
        <v>NÃO MAPEADO</v>
      </c>
      <c r="AZ108" s="70"/>
      <c r="BA108" s="71" t="str">
        <f t="shared" si="44"/>
        <v/>
      </c>
      <c r="BB108" s="70" t="str">
        <f t="shared" si="45"/>
        <v>Verificar cadastro</v>
      </c>
      <c r="BC108" s="78">
        <v>0</v>
      </c>
      <c r="BD108" s="78">
        <f t="shared" si="46"/>
        <v>0</v>
      </c>
      <c r="BE108" s="78">
        <v>0</v>
      </c>
      <c r="BF108">
        <v>0</v>
      </c>
      <c r="BG108">
        <v>0</v>
      </c>
      <c r="BH108">
        <v>0</v>
      </c>
      <c r="BJ108">
        <v>0</v>
      </c>
    </row>
    <row r="109" spans="1:63" ht="30" x14ac:dyDescent="0.25">
      <c r="A109" s="8" t="s">
        <v>290</v>
      </c>
      <c r="B109" s="8">
        <v>102.91</v>
      </c>
      <c r="C109" s="8">
        <v>13996</v>
      </c>
      <c r="D109" s="8">
        <v>16500</v>
      </c>
      <c r="E109" s="8" t="s">
        <v>286</v>
      </c>
      <c r="F109" s="8" t="s">
        <v>277</v>
      </c>
      <c r="G109" s="8" t="s">
        <v>290</v>
      </c>
      <c r="H109" s="8">
        <v>136</v>
      </c>
      <c r="I109" s="9">
        <v>0</v>
      </c>
      <c r="J109" s="10">
        <f>REMESSAS!W110</f>
        <v>0</v>
      </c>
      <c r="K109" s="11">
        <f t="shared" si="25"/>
        <v>136</v>
      </c>
      <c r="L109" s="11">
        <f t="shared" si="26"/>
        <v>0</v>
      </c>
      <c r="M109" s="11">
        <f t="shared" si="27"/>
        <v>-136</v>
      </c>
      <c r="N109" s="11">
        <v>0</v>
      </c>
      <c r="O109" s="76">
        <f>IF($A109="","",IFERROR(SUMIF(Consumo_Joists!$A:$A,$A109,Consumo_Joists!$P:$P),0)+IFERROR(SUMIF(Consumo_Quadrantes!$A:$A,$A109,Consumo_Quadrantes!$F:$F),0))</f>
        <v>0</v>
      </c>
      <c r="P109" s="76">
        <v>0</v>
      </c>
      <c r="Q109" s="76"/>
      <c r="R109" s="76"/>
      <c r="S109" s="3">
        <f t="shared" si="28"/>
        <v>0</v>
      </c>
      <c r="T109" s="1" t="s">
        <v>500</v>
      </c>
      <c r="U109" s="1" t="s">
        <v>498</v>
      </c>
      <c r="V109" s="1" t="s">
        <v>80</v>
      </c>
      <c r="W109" s="1" t="s">
        <v>499</v>
      </c>
      <c r="X109" s="2">
        <f t="shared" si="30"/>
        <v>68</v>
      </c>
      <c r="Y109" s="1" t="str">
        <f t="shared" si="31"/>
        <v>Enviar se houver espaço</v>
      </c>
      <c r="Z109" s="1" t="str">
        <f t="shared" si="32"/>
        <v>OK</v>
      </c>
      <c r="AA109" s="11">
        <f t="shared" si="33"/>
        <v>27.2</v>
      </c>
      <c r="AB109" s="11">
        <f t="shared" si="34"/>
        <v>27.2</v>
      </c>
      <c r="AC109" s="1"/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76">
        <v>0</v>
      </c>
      <c r="AJ109" s="76">
        <f t="shared" si="35"/>
        <v>0</v>
      </c>
      <c r="AK109" s="1">
        <v>0</v>
      </c>
      <c r="AL109" s="1">
        <v>0</v>
      </c>
      <c r="AM109" s="1" t="str">
        <f t="shared" si="36"/>
        <v/>
      </c>
      <c r="AN109" s="1">
        <f t="shared" si="37"/>
        <v>0</v>
      </c>
      <c r="AO109" s="1">
        <v>0</v>
      </c>
      <c r="AP109" s="61">
        <f t="shared" si="38"/>
        <v>0</v>
      </c>
      <c r="AQ109" s="61">
        <v>0</v>
      </c>
      <c r="AR109" s="76">
        <v>0</v>
      </c>
      <c r="AS109" s="76">
        <f t="shared" si="39"/>
        <v>0</v>
      </c>
      <c r="AT109" s="69" t="str">
        <f t="shared" si="40"/>
        <v>OK</v>
      </c>
      <c r="AU109" s="77">
        <f t="shared" si="41"/>
        <v>136</v>
      </c>
      <c r="AV109" s="61" t="str">
        <f t="shared" si="42"/>
        <v>Sem mapa/sem consumo automático</v>
      </c>
      <c r="AW109" s="70"/>
      <c r="AX109" s="70">
        <v>0</v>
      </c>
      <c r="AY109" s="71" t="str">
        <f t="shared" si="43"/>
        <v>NÃO MAPEADO</v>
      </c>
      <c r="AZ109" s="70"/>
      <c r="BA109" s="71" t="str">
        <f t="shared" si="44"/>
        <v/>
      </c>
      <c r="BB109" s="70" t="str">
        <f t="shared" si="45"/>
        <v>Verificar cadastro</v>
      </c>
      <c r="BC109" s="78">
        <v>0</v>
      </c>
      <c r="BD109" s="78">
        <f t="shared" si="46"/>
        <v>0</v>
      </c>
      <c r="BE109" s="78">
        <v>0</v>
      </c>
      <c r="BF109">
        <v>0</v>
      </c>
      <c r="BG109">
        <v>0</v>
      </c>
      <c r="BH109">
        <v>0</v>
      </c>
      <c r="BJ109">
        <v>0</v>
      </c>
      <c r="BK109" s="103"/>
    </row>
    <row r="110" spans="1:63" ht="30" x14ac:dyDescent="0.25">
      <c r="A110" s="8" t="s">
        <v>291</v>
      </c>
      <c r="B110" s="8">
        <v>65.489999999999995</v>
      </c>
      <c r="C110" s="8">
        <v>261.95999999999998</v>
      </c>
      <c r="D110" s="8">
        <v>10500</v>
      </c>
      <c r="E110" s="8" t="s">
        <v>286</v>
      </c>
      <c r="F110" s="8" t="s">
        <v>277</v>
      </c>
      <c r="G110" s="8" t="s">
        <v>291</v>
      </c>
      <c r="H110" s="8">
        <v>4</v>
      </c>
      <c r="I110" s="12">
        <v>0</v>
      </c>
      <c r="J110" s="10">
        <f>REMESSAS!W111</f>
        <v>0</v>
      </c>
      <c r="K110" s="11">
        <f t="shared" si="25"/>
        <v>4</v>
      </c>
      <c r="L110" s="11">
        <f t="shared" si="26"/>
        <v>0</v>
      </c>
      <c r="M110" s="11">
        <f t="shared" si="27"/>
        <v>-4</v>
      </c>
      <c r="N110" s="11">
        <v>0</v>
      </c>
      <c r="O110" s="76">
        <f>IF($A110="","",IFERROR(SUMIF(Consumo_Joists!$A:$A,$A110,Consumo_Joists!$P:$P),0)+IFERROR(SUMIF(Consumo_Quadrantes!$A:$A,$A110,Consumo_Quadrantes!$F:$F),0))</f>
        <v>0</v>
      </c>
      <c r="P110" s="76">
        <v>0</v>
      </c>
      <c r="Q110" s="76"/>
      <c r="R110" s="76"/>
      <c r="S110" s="3">
        <f t="shared" si="28"/>
        <v>0</v>
      </c>
      <c r="T110" s="1" t="str">
        <f t="shared" si="29"/>
        <v>Crítico</v>
      </c>
      <c r="U110" s="1" t="s">
        <v>498</v>
      </c>
      <c r="V110" s="1" t="s">
        <v>80</v>
      </c>
      <c r="W110" s="1" t="s">
        <v>499</v>
      </c>
      <c r="X110" s="2">
        <f t="shared" si="30"/>
        <v>2</v>
      </c>
      <c r="Y110" s="1" t="str">
        <f t="shared" si="31"/>
        <v>Enviar se houver espaço</v>
      </c>
      <c r="Z110" s="1" t="str">
        <f t="shared" si="32"/>
        <v>OK</v>
      </c>
      <c r="AA110" s="11">
        <f t="shared" si="33"/>
        <v>0.8</v>
      </c>
      <c r="AB110" s="11">
        <f t="shared" si="34"/>
        <v>0.8</v>
      </c>
      <c r="AC110" s="1"/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76">
        <v>0</v>
      </c>
      <c r="AJ110" s="76">
        <f t="shared" si="35"/>
        <v>0</v>
      </c>
      <c r="AK110" s="1">
        <v>0</v>
      </c>
      <c r="AL110" s="1">
        <v>0</v>
      </c>
      <c r="AM110" s="1" t="str">
        <f t="shared" si="36"/>
        <v/>
      </c>
      <c r="AN110" s="1">
        <f t="shared" si="37"/>
        <v>0</v>
      </c>
      <c r="AO110" s="1">
        <v>0</v>
      </c>
      <c r="AP110" s="61">
        <f t="shared" si="38"/>
        <v>0</v>
      </c>
      <c r="AQ110" s="61">
        <v>0</v>
      </c>
      <c r="AR110" s="76">
        <v>0</v>
      </c>
      <c r="AS110" s="76">
        <f t="shared" si="39"/>
        <v>0</v>
      </c>
      <c r="AT110" s="69" t="str">
        <f t="shared" si="40"/>
        <v>OK</v>
      </c>
      <c r="AU110" s="77">
        <f t="shared" si="41"/>
        <v>4</v>
      </c>
      <c r="AV110" s="61" t="str">
        <f t="shared" si="42"/>
        <v>Sem mapa/sem consumo automático</v>
      </c>
      <c r="AW110" s="70"/>
      <c r="AX110" s="70">
        <v>0</v>
      </c>
      <c r="AY110" s="71" t="str">
        <f t="shared" si="43"/>
        <v>NÃO MAPEADO</v>
      </c>
      <c r="AZ110" s="70"/>
      <c r="BA110" s="71" t="str">
        <f t="shared" si="44"/>
        <v/>
      </c>
      <c r="BB110" s="70" t="str">
        <f t="shared" si="45"/>
        <v>Verificar cadastro</v>
      </c>
      <c r="BC110" s="78">
        <v>0</v>
      </c>
      <c r="BD110" s="78">
        <f t="shared" si="46"/>
        <v>0</v>
      </c>
      <c r="BE110" s="78">
        <v>0</v>
      </c>
      <c r="BF110">
        <v>0</v>
      </c>
      <c r="BG110">
        <v>0</v>
      </c>
      <c r="BH110">
        <v>0</v>
      </c>
      <c r="BJ110">
        <v>0</v>
      </c>
      <c r="BK110" s="103"/>
    </row>
    <row r="111" spans="1:63" ht="30" x14ac:dyDescent="0.25">
      <c r="A111" s="8" t="s">
        <v>292</v>
      </c>
      <c r="B111" s="8">
        <v>93.56</v>
      </c>
      <c r="C111" s="8">
        <v>748.45</v>
      </c>
      <c r="D111" s="8">
        <v>15000</v>
      </c>
      <c r="E111" s="8" t="s">
        <v>286</v>
      </c>
      <c r="F111" s="8" t="s">
        <v>277</v>
      </c>
      <c r="G111" s="8" t="s">
        <v>292</v>
      </c>
      <c r="H111" s="8">
        <v>8</v>
      </c>
      <c r="I111" s="9">
        <v>0</v>
      </c>
      <c r="J111" s="10">
        <f>REMESSAS!W112</f>
        <v>0</v>
      </c>
      <c r="K111" s="11">
        <f t="shared" si="25"/>
        <v>8</v>
      </c>
      <c r="L111" s="11">
        <f t="shared" si="26"/>
        <v>0</v>
      </c>
      <c r="M111" s="11">
        <f t="shared" si="27"/>
        <v>-8</v>
      </c>
      <c r="N111" s="11">
        <v>0</v>
      </c>
      <c r="O111" s="76">
        <f>IF($A111="","",IFERROR(SUMIF(Consumo_Joists!$A:$A,$A111,Consumo_Joists!$P:$P),0)+IFERROR(SUMIF(Consumo_Quadrantes!$A:$A,$A111,Consumo_Quadrantes!$F:$F),0))</f>
        <v>0</v>
      </c>
      <c r="P111" s="76">
        <v>0</v>
      </c>
      <c r="Q111" s="76"/>
      <c r="R111" s="76"/>
      <c r="S111" s="3">
        <f t="shared" si="28"/>
        <v>0</v>
      </c>
      <c r="T111" s="1" t="str">
        <f t="shared" si="29"/>
        <v>Crítico</v>
      </c>
      <c r="U111" s="1" t="s">
        <v>498</v>
      </c>
      <c r="V111" s="1" t="s">
        <v>80</v>
      </c>
      <c r="W111" s="1" t="s">
        <v>499</v>
      </c>
      <c r="X111" s="2">
        <f t="shared" si="30"/>
        <v>4</v>
      </c>
      <c r="Y111" s="1" t="str">
        <f t="shared" si="31"/>
        <v>Enviar se houver espaço</v>
      </c>
      <c r="Z111" s="1" t="str">
        <f t="shared" si="32"/>
        <v>OK</v>
      </c>
      <c r="AA111" s="11">
        <f t="shared" si="33"/>
        <v>1.6</v>
      </c>
      <c r="AB111" s="11">
        <f t="shared" si="34"/>
        <v>1.6</v>
      </c>
      <c r="AC111" s="1"/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76">
        <v>0</v>
      </c>
      <c r="AJ111" s="76">
        <f t="shared" si="35"/>
        <v>0</v>
      </c>
      <c r="AK111" s="1">
        <v>0</v>
      </c>
      <c r="AL111" s="1">
        <v>0</v>
      </c>
      <c r="AM111" s="1" t="str">
        <f t="shared" si="36"/>
        <v/>
      </c>
      <c r="AN111" s="1">
        <f t="shared" si="37"/>
        <v>0</v>
      </c>
      <c r="AO111" s="1">
        <v>0</v>
      </c>
      <c r="AP111" s="61">
        <f t="shared" si="38"/>
        <v>0</v>
      </c>
      <c r="AQ111" s="61">
        <v>0</v>
      </c>
      <c r="AR111" s="76">
        <v>0</v>
      </c>
      <c r="AS111" s="76">
        <f t="shared" si="39"/>
        <v>0</v>
      </c>
      <c r="AT111" s="69" t="str">
        <f t="shared" si="40"/>
        <v>OK</v>
      </c>
      <c r="AU111" s="77">
        <f t="shared" si="41"/>
        <v>8</v>
      </c>
      <c r="AV111" s="61" t="str">
        <f t="shared" si="42"/>
        <v>Sem mapa/sem consumo automático</v>
      </c>
      <c r="AW111" s="70"/>
      <c r="AX111" s="70">
        <v>0</v>
      </c>
      <c r="AY111" s="71" t="str">
        <f t="shared" si="43"/>
        <v>NÃO MAPEADO</v>
      </c>
      <c r="AZ111" s="70"/>
      <c r="BA111" s="71" t="str">
        <f t="shared" si="44"/>
        <v/>
      </c>
      <c r="BB111" s="70" t="str">
        <f t="shared" si="45"/>
        <v>Verificar cadastro</v>
      </c>
      <c r="BC111" s="78">
        <v>0</v>
      </c>
      <c r="BD111" s="78">
        <f t="shared" si="46"/>
        <v>0</v>
      </c>
      <c r="BE111" s="78">
        <v>0</v>
      </c>
      <c r="BF111">
        <v>0</v>
      </c>
      <c r="BG111">
        <v>0</v>
      </c>
      <c r="BH111">
        <v>0</v>
      </c>
      <c r="BJ111">
        <v>0</v>
      </c>
      <c r="BK111" s="103"/>
    </row>
    <row r="112" spans="1:63" ht="30" x14ac:dyDescent="0.25">
      <c r="A112" s="8" t="s">
        <v>293</v>
      </c>
      <c r="B112" s="8">
        <v>67.67</v>
      </c>
      <c r="C112" s="8">
        <v>270.69</v>
      </c>
      <c r="D112" s="8">
        <v>10850</v>
      </c>
      <c r="E112" s="8" t="s">
        <v>286</v>
      </c>
      <c r="F112" s="8" t="s">
        <v>277</v>
      </c>
      <c r="G112" s="8" t="s">
        <v>293</v>
      </c>
      <c r="H112" s="8">
        <v>4</v>
      </c>
      <c r="I112" s="12">
        <v>0</v>
      </c>
      <c r="J112" s="10">
        <f>REMESSAS!W113</f>
        <v>0</v>
      </c>
      <c r="K112" s="11">
        <f t="shared" si="25"/>
        <v>4</v>
      </c>
      <c r="L112" s="11">
        <f t="shared" si="26"/>
        <v>0</v>
      </c>
      <c r="M112" s="11">
        <f t="shared" si="27"/>
        <v>-4</v>
      </c>
      <c r="N112" s="11">
        <v>0</v>
      </c>
      <c r="O112" s="76">
        <f>IF($A112="","",IFERROR(SUMIF(Consumo_Joists!$A:$A,$A112,Consumo_Joists!$P:$P),0)+IFERROR(SUMIF(Consumo_Quadrantes!$A:$A,$A112,Consumo_Quadrantes!$F:$F),0))</f>
        <v>0</v>
      </c>
      <c r="P112" s="76">
        <v>0</v>
      </c>
      <c r="Q112" s="76"/>
      <c r="R112" s="76"/>
      <c r="S112" s="3">
        <f t="shared" si="28"/>
        <v>0</v>
      </c>
      <c r="T112" s="1" t="str">
        <f t="shared" si="29"/>
        <v>Crítico</v>
      </c>
      <c r="U112" s="1" t="s">
        <v>498</v>
      </c>
      <c r="V112" s="1" t="s">
        <v>80</v>
      </c>
      <c r="W112" s="1" t="s">
        <v>499</v>
      </c>
      <c r="X112" s="2">
        <f t="shared" si="30"/>
        <v>2</v>
      </c>
      <c r="Y112" s="1" t="str">
        <f t="shared" si="31"/>
        <v>Enviar se houver espaço</v>
      </c>
      <c r="Z112" s="1" t="str">
        <f t="shared" si="32"/>
        <v>OK</v>
      </c>
      <c r="AA112" s="11">
        <f t="shared" si="33"/>
        <v>0.8</v>
      </c>
      <c r="AB112" s="11">
        <f t="shared" si="34"/>
        <v>0.8</v>
      </c>
      <c r="AC112" s="1"/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76">
        <v>0</v>
      </c>
      <c r="AJ112" s="76">
        <f t="shared" si="35"/>
        <v>0</v>
      </c>
      <c r="AK112" s="1">
        <v>0</v>
      </c>
      <c r="AL112" s="1">
        <v>0</v>
      </c>
      <c r="AM112" s="1" t="str">
        <f t="shared" si="36"/>
        <v/>
      </c>
      <c r="AN112" s="1">
        <f t="shared" si="37"/>
        <v>0</v>
      </c>
      <c r="AO112" s="1">
        <v>0</v>
      </c>
      <c r="AP112" s="61">
        <f t="shared" si="38"/>
        <v>0</v>
      </c>
      <c r="AQ112" s="61">
        <v>0</v>
      </c>
      <c r="AR112" s="76">
        <v>0</v>
      </c>
      <c r="AS112" s="76">
        <f t="shared" si="39"/>
        <v>0</v>
      </c>
      <c r="AT112" s="69" t="str">
        <f t="shared" si="40"/>
        <v>OK</v>
      </c>
      <c r="AU112" s="77">
        <f t="shared" si="41"/>
        <v>4</v>
      </c>
      <c r="AV112" s="61" t="str">
        <f t="shared" si="42"/>
        <v>Sem mapa/sem consumo automático</v>
      </c>
      <c r="AW112" s="70"/>
      <c r="AX112" s="70">
        <v>0</v>
      </c>
      <c r="AY112" s="71" t="str">
        <f t="shared" si="43"/>
        <v>NÃO MAPEADO</v>
      </c>
      <c r="AZ112" s="70"/>
      <c r="BA112" s="71" t="str">
        <f t="shared" si="44"/>
        <v/>
      </c>
      <c r="BB112" s="70" t="str">
        <f t="shared" si="45"/>
        <v>Verificar cadastro</v>
      </c>
      <c r="BC112" s="78">
        <v>0</v>
      </c>
      <c r="BD112" s="78">
        <f t="shared" si="46"/>
        <v>0</v>
      </c>
      <c r="BE112" s="78">
        <v>0</v>
      </c>
      <c r="BF112">
        <v>0</v>
      </c>
      <c r="BG112">
        <v>0</v>
      </c>
      <c r="BH112">
        <v>0</v>
      </c>
      <c r="BJ112">
        <v>0</v>
      </c>
      <c r="BK112" s="103"/>
    </row>
    <row r="113" spans="1:63" ht="30" x14ac:dyDescent="0.25">
      <c r="A113" s="8" t="s">
        <v>294</v>
      </c>
      <c r="B113" s="8">
        <v>67.67</v>
      </c>
      <c r="C113" s="8">
        <v>270.69</v>
      </c>
      <c r="D113" s="8">
        <v>10850</v>
      </c>
      <c r="E113" s="8" t="s">
        <v>286</v>
      </c>
      <c r="F113" s="8" t="s">
        <v>277</v>
      </c>
      <c r="G113" s="8" t="s">
        <v>294</v>
      </c>
      <c r="H113" s="8">
        <v>4</v>
      </c>
      <c r="I113" s="9">
        <v>0</v>
      </c>
      <c r="J113" s="10">
        <f>REMESSAS!W114</f>
        <v>0</v>
      </c>
      <c r="K113" s="11">
        <f t="shared" si="25"/>
        <v>4</v>
      </c>
      <c r="L113" s="11">
        <f t="shared" si="26"/>
        <v>0</v>
      </c>
      <c r="M113" s="11">
        <f t="shared" si="27"/>
        <v>-4</v>
      </c>
      <c r="N113" s="11">
        <v>0</v>
      </c>
      <c r="O113" s="76">
        <f>IF($A113="","",IFERROR(SUMIF(Consumo_Joists!$A:$A,$A113,Consumo_Joists!$P:$P),0)+IFERROR(SUMIF(Consumo_Quadrantes!$A:$A,$A113,Consumo_Quadrantes!$F:$F),0))</f>
        <v>0</v>
      </c>
      <c r="P113" s="76">
        <v>0</v>
      </c>
      <c r="Q113" s="76"/>
      <c r="R113" s="76"/>
      <c r="S113" s="3">
        <f t="shared" si="28"/>
        <v>0</v>
      </c>
      <c r="T113" s="1" t="str">
        <f t="shared" si="29"/>
        <v>Crítico</v>
      </c>
      <c r="U113" s="1" t="s">
        <v>498</v>
      </c>
      <c r="V113" s="1" t="s">
        <v>80</v>
      </c>
      <c r="W113" s="1" t="s">
        <v>499</v>
      </c>
      <c r="X113" s="2">
        <f t="shared" si="30"/>
        <v>2</v>
      </c>
      <c r="Y113" s="1" t="str">
        <f t="shared" si="31"/>
        <v>Enviar se houver espaço</v>
      </c>
      <c r="Z113" s="1" t="str">
        <f t="shared" si="32"/>
        <v>OK</v>
      </c>
      <c r="AA113" s="11">
        <f t="shared" si="33"/>
        <v>0.8</v>
      </c>
      <c r="AB113" s="11">
        <f t="shared" si="34"/>
        <v>0.8</v>
      </c>
      <c r="AC113" s="1"/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76">
        <v>0</v>
      </c>
      <c r="AJ113" s="76">
        <f t="shared" si="35"/>
        <v>0</v>
      </c>
      <c r="AK113" s="1">
        <v>0</v>
      </c>
      <c r="AL113" s="1">
        <v>0</v>
      </c>
      <c r="AM113" s="1" t="str">
        <f t="shared" si="36"/>
        <v/>
      </c>
      <c r="AN113" s="1">
        <f t="shared" si="37"/>
        <v>0</v>
      </c>
      <c r="AO113" s="1">
        <v>0</v>
      </c>
      <c r="AP113" s="61">
        <f t="shared" si="38"/>
        <v>0</v>
      </c>
      <c r="AQ113" s="61">
        <v>0</v>
      </c>
      <c r="AR113" s="76">
        <v>0</v>
      </c>
      <c r="AS113" s="76">
        <f t="shared" si="39"/>
        <v>0</v>
      </c>
      <c r="AT113" s="69" t="str">
        <f t="shared" si="40"/>
        <v>OK</v>
      </c>
      <c r="AU113" s="77">
        <f t="shared" si="41"/>
        <v>4</v>
      </c>
      <c r="AV113" s="61" t="str">
        <f t="shared" si="42"/>
        <v>Sem mapa/sem consumo automático</v>
      </c>
      <c r="AW113" s="70"/>
      <c r="AX113" s="70">
        <v>0</v>
      </c>
      <c r="AY113" s="71" t="str">
        <f t="shared" si="43"/>
        <v>NÃO MAPEADO</v>
      </c>
      <c r="AZ113" s="70"/>
      <c r="BA113" s="71" t="str">
        <f t="shared" si="44"/>
        <v/>
      </c>
      <c r="BB113" s="70" t="str">
        <f t="shared" si="45"/>
        <v>Verificar cadastro</v>
      </c>
      <c r="BC113" s="78">
        <v>0</v>
      </c>
      <c r="BD113" s="78">
        <f t="shared" si="46"/>
        <v>0</v>
      </c>
      <c r="BE113" s="78">
        <v>0</v>
      </c>
      <c r="BF113">
        <v>0</v>
      </c>
      <c r="BG113">
        <v>0</v>
      </c>
      <c r="BH113">
        <v>0</v>
      </c>
      <c r="BJ113">
        <v>0</v>
      </c>
      <c r="BK113" s="103"/>
    </row>
    <row r="114" spans="1:63" ht="30" x14ac:dyDescent="0.25">
      <c r="A114" s="8" t="s">
        <v>295</v>
      </c>
      <c r="B114" s="8">
        <v>93.56</v>
      </c>
      <c r="C114" s="8">
        <v>748.45</v>
      </c>
      <c r="D114" s="8">
        <v>15000</v>
      </c>
      <c r="E114" s="8" t="s">
        <v>286</v>
      </c>
      <c r="F114" s="8" t="s">
        <v>277</v>
      </c>
      <c r="G114" s="8" t="s">
        <v>295</v>
      </c>
      <c r="H114" s="8">
        <v>8</v>
      </c>
      <c r="I114" s="12">
        <v>0</v>
      </c>
      <c r="J114" s="10">
        <f>REMESSAS!W115</f>
        <v>0</v>
      </c>
      <c r="K114" s="11">
        <f t="shared" si="25"/>
        <v>8</v>
      </c>
      <c r="L114" s="11">
        <f t="shared" si="26"/>
        <v>0</v>
      </c>
      <c r="M114" s="11">
        <f t="shared" si="27"/>
        <v>-8</v>
      </c>
      <c r="N114" s="11">
        <v>0</v>
      </c>
      <c r="O114" s="76">
        <f>IF($A114="","",IFERROR(SUMIF(Consumo_Joists!$A:$A,$A114,Consumo_Joists!$P:$P),0)+IFERROR(SUMIF(Consumo_Quadrantes!$A:$A,$A114,Consumo_Quadrantes!$F:$F),0))</f>
        <v>0</v>
      </c>
      <c r="P114" s="76">
        <v>0</v>
      </c>
      <c r="Q114" s="76"/>
      <c r="R114" s="76"/>
      <c r="S114" s="3">
        <f t="shared" si="28"/>
        <v>0</v>
      </c>
      <c r="T114" s="1" t="str">
        <f t="shared" si="29"/>
        <v>Crítico</v>
      </c>
      <c r="U114" s="1" t="s">
        <v>498</v>
      </c>
      <c r="V114" s="1" t="s">
        <v>80</v>
      </c>
      <c r="W114" s="1" t="s">
        <v>499</v>
      </c>
      <c r="X114" s="2">
        <f t="shared" si="30"/>
        <v>4</v>
      </c>
      <c r="Y114" s="1" t="str">
        <f t="shared" si="31"/>
        <v>Enviar se houver espaço</v>
      </c>
      <c r="Z114" s="1" t="str">
        <f t="shared" si="32"/>
        <v>OK</v>
      </c>
      <c r="AA114" s="11">
        <f t="shared" si="33"/>
        <v>1.6</v>
      </c>
      <c r="AB114" s="11">
        <f t="shared" si="34"/>
        <v>1.6</v>
      </c>
      <c r="AC114" s="1"/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76">
        <v>0</v>
      </c>
      <c r="AJ114" s="76">
        <f t="shared" si="35"/>
        <v>0</v>
      </c>
      <c r="AK114" s="1">
        <v>0</v>
      </c>
      <c r="AL114" s="1">
        <v>0</v>
      </c>
      <c r="AM114" s="1" t="str">
        <f t="shared" si="36"/>
        <v/>
      </c>
      <c r="AN114" s="1">
        <f t="shared" si="37"/>
        <v>0</v>
      </c>
      <c r="AO114" s="1">
        <v>0</v>
      </c>
      <c r="AP114" s="61">
        <f t="shared" si="38"/>
        <v>0</v>
      </c>
      <c r="AQ114" s="61">
        <v>0</v>
      </c>
      <c r="AR114" s="76">
        <v>0</v>
      </c>
      <c r="AS114" s="76">
        <f t="shared" si="39"/>
        <v>0</v>
      </c>
      <c r="AT114" s="69" t="str">
        <f t="shared" si="40"/>
        <v>OK</v>
      </c>
      <c r="AU114" s="77">
        <f t="shared" si="41"/>
        <v>8</v>
      </c>
      <c r="AV114" s="61" t="str">
        <f t="shared" si="42"/>
        <v>Sem mapa/sem consumo automático</v>
      </c>
      <c r="AW114" s="70"/>
      <c r="AX114" s="70">
        <v>0</v>
      </c>
      <c r="AY114" s="71" t="str">
        <f t="shared" si="43"/>
        <v>NÃO MAPEADO</v>
      </c>
      <c r="AZ114" s="70"/>
      <c r="BA114" s="71" t="str">
        <f t="shared" si="44"/>
        <v/>
      </c>
      <c r="BB114" s="70" t="str">
        <f t="shared" si="45"/>
        <v>Verificar cadastro</v>
      </c>
      <c r="BC114" s="78">
        <v>0</v>
      </c>
      <c r="BD114" s="78">
        <f t="shared" si="46"/>
        <v>0</v>
      </c>
      <c r="BE114" s="78">
        <v>0</v>
      </c>
      <c r="BF114">
        <v>0</v>
      </c>
      <c r="BG114">
        <v>0</v>
      </c>
      <c r="BH114">
        <v>0</v>
      </c>
      <c r="BJ114">
        <v>0</v>
      </c>
      <c r="BK114" s="103"/>
    </row>
    <row r="115" spans="1:63" ht="30" x14ac:dyDescent="0.25">
      <c r="A115" s="8" t="s">
        <v>296</v>
      </c>
      <c r="B115" s="8">
        <v>65.489999999999995</v>
      </c>
      <c r="C115" s="8">
        <v>261.95999999999998</v>
      </c>
      <c r="D115" s="8">
        <v>10500</v>
      </c>
      <c r="E115" s="8" t="s">
        <v>286</v>
      </c>
      <c r="F115" s="8" t="s">
        <v>277</v>
      </c>
      <c r="G115" s="8" t="s">
        <v>296</v>
      </c>
      <c r="H115" s="8">
        <v>4</v>
      </c>
      <c r="I115" s="9">
        <v>0</v>
      </c>
      <c r="J115" s="10">
        <f>REMESSAS!W116</f>
        <v>0</v>
      </c>
      <c r="K115" s="11">
        <f t="shared" si="25"/>
        <v>4</v>
      </c>
      <c r="L115" s="11">
        <f t="shared" si="26"/>
        <v>0</v>
      </c>
      <c r="M115" s="11">
        <f t="shared" si="27"/>
        <v>-4</v>
      </c>
      <c r="N115" s="11">
        <v>0</v>
      </c>
      <c r="O115" s="76">
        <f>IF($A115="","",IFERROR(SUMIF(Consumo_Joists!$A:$A,$A115,Consumo_Joists!$P:$P),0)+IFERROR(SUMIF(Consumo_Quadrantes!$A:$A,$A115,Consumo_Quadrantes!$F:$F),0))</f>
        <v>0</v>
      </c>
      <c r="P115" s="76">
        <v>0</v>
      </c>
      <c r="Q115" s="76"/>
      <c r="R115" s="76"/>
      <c r="S115" s="3">
        <f t="shared" si="28"/>
        <v>0</v>
      </c>
      <c r="T115" s="1" t="str">
        <f t="shared" si="29"/>
        <v>Crítico</v>
      </c>
      <c r="U115" s="1" t="s">
        <v>498</v>
      </c>
      <c r="V115" s="1" t="s">
        <v>80</v>
      </c>
      <c r="W115" s="1" t="s">
        <v>499</v>
      </c>
      <c r="X115" s="2">
        <f t="shared" si="30"/>
        <v>2</v>
      </c>
      <c r="Y115" s="1" t="str">
        <f t="shared" si="31"/>
        <v>Enviar se houver espaço</v>
      </c>
      <c r="Z115" s="1" t="str">
        <f t="shared" si="32"/>
        <v>OK</v>
      </c>
      <c r="AA115" s="11">
        <f t="shared" si="33"/>
        <v>0.8</v>
      </c>
      <c r="AB115" s="11">
        <f t="shared" si="34"/>
        <v>0.8</v>
      </c>
      <c r="AC115" s="1"/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76">
        <v>0</v>
      </c>
      <c r="AJ115" s="76">
        <f t="shared" si="35"/>
        <v>0</v>
      </c>
      <c r="AK115" s="1">
        <v>0</v>
      </c>
      <c r="AL115" s="1">
        <v>0</v>
      </c>
      <c r="AM115" s="1" t="str">
        <f t="shared" si="36"/>
        <v/>
      </c>
      <c r="AN115" s="1">
        <f t="shared" si="37"/>
        <v>0</v>
      </c>
      <c r="AO115" s="1">
        <v>0</v>
      </c>
      <c r="AP115" s="61">
        <f t="shared" si="38"/>
        <v>0</v>
      </c>
      <c r="AQ115" s="61">
        <v>0</v>
      </c>
      <c r="AR115" s="76">
        <v>0</v>
      </c>
      <c r="AS115" s="76">
        <f t="shared" si="39"/>
        <v>0</v>
      </c>
      <c r="AT115" s="69" t="str">
        <f t="shared" si="40"/>
        <v>OK</v>
      </c>
      <c r="AU115" s="77">
        <f t="shared" si="41"/>
        <v>4</v>
      </c>
      <c r="AV115" s="61" t="str">
        <f t="shared" si="42"/>
        <v>Sem mapa/sem consumo automático</v>
      </c>
      <c r="AW115" s="70"/>
      <c r="AX115" s="70">
        <v>0</v>
      </c>
      <c r="AY115" s="71" t="str">
        <f t="shared" si="43"/>
        <v>NÃO MAPEADO</v>
      </c>
      <c r="AZ115" s="70"/>
      <c r="BA115" s="71" t="str">
        <f t="shared" si="44"/>
        <v/>
      </c>
      <c r="BB115" s="70" t="str">
        <f t="shared" si="45"/>
        <v>Verificar cadastro</v>
      </c>
      <c r="BC115" s="78">
        <v>0</v>
      </c>
      <c r="BD115" s="78">
        <f t="shared" si="46"/>
        <v>0</v>
      </c>
      <c r="BE115" s="78">
        <v>0</v>
      </c>
      <c r="BF115">
        <v>0</v>
      </c>
      <c r="BG115">
        <v>0</v>
      </c>
      <c r="BH115">
        <v>0</v>
      </c>
      <c r="BJ115">
        <v>0</v>
      </c>
      <c r="BK115" s="103"/>
    </row>
    <row r="116" spans="1:63" ht="30" x14ac:dyDescent="0.25">
      <c r="A116" s="8" t="s">
        <v>297</v>
      </c>
      <c r="B116" s="8">
        <v>95.74</v>
      </c>
      <c r="C116" s="8">
        <v>765.91</v>
      </c>
      <c r="D116" s="8">
        <v>15350</v>
      </c>
      <c r="E116" s="8" t="s">
        <v>286</v>
      </c>
      <c r="F116" s="8" t="s">
        <v>277</v>
      </c>
      <c r="G116" s="8" t="s">
        <v>297</v>
      </c>
      <c r="H116" s="8">
        <v>8</v>
      </c>
      <c r="I116" s="12">
        <v>0</v>
      </c>
      <c r="J116" s="10">
        <f>REMESSAS!W117</f>
        <v>0</v>
      </c>
      <c r="K116" s="11">
        <f t="shared" si="25"/>
        <v>8</v>
      </c>
      <c r="L116" s="11">
        <f t="shared" si="26"/>
        <v>0</v>
      </c>
      <c r="M116" s="11">
        <f t="shared" si="27"/>
        <v>-8</v>
      </c>
      <c r="N116" s="11">
        <v>0</v>
      </c>
      <c r="O116" s="76">
        <f>IF($A116="","",IFERROR(SUMIF(Consumo_Joists!$A:$A,$A116,Consumo_Joists!$P:$P),0)+IFERROR(SUMIF(Consumo_Quadrantes!$A:$A,$A116,Consumo_Quadrantes!$F:$F),0))</f>
        <v>0</v>
      </c>
      <c r="P116" s="76">
        <v>0</v>
      </c>
      <c r="Q116" s="76"/>
      <c r="R116" s="76"/>
      <c r="S116" s="3">
        <f t="shared" si="28"/>
        <v>0</v>
      </c>
      <c r="T116" s="1" t="str">
        <f t="shared" si="29"/>
        <v>Crítico</v>
      </c>
      <c r="U116" s="1" t="s">
        <v>498</v>
      </c>
      <c r="V116" s="1" t="s">
        <v>80</v>
      </c>
      <c r="W116" s="1" t="s">
        <v>499</v>
      </c>
      <c r="X116" s="2">
        <f t="shared" si="30"/>
        <v>4</v>
      </c>
      <c r="Y116" s="1" t="str">
        <f t="shared" si="31"/>
        <v>Enviar se houver espaço</v>
      </c>
      <c r="Z116" s="1" t="str">
        <f t="shared" si="32"/>
        <v>OK</v>
      </c>
      <c r="AA116" s="11">
        <f t="shared" si="33"/>
        <v>1.6</v>
      </c>
      <c r="AB116" s="11">
        <f t="shared" si="34"/>
        <v>1.6</v>
      </c>
      <c r="AC116" s="1"/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76">
        <v>0</v>
      </c>
      <c r="AJ116" s="76">
        <f t="shared" si="35"/>
        <v>0</v>
      </c>
      <c r="AK116" s="1">
        <v>0</v>
      </c>
      <c r="AL116" s="1">
        <v>0</v>
      </c>
      <c r="AM116" s="1" t="str">
        <f t="shared" si="36"/>
        <v/>
      </c>
      <c r="AN116" s="1">
        <f t="shared" si="37"/>
        <v>0</v>
      </c>
      <c r="AO116" s="1">
        <v>0</v>
      </c>
      <c r="AP116" s="61">
        <f t="shared" si="38"/>
        <v>0</v>
      </c>
      <c r="AQ116" s="61">
        <v>0</v>
      </c>
      <c r="AR116" s="76">
        <v>0</v>
      </c>
      <c r="AS116" s="76">
        <f t="shared" si="39"/>
        <v>0</v>
      </c>
      <c r="AT116" s="69" t="str">
        <f t="shared" si="40"/>
        <v>OK</v>
      </c>
      <c r="AU116" s="77">
        <f t="shared" si="41"/>
        <v>8</v>
      </c>
      <c r="AV116" s="61" t="str">
        <f t="shared" si="42"/>
        <v>Sem mapa/sem consumo automático</v>
      </c>
      <c r="AW116" s="70"/>
      <c r="AX116" s="70">
        <v>0</v>
      </c>
      <c r="AY116" s="71" t="str">
        <f t="shared" si="43"/>
        <v>NÃO MAPEADO</v>
      </c>
      <c r="AZ116" s="70"/>
      <c r="BA116" s="71" t="str">
        <f t="shared" si="44"/>
        <v/>
      </c>
      <c r="BB116" s="70" t="str">
        <f t="shared" si="45"/>
        <v>Verificar cadastro</v>
      </c>
      <c r="BC116" s="78">
        <v>0</v>
      </c>
      <c r="BD116" s="78">
        <f t="shared" si="46"/>
        <v>0</v>
      </c>
      <c r="BE116" s="78">
        <v>0</v>
      </c>
      <c r="BF116">
        <v>0</v>
      </c>
      <c r="BG116">
        <v>0</v>
      </c>
      <c r="BH116">
        <v>0</v>
      </c>
      <c r="BJ116">
        <v>0</v>
      </c>
      <c r="BK116" s="103"/>
    </row>
    <row r="117" spans="1:63" ht="30" x14ac:dyDescent="0.25">
      <c r="A117" s="8" t="s">
        <v>300</v>
      </c>
      <c r="B117" s="8">
        <v>2.2400000000000002</v>
      </c>
      <c r="C117" s="8">
        <v>343</v>
      </c>
      <c r="D117" s="8">
        <v>2586</v>
      </c>
      <c r="E117" s="8" t="s">
        <v>298</v>
      </c>
      <c r="F117" s="8" t="s">
        <v>299</v>
      </c>
      <c r="G117" s="8" t="s">
        <v>300</v>
      </c>
      <c r="H117" s="8">
        <v>153</v>
      </c>
      <c r="I117" s="9">
        <v>0</v>
      </c>
      <c r="J117" s="10">
        <f>REMESSAS!W118</f>
        <v>0</v>
      </c>
      <c r="K117" s="11">
        <f t="shared" si="25"/>
        <v>153</v>
      </c>
      <c r="L117" s="11">
        <f t="shared" si="26"/>
        <v>0</v>
      </c>
      <c r="M117" s="11">
        <f t="shared" si="27"/>
        <v>-153</v>
      </c>
      <c r="N117" s="11">
        <v>0</v>
      </c>
      <c r="O117" s="76">
        <f>IF($A117="","",IFERROR(SUMIF(Consumo_Joists!$A:$A,$A117,Consumo_Joists!$P:$P),0)+IFERROR(SUMIF(Consumo_Quadrantes!$A:$A,$A117,Consumo_Quadrantes!$F:$F),0))</f>
        <v>0</v>
      </c>
      <c r="P117" s="76">
        <v>0</v>
      </c>
      <c r="Q117" s="76"/>
      <c r="R117" s="76"/>
      <c r="S117" s="3">
        <f t="shared" si="28"/>
        <v>0</v>
      </c>
      <c r="T117" s="1" t="str">
        <f t="shared" si="29"/>
        <v>Crítico</v>
      </c>
      <c r="U117" s="1" t="s">
        <v>498</v>
      </c>
      <c r="V117" s="1" t="s">
        <v>80</v>
      </c>
      <c r="W117" s="1" t="s">
        <v>499</v>
      </c>
      <c r="X117" s="2">
        <f t="shared" si="30"/>
        <v>77</v>
      </c>
      <c r="Y117" s="1" t="str">
        <f t="shared" si="31"/>
        <v>Enviar se houver espaço</v>
      </c>
      <c r="Z117" s="1" t="str">
        <f t="shared" si="32"/>
        <v>OK</v>
      </c>
      <c r="AA117" s="11">
        <f t="shared" si="33"/>
        <v>30.6</v>
      </c>
      <c r="AB117" s="11">
        <f t="shared" si="34"/>
        <v>30.6</v>
      </c>
      <c r="AC117" s="1"/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76">
        <v>0</v>
      </c>
      <c r="AJ117" s="76">
        <f t="shared" si="35"/>
        <v>0</v>
      </c>
      <c r="AK117" s="1">
        <v>0</v>
      </c>
      <c r="AL117" s="1">
        <v>0</v>
      </c>
      <c r="AM117" s="1" t="str">
        <f t="shared" si="36"/>
        <v/>
      </c>
      <c r="AN117" s="1">
        <f t="shared" si="37"/>
        <v>0</v>
      </c>
      <c r="AO117" s="1">
        <v>0</v>
      </c>
      <c r="AP117" s="61">
        <f t="shared" si="38"/>
        <v>0</v>
      </c>
      <c r="AQ117" s="61">
        <v>0</v>
      </c>
      <c r="AR117" s="76">
        <v>0</v>
      </c>
      <c r="AS117" s="76">
        <f t="shared" si="39"/>
        <v>0</v>
      </c>
      <c r="AT117" s="69" t="str">
        <f t="shared" si="40"/>
        <v>OK</v>
      </c>
      <c r="AU117" s="77">
        <f t="shared" si="41"/>
        <v>153</v>
      </c>
      <c r="AV117" s="61" t="str">
        <f t="shared" si="42"/>
        <v>Sem mapa/sem consumo automático</v>
      </c>
      <c r="AW117" s="70"/>
      <c r="AX117" s="70">
        <v>0</v>
      </c>
      <c r="AY117" s="71" t="str">
        <f t="shared" si="43"/>
        <v>NÃO MAPEADO</v>
      </c>
      <c r="AZ117" s="70"/>
      <c r="BA117" s="71" t="str">
        <f t="shared" si="44"/>
        <v/>
      </c>
      <c r="BB117" s="70" t="str">
        <f t="shared" si="45"/>
        <v>Verificar cadastro</v>
      </c>
      <c r="BC117" s="78">
        <v>0</v>
      </c>
      <c r="BD117" s="78">
        <f t="shared" si="46"/>
        <v>0</v>
      </c>
      <c r="BE117" s="78">
        <v>0</v>
      </c>
      <c r="BF117">
        <v>0</v>
      </c>
      <c r="BG117">
        <v>0</v>
      </c>
      <c r="BH117">
        <v>0</v>
      </c>
      <c r="BJ117">
        <v>0</v>
      </c>
      <c r="BK117" s="103"/>
    </row>
    <row r="118" spans="1:63" ht="15.75" x14ac:dyDescent="0.25">
      <c r="A118" s="8" t="s">
        <v>301</v>
      </c>
      <c r="B118" s="8">
        <v>2.27</v>
      </c>
      <c r="C118" s="8">
        <v>344.56</v>
      </c>
      <c r="D118" s="8">
        <v>2614</v>
      </c>
      <c r="E118" s="8" t="s">
        <v>298</v>
      </c>
      <c r="F118" s="8" t="s">
        <v>299</v>
      </c>
      <c r="G118" s="8" t="s">
        <v>301</v>
      </c>
      <c r="H118" s="8">
        <v>152</v>
      </c>
      <c r="I118" s="12">
        <v>0</v>
      </c>
      <c r="J118" s="10">
        <f>REMESSAS!W119</f>
        <v>0</v>
      </c>
      <c r="K118" s="11">
        <v>152</v>
      </c>
      <c r="L118" s="11">
        <v>0</v>
      </c>
      <c r="M118" s="11">
        <f t="shared" si="27"/>
        <v>-152</v>
      </c>
      <c r="N118" s="11">
        <v>0</v>
      </c>
      <c r="O118" s="76">
        <f>IF($A118="","",IFERROR(SUMIF(Consumo_Joists!$A:$A,$A118,Consumo_Joists!$P:$P),0)+IFERROR(SUMIF(Consumo_Quadrantes!$A:$A,$A118,Consumo_Quadrantes!$F:$F),0))</f>
        <v>0</v>
      </c>
      <c r="P118" s="76">
        <v>0</v>
      </c>
      <c r="Q118" s="76"/>
      <c r="R118" s="76"/>
      <c r="S118" s="3">
        <f t="shared" si="28"/>
        <v>0</v>
      </c>
      <c r="T118" s="1" t="str">
        <f t="shared" si="29"/>
        <v>Crítico</v>
      </c>
      <c r="U118" s="1" t="s">
        <v>498</v>
      </c>
      <c r="V118" s="61" t="s">
        <v>80</v>
      </c>
      <c r="W118" s="61" t="s">
        <v>499</v>
      </c>
      <c r="X118" s="76">
        <v>0</v>
      </c>
      <c r="Y118" s="76" t="s">
        <v>501</v>
      </c>
      <c r="Z118" s="69" t="s">
        <v>77</v>
      </c>
      <c r="AA118" s="77">
        <v>0</v>
      </c>
      <c r="AB118" s="61">
        <v>0</v>
      </c>
      <c r="AC118" s="70"/>
      <c r="AD118" s="70">
        <v>0</v>
      </c>
      <c r="AE118" s="71">
        <v>0</v>
      </c>
      <c r="AF118" s="70">
        <v>0</v>
      </c>
      <c r="AG118" s="71">
        <v>0</v>
      </c>
      <c r="AH118" s="70">
        <v>0</v>
      </c>
      <c r="AI118" s="78">
        <v>0</v>
      </c>
      <c r="AJ118" s="78">
        <v>0</v>
      </c>
      <c r="AK118" s="78">
        <v>0</v>
      </c>
      <c r="AL118">
        <v>0</v>
      </c>
      <c r="AM118" t="s">
        <v>502</v>
      </c>
      <c r="AN118">
        <v>0</v>
      </c>
      <c r="AO118">
        <v>0</v>
      </c>
      <c r="AQ118">
        <v>0</v>
      </c>
      <c r="AR118">
        <v>0</v>
      </c>
      <c r="AS118">
        <v>0</v>
      </c>
      <c r="AT118" t="s">
        <v>77</v>
      </c>
      <c r="AU118">
        <v>0</v>
      </c>
      <c r="AV118" t="s">
        <v>503</v>
      </c>
      <c r="AX118">
        <v>0</v>
      </c>
      <c r="BA118">
        <v>0</v>
      </c>
      <c r="BB118" t="s">
        <v>504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J118">
        <v>0</v>
      </c>
      <c r="BK118" s="103"/>
    </row>
    <row r="119" spans="1:63" ht="30" x14ac:dyDescent="0.25">
      <c r="A119" s="8" t="s">
        <v>302</v>
      </c>
      <c r="B119" s="8">
        <v>2.2200000000000002</v>
      </c>
      <c r="C119" s="8">
        <v>19.97</v>
      </c>
      <c r="D119" s="8">
        <v>2558</v>
      </c>
      <c r="E119" s="8" t="s">
        <v>298</v>
      </c>
      <c r="F119" s="8" t="s">
        <v>299</v>
      </c>
      <c r="G119" s="8" t="s">
        <v>302</v>
      </c>
      <c r="H119" s="8">
        <v>9</v>
      </c>
      <c r="I119" s="12">
        <v>0</v>
      </c>
      <c r="J119" s="10">
        <f>REMESSAS!W120</f>
        <v>0</v>
      </c>
      <c r="K119" s="11">
        <f t="shared" si="25"/>
        <v>9</v>
      </c>
      <c r="L119" s="11">
        <f t="shared" si="26"/>
        <v>0</v>
      </c>
      <c r="M119" s="11">
        <f t="shared" si="27"/>
        <v>-9</v>
      </c>
      <c r="N119" s="11">
        <v>0</v>
      </c>
      <c r="O119" s="76">
        <f>IF($A119="","",IFERROR(SUMIF(Consumo_Joists!$A:$A,$A119,Consumo_Joists!$P:$P),0)+IFERROR(SUMIF(Consumo_Quadrantes!$A:$A,$A119,Consumo_Quadrantes!$F:$F),0))</f>
        <v>0</v>
      </c>
      <c r="P119" s="76">
        <v>0</v>
      </c>
      <c r="Q119" s="76"/>
      <c r="R119" s="76"/>
      <c r="S119" s="3">
        <f t="shared" si="28"/>
        <v>0</v>
      </c>
      <c r="T119" s="1" t="str">
        <f t="shared" si="29"/>
        <v>Crítico</v>
      </c>
      <c r="U119" s="1" t="s">
        <v>498</v>
      </c>
      <c r="V119" s="1" t="s">
        <v>80</v>
      </c>
      <c r="W119" s="1" t="s">
        <v>499</v>
      </c>
      <c r="X119" s="2">
        <f t="shared" si="30"/>
        <v>5</v>
      </c>
      <c r="Y119" s="1" t="str">
        <f t="shared" si="31"/>
        <v>Enviar se houver espaço</v>
      </c>
      <c r="Z119" s="1" t="str">
        <f t="shared" si="32"/>
        <v>OK</v>
      </c>
      <c r="AA119" s="11">
        <f t="shared" si="33"/>
        <v>1.8</v>
      </c>
      <c r="AB119" s="11">
        <f t="shared" si="34"/>
        <v>1.8</v>
      </c>
      <c r="AC119" s="1"/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76">
        <v>0</v>
      </c>
      <c r="AJ119" s="76">
        <f t="shared" si="35"/>
        <v>0</v>
      </c>
      <c r="AK119" s="1">
        <v>0</v>
      </c>
      <c r="AL119" s="1">
        <v>0</v>
      </c>
      <c r="AM119" s="1" t="str">
        <f t="shared" si="36"/>
        <v/>
      </c>
      <c r="AN119" s="1">
        <f t="shared" si="37"/>
        <v>0</v>
      </c>
      <c r="AO119" s="1">
        <v>0</v>
      </c>
      <c r="AP119" s="61">
        <f t="shared" si="38"/>
        <v>0</v>
      </c>
      <c r="AQ119" s="61">
        <v>0</v>
      </c>
      <c r="AR119" s="76">
        <v>0</v>
      </c>
      <c r="AS119" s="76">
        <f t="shared" si="39"/>
        <v>0</v>
      </c>
      <c r="AT119" s="69" t="str">
        <f t="shared" si="40"/>
        <v>OK</v>
      </c>
      <c r="AU119" s="77">
        <f t="shared" si="41"/>
        <v>9</v>
      </c>
      <c r="AV119" s="61" t="str">
        <f t="shared" si="42"/>
        <v>Sem mapa/sem consumo automático</v>
      </c>
      <c r="AW119" s="70"/>
      <c r="AX119" s="70">
        <v>0</v>
      </c>
      <c r="AY119" s="71" t="str">
        <f t="shared" si="43"/>
        <v>NÃO MAPEADO</v>
      </c>
      <c r="AZ119" s="70"/>
      <c r="BA119" s="71" t="str">
        <f t="shared" si="44"/>
        <v/>
      </c>
      <c r="BB119" s="70" t="str">
        <f t="shared" si="45"/>
        <v>Verificar cadastro</v>
      </c>
      <c r="BC119" s="78">
        <v>0</v>
      </c>
      <c r="BD119" s="78">
        <f t="shared" si="46"/>
        <v>0</v>
      </c>
      <c r="BE119" s="78">
        <v>0</v>
      </c>
      <c r="BF119">
        <v>0</v>
      </c>
      <c r="BG119">
        <v>0</v>
      </c>
      <c r="BH119">
        <v>0</v>
      </c>
      <c r="BJ119">
        <v>0</v>
      </c>
      <c r="BK119" s="103"/>
    </row>
    <row r="120" spans="1:63" ht="30" x14ac:dyDescent="0.25">
      <c r="A120" s="8" t="s">
        <v>303</v>
      </c>
      <c r="B120" s="8">
        <v>2.2400000000000002</v>
      </c>
      <c r="C120" s="8">
        <v>31.41</v>
      </c>
      <c r="D120" s="8">
        <v>2587</v>
      </c>
      <c r="E120" s="8" t="s">
        <v>298</v>
      </c>
      <c r="F120" s="8" t="s">
        <v>299</v>
      </c>
      <c r="G120" s="8" t="s">
        <v>303</v>
      </c>
      <c r="H120" s="8">
        <v>14</v>
      </c>
      <c r="I120" s="9">
        <v>0</v>
      </c>
      <c r="J120" s="10">
        <f>REMESSAS!W121</f>
        <v>0</v>
      </c>
      <c r="K120" s="11">
        <f t="shared" si="25"/>
        <v>14</v>
      </c>
      <c r="L120" s="11">
        <f t="shared" si="26"/>
        <v>0</v>
      </c>
      <c r="M120" s="11">
        <f t="shared" si="27"/>
        <v>-14</v>
      </c>
      <c r="N120" s="11">
        <v>0</v>
      </c>
      <c r="O120" s="76">
        <f>IF($A120="","",IFERROR(SUMIF(Consumo_Joists!$A:$A,$A120,Consumo_Joists!$P:$P),0)+IFERROR(SUMIF(Consumo_Quadrantes!$A:$A,$A120,Consumo_Quadrantes!$F:$F),0))</f>
        <v>0</v>
      </c>
      <c r="P120" s="76">
        <v>0</v>
      </c>
      <c r="Q120" s="76"/>
      <c r="R120" s="76"/>
      <c r="S120" s="3">
        <f t="shared" si="28"/>
        <v>0</v>
      </c>
      <c r="T120" s="1" t="str">
        <f t="shared" si="29"/>
        <v>Crítico</v>
      </c>
      <c r="U120" s="1" t="s">
        <v>498</v>
      </c>
      <c r="V120" s="1" t="s">
        <v>80</v>
      </c>
      <c r="W120" s="1" t="s">
        <v>499</v>
      </c>
      <c r="X120" s="2">
        <f t="shared" si="30"/>
        <v>7</v>
      </c>
      <c r="Y120" s="1" t="str">
        <f t="shared" si="31"/>
        <v>Enviar se houver espaço</v>
      </c>
      <c r="Z120" s="1" t="str">
        <f t="shared" si="32"/>
        <v>OK</v>
      </c>
      <c r="AA120" s="11">
        <f t="shared" si="33"/>
        <v>2.8</v>
      </c>
      <c r="AB120" s="11">
        <f t="shared" si="34"/>
        <v>2.8</v>
      </c>
      <c r="AC120" s="1"/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76">
        <v>0</v>
      </c>
      <c r="AJ120" s="76">
        <f t="shared" si="35"/>
        <v>0</v>
      </c>
      <c r="AK120" s="1">
        <v>0</v>
      </c>
      <c r="AL120" s="1">
        <v>0</v>
      </c>
      <c r="AM120" s="1" t="str">
        <f t="shared" si="36"/>
        <v/>
      </c>
      <c r="AN120" s="1">
        <f t="shared" si="37"/>
        <v>0</v>
      </c>
      <c r="AO120" s="1">
        <v>0</v>
      </c>
      <c r="AP120" s="61">
        <f t="shared" si="38"/>
        <v>0</v>
      </c>
      <c r="AQ120" s="61">
        <v>0</v>
      </c>
      <c r="AR120" s="76">
        <v>0</v>
      </c>
      <c r="AS120" s="76">
        <f t="shared" si="39"/>
        <v>0</v>
      </c>
      <c r="AT120" s="69" t="str">
        <f t="shared" si="40"/>
        <v>OK</v>
      </c>
      <c r="AU120" s="77">
        <f t="shared" si="41"/>
        <v>14</v>
      </c>
      <c r="AV120" s="61" t="str">
        <f t="shared" si="42"/>
        <v>Sem mapa/sem consumo automático</v>
      </c>
      <c r="AW120" s="70"/>
      <c r="AX120" s="70">
        <v>0</v>
      </c>
      <c r="AY120" s="71" t="str">
        <f t="shared" si="43"/>
        <v>NÃO MAPEADO</v>
      </c>
      <c r="AZ120" s="70"/>
      <c r="BA120" s="71" t="str">
        <f t="shared" si="44"/>
        <v/>
      </c>
      <c r="BB120" s="70" t="str">
        <f t="shared" si="45"/>
        <v>Verificar cadastro</v>
      </c>
      <c r="BC120" s="78">
        <v>0</v>
      </c>
      <c r="BD120" s="78">
        <f t="shared" si="46"/>
        <v>0</v>
      </c>
      <c r="BE120" s="78">
        <v>0</v>
      </c>
      <c r="BF120">
        <v>0</v>
      </c>
      <c r="BG120">
        <v>0</v>
      </c>
      <c r="BH120">
        <v>0</v>
      </c>
      <c r="BJ120">
        <v>0</v>
      </c>
      <c r="BK120" s="103"/>
    </row>
    <row r="121" spans="1:63" ht="30" x14ac:dyDescent="0.25">
      <c r="A121" s="8" t="s">
        <v>304</v>
      </c>
      <c r="B121" s="8">
        <v>2.31</v>
      </c>
      <c r="C121" s="8">
        <v>6.94</v>
      </c>
      <c r="D121" s="8">
        <v>2667</v>
      </c>
      <c r="E121" s="8" t="s">
        <v>298</v>
      </c>
      <c r="F121" s="8" t="s">
        <v>299</v>
      </c>
      <c r="G121" s="8" t="s">
        <v>304</v>
      </c>
      <c r="H121" s="8">
        <v>3</v>
      </c>
      <c r="I121" s="12">
        <v>0</v>
      </c>
      <c r="J121" s="10">
        <f>REMESSAS!W122</f>
        <v>0</v>
      </c>
      <c r="K121" s="11">
        <f t="shared" si="25"/>
        <v>3</v>
      </c>
      <c r="L121" s="11">
        <f t="shared" si="26"/>
        <v>0</v>
      </c>
      <c r="M121" s="11">
        <f t="shared" si="27"/>
        <v>-3</v>
      </c>
      <c r="N121" s="11">
        <v>0</v>
      </c>
      <c r="O121" s="76">
        <f>IF($A121="","",IFERROR(SUMIF(Consumo_Joists!$A:$A,$A121,Consumo_Joists!$P:$P),0)+IFERROR(SUMIF(Consumo_Quadrantes!$A:$A,$A121,Consumo_Quadrantes!$F:$F),0))</f>
        <v>0</v>
      </c>
      <c r="P121" s="76">
        <v>0</v>
      </c>
      <c r="Q121" s="76"/>
      <c r="R121" s="76"/>
      <c r="S121" s="3">
        <f t="shared" si="28"/>
        <v>0</v>
      </c>
      <c r="T121" s="1" t="str">
        <f t="shared" si="29"/>
        <v>Crítico</v>
      </c>
      <c r="U121" s="1" t="s">
        <v>498</v>
      </c>
      <c r="V121" s="1" t="s">
        <v>80</v>
      </c>
      <c r="W121" s="1" t="s">
        <v>499</v>
      </c>
      <c r="X121" s="2">
        <f t="shared" si="30"/>
        <v>2</v>
      </c>
      <c r="Y121" s="1" t="str">
        <f t="shared" si="31"/>
        <v>Enviar se houver espaço</v>
      </c>
      <c r="Z121" s="1" t="str">
        <f t="shared" si="32"/>
        <v>OK</v>
      </c>
      <c r="AA121" s="11">
        <f t="shared" si="33"/>
        <v>0.6</v>
      </c>
      <c r="AB121" s="11">
        <f t="shared" si="34"/>
        <v>0.6</v>
      </c>
      <c r="AC121" s="1"/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76">
        <v>0</v>
      </c>
      <c r="AJ121" s="76">
        <f t="shared" si="35"/>
        <v>0</v>
      </c>
      <c r="AK121" s="1">
        <v>0</v>
      </c>
      <c r="AL121" s="1">
        <v>0</v>
      </c>
      <c r="AM121" s="1" t="str">
        <f t="shared" si="36"/>
        <v/>
      </c>
      <c r="AN121" s="1">
        <f t="shared" si="37"/>
        <v>0</v>
      </c>
      <c r="AO121" s="1">
        <v>0</v>
      </c>
      <c r="AP121" s="61">
        <f t="shared" si="38"/>
        <v>0</v>
      </c>
      <c r="AQ121" s="61">
        <v>0</v>
      </c>
      <c r="AR121" s="76">
        <v>0</v>
      </c>
      <c r="AS121" s="76">
        <f t="shared" si="39"/>
        <v>0</v>
      </c>
      <c r="AT121" s="69" t="str">
        <f t="shared" si="40"/>
        <v>OK</v>
      </c>
      <c r="AU121" s="77">
        <f t="shared" si="41"/>
        <v>3</v>
      </c>
      <c r="AV121" s="61" t="str">
        <f t="shared" si="42"/>
        <v>Sem mapa/sem consumo automático</v>
      </c>
      <c r="AW121" s="70"/>
      <c r="AX121" s="70">
        <v>0</v>
      </c>
      <c r="AY121" s="71" t="str">
        <f t="shared" si="43"/>
        <v>NÃO MAPEADO</v>
      </c>
      <c r="AZ121" s="70"/>
      <c r="BA121" s="71" t="str">
        <f t="shared" si="44"/>
        <v/>
      </c>
      <c r="BB121" s="70" t="str">
        <f t="shared" si="45"/>
        <v>Verificar cadastro</v>
      </c>
      <c r="BC121" s="78">
        <v>0</v>
      </c>
      <c r="BD121" s="78">
        <f t="shared" si="46"/>
        <v>0</v>
      </c>
      <c r="BE121" s="78">
        <v>0</v>
      </c>
      <c r="BF121">
        <v>0</v>
      </c>
      <c r="BG121">
        <v>0</v>
      </c>
      <c r="BH121">
        <v>0</v>
      </c>
      <c r="BJ121">
        <v>0</v>
      </c>
      <c r="BK121" s="103"/>
    </row>
    <row r="122" spans="1:63" ht="30" x14ac:dyDescent="0.25">
      <c r="A122" s="8" t="s">
        <v>305</v>
      </c>
      <c r="B122" s="8">
        <v>2.13</v>
      </c>
      <c r="C122" s="8">
        <v>4.25</v>
      </c>
      <c r="D122" s="8">
        <v>2453</v>
      </c>
      <c r="E122" s="8" t="s">
        <v>298</v>
      </c>
      <c r="F122" s="8" t="s">
        <v>299</v>
      </c>
      <c r="G122" s="8" t="s">
        <v>305</v>
      </c>
      <c r="H122" s="8">
        <v>2</v>
      </c>
      <c r="I122" s="9">
        <v>0</v>
      </c>
      <c r="J122" s="10">
        <f>REMESSAS!W123</f>
        <v>0</v>
      </c>
      <c r="K122" s="11">
        <f t="shared" si="25"/>
        <v>2</v>
      </c>
      <c r="L122" s="11">
        <f t="shared" si="26"/>
        <v>0</v>
      </c>
      <c r="M122" s="11">
        <f t="shared" si="27"/>
        <v>-2</v>
      </c>
      <c r="N122" s="11">
        <v>0</v>
      </c>
      <c r="O122" s="76">
        <f>IF($A122="","",IFERROR(SUMIF(Consumo_Joists!$A:$A,$A122,Consumo_Joists!$P:$P),0)+IFERROR(SUMIF(Consumo_Quadrantes!$A:$A,$A122,Consumo_Quadrantes!$F:$F),0))</f>
        <v>0</v>
      </c>
      <c r="P122" s="76">
        <v>0</v>
      </c>
      <c r="Q122" s="76"/>
      <c r="R122" s="76"/>
      <c r="S122" s="3">
        <f t="shared" si="28"/>
        <v>0</v>
      </c>
      <c r="T122" s="1" t="str">
        <f t="shared" si="29"/>
        <v>Crítico</v>
      </c>
      <c r="U122" s="1" t="s">
        <v>498</v>
      </c>
      <c r="V122" s="1" t="s">
        <v>80</v>
      </c>
      <c r="W122" s="1" t="s">
        <v>499</v>
      </c>
      <c r="X122" s="2">
        <f t="shared" si="30"/>
        <v>1</v>
      </c>
      <c r="Y122" s="1" t="str">
        <f t="shared" si="31"/>
        <v>Enviar se houver espaço</v>
      </c>
      <c r="Z122" s="1" t="str">
        <f t="shared" si="32"/>
        <v>OK</v>
      </c>
      <c r="AA122" s="11">
        <f t="shared" si="33"/>
        <v>0.4</v>
      </c>
      <c r="AB122" s="11">
        <f t="shared" si="34"/>
        <v>0.4</v>
      </c>
      <c r="AC122" s="1"/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76">
        <v>0</v>
      </c>
      <c r="AJ122" s="76">
        <f t="shared" si="35"/>
        <v>0</v>
      </c>
      <c r="AK122" s="1">
        <v>0</v>
      </c>
      <c r="AL122" s="1">
        <v>0</v>
      </c>
      <c r="AM122" s="1" t="str">
        <f t="shared" si="36"/>
        <v/>
      </c>
      <c r="AN122" s="1">
        <f t="shared" si="37"/>
        <v>0</v>
      </c>
      <c r="AO122" s="1">
        <v>0</v>
      </c>
      <c r="AP122" s="61">
        <f t="shared" si="38"/>
        <v>0</v>
      </c>
      <c r="AQ122" s="61">
        <v>0</v>
      </c>
      <c r="AR122" s="76">
        <v>0</v>
      </c>
      <c r="AS122" s="76">
        <f t="shared" si="39"/>
        <v>0</v>
      </c>
      <c r="AT122" s="69" t="str">
        <f t="shared" si="40"/>
        <v>OK</v>
      </c>
      <c r="AU122" s="77">
        <f t="shared" si="41"/>
        <v>2</v>
      </c>
      <c r="AV122" s="61" t="str">
        <f t="shared" si="42"/>
        <v>Sem mapa/sem consumo automático</v>
      </c>
      <c r="AW122" s="70"/>
      <c r="AX122" s="70">
        <v>0</v>
      </c>
      <c r="AY122" s="71" t="str">
        <f t="shared" si="43"/>
        <v>NÃO MAPEADO</v>
      </c>
      <c r="AZ122" s="70"/>
      <c r="BA122" s="71" t="str">
        <f t="shared" si="44"/>
        <v/>
      </c>
      <c r="BB122" s="70" t="str">
        <f t="shared" si="45"/>
        <v>Verificar cadastro</v>
      </c>
      <c r="BC122" s="78">
        <v>0</v>
      </c>
      <c r="BD122" s="78">
        <f t="shared" si="46"/>
        <v>0</v>
      </c>
      <c r="BE122" s="78">
        <v>0</v>
      </c>
      <c r="BF122">
        <v>0</v>
      </c>
      <c r="BG122">
        <v>0</v>
      </c>
      <c r="BH122">
        <v>0</v>
      </c>
      <c r="BJ122">
        <v>0</v>
      </c>
      <c r="BK122" s="103"/>
    </row>
    <row r="123" spans="1:63" ht="30" x14ac:dyDescent="0.25">
      <c r="A123" s="8" t="s">
        <v>306</v>
      </c>
      <c r="B123" s="8">
        <v>2.2400000000000002</v>
      </c>
      <c r="C123" s="8">
        <v>2.2400000000000002</v>
      </c>
      <c r="D123" s="8">
        <v>2582</v>
      </c>
      <c r="E123" s="8" t="s">
        <v>298</v>
      </c>
      <c r="F123" s="8" t="s">
        <v>299</v>
      </c>
      <c r="G123" s="8" t="s">
        <v>306</v>
      </c>
      <c r="H123" s="8">
        <v>1</v>
      </c>
      <c r="I123" s="12">
        <v>0</v>
      </c>
      <c r="J123" s="10">
        <f>REMESSAS!W124</f>
        <v>0</v>
      </c>
      <c r="K123" s="11">
        <f t="shared" si="25"/>
        <v>1</v>
      </c>
      <c r="L123" s="11">
        <f t="shared" si="26"/>
        <v>0</v>
      </c>
      <c r="M123" s="11">
        <f t="shared" si="27"/>
        <v>-1</v>
      </c>
      <c r="N123" s="11">
        <v>0</v>
      </c>
      <c r="O123" s="76">
        <f>IF($A123="","",IFERROR(SUMIF(Consumo_Joists!$A:$A,$A123,Consumo_Joists!$P:$P),0)+IFERROR(SUMIF(Consumo_Quadrantes!$A:$A,$A123,Consumo_Quadrantes!$F:$F),0))</f>
        <v>0</v>
      </c>
      <c r="P123" s="76">
        <v>0</v>
      </c>
      <c r="Q123" s="76"/>
      <c r="R123" s="76"/>
      <c r="S123" s="3">
        <f t="shared" si="28"/>
        <v>0</v>
      </c>
      <c r="T123" s="1" t="str">
        <f t="shared" si="29"/>
        <v>Crítico</v>
      </c>
      <c r="U123" s="1" t="s">
        <v>498</v>
      </c>
      <c r="V123" s="1" t="s">
        <v>80</v>
      </c>
      <c r="W123" s="1" t="s">
        <v>499</v>
      </c>
      <c r="X123" s="2">
        <f t="shared" si="30"/>
        <v>1</v>
      </c>
      <c r="Y123" s="1" t="str">
        <f t="shared" si="31"/>
        <v>Enviar se houver espaço</v>
      </c>
      <c r="Z123" s="1" t="str">
        <f t="shared" si="32"/>
        <v>OK</v>
      </c>
      <c r="AA123" s="11">
        <f t="shared" si="33"/>
        <v>0.2</v>
      </c>
      <c r="AB123" s="11">
        <f t="shared" si="34"/>
        <v>0.2</v>
      </c>
      <c r="AC123" s="1"/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76">
        <v>0</v>
      </c>
      <c r="AJ123" s="76">
        <f t="shared" si="35"/>
        <v>0</v>
      </c>
      <c r="AK123" s="1">
        <v>0</v>
      </c>
      <c r="AL123" s="1">
        <v>0</v>
      </c>
      <c r="AM123" s="1" t="str">
        <f t="shared" si="36"/>
        <v/>
      </c>
      <c r="AN123" s="1">
        <f t="shared" si="37"/>
        <v>0</v>
      </c>
      <c r="AO123" s="1">
        <v>0</v>
      </c>
      <c r="AP123" s="61">
        <f t="shared" si="38"/>
        <v>0</v>
      </c>
      <c r="AQ123" s="61">
        <v>0</v>
      </c>
      <c r="AR123" s="76">
        <v>0</v>
      </c>
      <c r="AS123" s="76">
        <f t="shared" si="39"/>
        <v>0</v>
      </c>
      <c r="AT123" s="69" t="str">
        <f t="shared" si="40"/>
        <v>OK</v>
      </c>
      <c r="AU123" s="77">
        <f t="shared" si="41"/>
        <v>1</v>
      </c>
      <c r="AV123" s="61" t="str">
        <f t="shared" si="42"/>
        <v>Sem mapa/sem consumo automático</v>
      </c>
      <c r="AW123" s="70"/>
      <c r="AX123" s="70">
        <v>0</v>
      </c>
      <c r="AY123" s="71" t="str">
        <f t="shared" si="43"/>
        <v>NÃO MAPEADO</v>
      </c>
      <c r="AZ123" s="70"/>
      <c r="BA123" s="71" t="str">
        <f t="shared" si="44"/>
        <v/>
      </c>
      <c r="BB123" s="70" t="str">
        <f t="shared" si="45"/>
        <v>Verificar cadastro</v>
      </c>
      <c r="BC123" s="78">
        <v>0</v>
      </c>
      <c r="BD123" s="78">
        <f t="shared" si="46"/>
        <v>0</v>
      </c>
      <c r="BE123" s="78">
        <v>0</v>
      </c>
      <c r="BF123">
        <v>0</v>
      </c>
      <c r="BG123">
        <v>0</v>
      </c>
      <c r="BH123">
        <v>0</v>
      </c>
      <c r="BJ123">
        <v>0</v>
      </c>
      <c r="BK123" s="103"/>
    </row>
    <row r="124" spans="1:63" ht="30" x14ac:dyDescent="0.25">
      <c r="A124" s="8" t="s">
        <v>307</v>
      </c>
      <c r="B124" s="8">
        <v>2.31</v>
      </c>
      <c r="C124" s="8">
        <v>2.31</v>
      </c>
      <c r="D124" s="8">
        <v>2665</v>
      </c>
      <c r="E124" s="8" t="s">
        <v>298</v>
      </c>
      <c r="F124" s="8" t="s">
        <v>299</v>
      </c>
      <c r="G124" s="8" t="s">
        <v>307</v>
      </c>
      <c r="H124" s="8">
        <v>1</v>
      </c>
      <c r="I124" s="9">
        <v>0</v>
      </c>
      <c r="J124" s="10">
        <f>REMESSAS!W125</f>
        <v>0</v>
      </c>
      <c r="K124" s="11">
        <f t="shared" si="25"/>
        <v>1</v>
      </c>
      <c r="L124" s="11">
        <f t="shared" si="26"/>
        <v>0</v>
      </c>
      <c r="M124" s="11">
        <f t="shared" si="27"/>
        <v>-1</v>
      </c>
      <c r="N124" s="11">
        <v>0</v>
      </c>
      <c r="O124" s="76">
        <f>IF($A124="","",IFERROR(SUMIF(Consumo_Joists!$A:$A,$A124,Consumo_Joists!$P:$P),0)+IFERROR(SUMIF(Consumo_Quadrantes!$A:$A,$A124,Consumo_Quadrantes!$F:$F),0))</f>
        <v>0</v>
      </c>
      <c r="P124" s="76">
        <v>0</v>
      </c>
      <c r="Q124" s="76"/>
      <c r="R124" s="76"/>
      <c r="S124" s="3">
        <f t="shared" si="28"/>
        <v>0</v>
      </c>
      <c r="T124" s="1" t="str">
        <f t="shared" si="29"/>
        <v>Crítico</v>
      </c>
      <c r="U124" s="1" t="s">
        <v>498</v>
      </c>
      <c r="V124" s="1" t="s">
        <v>80</v>
      </c>
      <c r="W124" s="1" t="s">
        <v>499</v>
      </c>
      <c r="X124" s="2">
        <f t="shared" si="30"/>
        <v>1</v>
      </c>
      <c r="Y124" s="1" t="str">
        <f t="shared" si="31"/>
        <v>Enviar se houver espaço</v>
      </c>
      <c r="Z124" s="1" t="str">
        <f t="shared" si="32"/>
        <v>OK</v>
      </c>
      <c r="AA124" s="11">
        <f t="shared" si="33"/>
        <v>0.2</v>
      </c>
      <c r="AB124" s="11">
        <f t="shared" si="34"/>
        <v>0.2</v>
      </c>
      <c r="AC124" s="1"/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76">
        <v>0</v>
      </c>
      <c r="AJ124" s="76">
        <f t="shared" si="35"/>
        <v>0</v>
      </c>
      <c r="AK124" s="1">
        <v>0</v>
      </c>
      <c r="AL124" s="1">
        <v>0</v>
      </c>
      <c r="AM124" s="1" t="str">
        <f t="shared" si="36"/>
        <v/>
      </c>
      <c r="AN124" s="1">
        <f t="shared" si="37"/>
        <v>0</v>
      </c>
      <c r="AO124" s="1">
        <v>0</v>
      </c>
      <c r="AP124" s="61">
        <f t="shared" si="38"/>
        <v>0</v>
      </c>
      <c r="AQ124" s="61">
        <v>0</v>
      </c>
      <c r="AR124" s="76">
        <v>0</v>
      </c>
      <c r="AS124" s="76">
        <f t="shared" si="39"/>
        <v>0</v>
      </c>
      <c r="AT124" s="69" t="str">
        <f t="shared" si="40"/>
        <v>OK</v>
      </c>
      <c r="AU124" s="77">
        <f t="shared" si="41"/>
        <v>1</v>
      </c>
      <c r="AV124" s="61" t="str">
        <f t="shared" si="42"/>
        <v>Sem mapa/sem consumo automático</v>
      </c>
      <c r="AW124" s="70"/>
      <c r="AX124" s="70">
        <v>0</v>
      </c>
      <c r="AY124" s="71" t="str">
        <f t="shared" si="43"/>
        <v>NÃO MAPEADO</v>
      </c>
      <c r="AZ124" s="70"/>
      <c r="BA124" s="71" t="str">
        <f t="shared" si="44"/>
        <v/>
      </c>
      <c r="BB124" s="70" t="str">
        <f t="shared" si="45"/>
        <v>Verificar cadastro</v>
      </c>
      <c r="BC124" s="78">
        <v>0</v>
      </c>
      <c r="BD124" s="78">
        <f t="shared" si="46"/>
        <v>0</v>
      </c>
      <c r="BE124" s="78">
        <v>0</v>
      </c>
      <c r="BF124">
        <v>0</v>
      </c>
      <c r="BG124">
        <v>0</v>
      </c>
      <c r="BH124">
        <v>0</v>
      </c>
      <c r="BJ124">
        <v>0</v>
      </c>
      <c r="BK124" s="103"/>
    </row>
    <row r="125" spans="1:63" ht="30" x14ac:dyDescent="0.25">
      <c r="A125" s="8" t="s">
        <v>310</v>
      </c>
      <c r="B125" s="8">
        <v>30.62</v>
      </c>
      <c r="C125" s="8">
        <v>3888.12</v>
      </c>
      <c r="D125" s="8">
        <v>1000</v>
      </c>
      <c r="E125" s="8" t="s">
        <v>308</v>
      </c>
      <c r="F125" s="8" t="s">
        <v>309</v>
      </c>
      <c r="G125" s="8" t="s">
        <v>310</v>
      </c>
      <c r="H125" s="8">
        <v>127</v>
      </c>
      <c r="I125" s="12">
        <v>0</v>
      </c>
      <c r="J125" s="10">
        <f>REMESSAS!W126</f>
        <v>0</v>
      </c>
      <c r="K125" s="11">
        <f t="shared" si="25"/>
        <v>127</v>
      </c>
      <c r="L125" s="11">
        <f t="shared" si="26"/>
        <v>0</v>
      </c>
      <c r="M125" s="11">
        <f t="shared" si="27"/>
        <v>-127</v>
      </c>
      <c r="N125" s="11">
        <v>0</v>
      </c>
      <c r="O125" s="76">
        <f>IF($A125="","",IFERROR(SUMIF(Consumo_Joists!$A:$A,$A125,Consumo_Joists!$P:$P),0)+IFERROR(SUMIF(Consumo_Quadrantes!$A:$A,$A125,Consumo_Quadrantes!$F:$F),0))</f>
        <v>0</v>
      </c>
      <c r="P125" s="76">
        <v>0</v>
      </c>
      <c r="Q125" s="76"/>
      <c r="R125" s="76"/>
      <c r="S125" s="3">
        <f t="shared" si="28"/>
        <v>0</v>
      </c>
      <c r="T125" s="1" t="str">
        <f t="shared" si="29"/>
        <v>Crítico</v>
      </c>
      <c r="U125" s="1" t="s">
        <v>498</v>
      </c>
      <c r="V125" s="1" t="s">
        <v>80</v>
      </c>
      <c r="W125" s="1" t="s">
        <v>499</v>
      </c>
      <c r="X125" s="2">
        <f t="shared" si="30"/>
        <v>64</v>
      </c>
      <c r="Y125" s="1" t="str">
        <f t="shared" si="31"/>
        <v>Enviar se houver espaço</v>
      </c>
      <c r="Z125" s="1" t="str">
        <f t="shared" si="32"/>
        <v>OK</v>
      </c>
      <c r="AA125" s="11">
        <f t="shared" si="33"/>
        <v>25.4</v>
      </c>
      <c r="AB125" s="11">
        <f t="shared" si="34"/>
        <v>25.4</v>
      </c>
      <c r="AC125" s="1"/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76">
        <v>0</v>
      </c>
      <c r="AJ125" s="76">
        <f t="shared" si="35"/>
        <v>0</v>
      </c>
      <c r="AK125" s="1">
        <v>0</v>
      </c>
      <c r="AL125" s="1">
        <v>0</v>
      </c>
      <c r="AM125" s="1" t="str">
        <f t="shared" si="36"/>
        <v/>
      </c>
      <c r="AN125" s="1">
        <f t="shared" si="37"/>
        <v>0</v>
      </c>
      <c r="AO125" s="1">
        <v>0</v>
      </c>
      <c r="AP125" s="61">
        <f t="shared" si="38"/>
        <v>0</v>
      </c>
      <c r="AQ125" s="61">
        <v>0</v>
      </c>
      <c r="AR125" s="76">
        <v>0</v>
      </c>
      <c r="AS125" s="76">
        <f t="shared" si="39"/>
        <v>0</v>
      </c>
      <c r="AT125" s="69" t="str">
        <f t="shared" si="40"/>
        <v>OK</v>
      </c>
      <c r="AU125" s="77">
        <f t="shared" si="41"/>
        <v>127</v>
      </c>
      <c r="AV125" s="61" t="str">
        <f t="shared" si="42"/>
        <v>Sem mapa/sem consumo automático</v>
      </c>
      <c r="AW125" s="70"/>
      <c r="AX125" s="70">
        <v>0</v>
      </c>
      <c r="AY125" s="71" t="str">
        <f t="shared" si="43"/>
        <v>NÃO MAPEADO</v>
      </c>
      <c r="AZ125" s="70"/>
      <c r="BA125" s="71" t="str">
        <f t="shared" si="44"/>
        <v/>
      </c>
      <c r="BB125" s="70" t="str">
        <f t="shared" si="45"/>
        <v>Verificar cadastro</v>
      </c>
      <c r="BC125" s="78">
        <v>0</v>
      </c>
      <c r="BD125" s="78">
        <f t="shared" si="46"/>
        <v>0</v>
      </c>
      <c r="BE125" s="78">
        <v>0</v>
      </c>
      <c r="BF125">
        <v>0</v>
      </c>
      <c r="BG125">
        <v>0</v>
      </c>
      <c r="BH125">
        <v>0</v>
      </c>
      <c r="BJ125">
        <v>0</v>
      </c>
      <c r="BK125" s="103"/>
    </row>
    <row r="126" spans="1:63" ht="30" x14ac:dyDescent="0.25">
      <c r="A126" s="8" t="s">
        <v>311</v>
      </c>
      <c r="B126" s="8">
        <v>15.31</v>
      </c>
      <c r="C126" s="8">
        <v>61.23</v>
      </c>
      <c r="D126" s="8">
        <v>1000</v>
      </c>
      <c r="E126" s="8" t="s">
        <v>308</v>
      </c>
      <c r="F126" s="8" t="s">
        <v>309</v>
      </c>
      <c r="G126" s="8" t="s">
        <v>311</v>
      </c>
      <c r="H126" s="8">
        <v>4</v>
      </c>
      <c r="I126" s="9">
        <v>0</v>
      </c>
      <c r="J126" s="10">
        <f>REMESSAS!W127</f>
        <v>0</v>
      </c>
      <c r="K126" s="11">
        <f t="shared" si="25"/>
        <v>4</v>
      </c>
      <c r="L126" s="11">
        <f t="shared" si="26"/>
        <v>0</v>
      </c>
      <c r="M126" s="11">
        <f t="shared" si="27"/>
        <v>-4</v>
      </c>
      <c r="N126" s="11">
        <v>0</v>
      </c>
      <c r="O126" s="76">
        <f>IF($A126="","",IFERROR(SUMIF(Consumo_Joists!$A:$A,$A126,Consumo_Joists!$P:$P),0)+IFERROR(SUMIF(Consumo_Quadrantes!$A:$A,$A126,Consumo_Quadrantes!$F:$F),0))</f>
        <v>0</v>
      </c>
      <c r="P126" s="76">
        <v>0</v>
      </c>
      <c r="Q126" s="76"/>
      <c r="R126" s="76"/>
      <c r="S126" s="3">
        <f t="shared" si="28"/>
        <v>0</v>
      </c>
      <c r="T126" s="1" t="str">
        <f t="shared" si="29"/>
        <v>Crítico</v>
      </c>
      <c r="U126" s="1" t="s">
        <v>498</v>
      </c>
      <c r="V126" s="1" t="s">
        <v>80</v>
      </c>
      <c r="W126" s="1" t="s">
        <v>499</v>
      </c>
      <c r="X126" s="2">
        <f t="shared" si="30"/>
        <v>2</v>
      </c>
      <c r="Y126" s="1" t="str">
        <f t="shared" si="31"/>
        <v>Enviar se houver espaço</v>
      </c>
      <c r="Z126" s="1" t="str">
        <f t="shared" si="32"/>
        <v>OK</v>
      </c>
      <c r="AA126" s="11">
        <f t="shared" si="33"/>
        <v>0.8</v>
      </c>
      <c r="AB126" s="11">
        <f t="shared" si="34"/>
        <v>0.8</v>
      </c>
      <c r="AC126" s="1"/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76">
        <v>0</v>
      </c>
      <c r="AJ126" s="76">
        <f t="shared" si="35"/>
        <v>0</v>
      </c>
      <c r="AK126" s="1">
        <v>0</v>
      </c>
      <c r="AL126" s="1">
        <v>0</v>
      </c>
      <c r="AM126" s="1" t="str">
        <f t="shared" si="36"/>
        <v/>
      </c>
      <c r="AN126" s="1">
        <f t="shared" si="37"/>
        <v>0</v>
      </c>
      <c r="AO126" s="1">
        <v>0</v>
      </c>
      <c r="AP126" s="61">
        <f t="shared" si="38"/>
        <v>0</v>
      </c>
      <c r="AQ126" s="61">
        <v>0</v>
      </c>
      <c r="AR126" s="76">
        <v>0</v>
      </c>
      <c r="AS126" s="76">
        <f t="shared" si="39"/>
        <v>0</v>
      </c>
      <c r="AT126" s="69" t="str">
        <f t="shared" si="40"/>
        <v>OK</v>
      </c>
      <c r="AU126" s="77">
        <f t="shared" si="41"/>
        <v>4</v>
      </c>
      <c r="AV126" s="61" t="str">
        <f t="shared" si="42"/>
        <v>Sem mapa/sem consumo automático</v>
      </c>
      <c r="AW126" s="70"/>
      <c r="AX126" s="70">
        <v>0</v>
      </c>
      <c r="AY126" s="71" t="str">
        <f t="shared" si="43"/>
        <v>NÃO MAPEADO</v>
      </c>
      <c r="AZ126" s="70"/>
      <c r="BA126" s="71" t="str">
        <f t="shared" si="44"/>
        <v/>
      </c>
      <c r="BB126" s="70" t="str">
        <f t="shared" si="45"/>
        <v>Verificar cadastro</v>
      </c>
      <c r="BC126" s="78">
        <v>0</v>
      </c>
      <c r="BD126" s="78">
        <f t="shared" si="46"/>
        <v>0</v>
      </c>
      <c r="BE126" s="78">
        <v>0</v>
      </c>
      <c r="BF126">
        <v>0</v>
      </c>
      <c r="BG126">
        <v>0</v>
      </c>
      <c r="BH126">
        <v>0</v>
      </c>
      <c r="BJ126">
        <v>0</v>
      </c>
      <c r="BK126" s="103"/>
    </row>
    <row r="127" spans="1:63" ht="30" x14ac:dyDescent="0.25">
      <c r="A127" s="8" t="s">
        <v>312</v>
      </c>
      <c r="B127" s="8">
        <v>0.55000000000000004</v>
      </c>
      <c r="C127" s="8">
        <v>201.89</v>
      </c>
      <c r="D127" s="8">
        <v>504</v>
      </c>
      <c r="E127" s="8" t="s">
        <v>187</v>
      </c>
      <c r="F127" s="8" t="s">
        <v>139</v>
      </c>
      <c r="G127" s="8" t="s">
        <v>312</v>
      </c>
      <c r="H127" s="8">
        <v>370</v>
      </c>
      <c r="I127" s="12">
        <v>0</v>
      </c>
      <c r="J127" s="10">
        <f>REMESSAS!W128</f>
        <v>0</v>
      </c>
      <c r="K127" s="11">
        <f t="shared" si="25"/>
        <v>370</v>
      </c>
      <c r="L127" s="11">
        <f t="shared" si="26"/>
        <v>0</v>
      </c>
      <c r="M127" s="11">
        <f t="shared" si="27"/>
        <v>-370</v>
      </c>
      <c r="N127" s="11">
        <v>0</v>
      </c>
      <c r="O127" s="76">
        <f>IF($A127="","",IFERROR(SUMIF(Consumo_Joists!$A:$A,$A127,Consumo_Joists!$P:$P),0)+IFERROR(SUMIF(Consumo_Quadrantes!$A:$A,$A127,Consumo_Quadrantes!$F:$F),0))</f>
        <v>0</v>
      </c>
      <c r="P127" s="76">
        <v>0</v>
      </c>
      <c r="Q127" s="76"/>
      <c r="R127" s="76"/>
      <c r="S127" s="3">
        <f t="shared" si="28"/>
        <v>0</v>
      </c>
      <c r="T127" s="1" t="str">
        <f t="shared" si="29"/>
        <v>Crítico</v>
      </c>
      <c r="U127" s="1" t="s">
        <v>498</v>
      </c>
      <c r="V127" s="1" t="s">
        <v>80</v>
      </c>
      <c r="W127" s="1" t="s">
        <v>499</v>
      </c>
      <c r="X127" s="2">
        <f t="shared" si="30"/>
        <v>185</v>
      </c>
      <c r="Y127" s="1" t="str">
        <f t="shared" si="31"/>
        <v>Enviar se houver espaço</v>
      </c>
      <c r="Z127" s="1" t="str">
        <f t="shared" si="32"/>
        <v>OK</v>
      </c>
      <c r="AA127" s="11">
        <f t="shared" si="33"/>
        <v>74</v>
      </c>
      <c r="AB127" s="11">
        <f t="shared" si="34"/>
        <v>74</v>
      </c>
      <c r="AC127" s="1"/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76">
        <v>0</v>
      </c>
      <c r="AJ127" s="76">
        <f t="shared" si="35"/>
        <v>0</v>
      </c>
      <c r="AK127" s="1">
        <v>0</v>
      </c>
      <c r="AL127" s="1">
        <v>0</v>
      </c>
      <c r="AM127" s="1" t="str">
        <f t="shared" si="36"/>
        <v/>
      </c>
      <c r="AN127" s="1">
        <f t="shared" si="37"/>
        <v>0</v>
      </c>
      <c r="AO127" s="1">
        <v>0</v>
      </c>
      <c r="AP127" s="61">
        <f t="shared" si="38"/>
        <v>0</v>
      </c>
      <c r="AQ127" s="61">
        <v>0</v>
      </c>
      <c r="AR127" s="76">
        <v>0</v>
      </c>
      <c r="AS127" s="76">
        <f t="shared" si="39"/>
        <v>0</v>
      </c>
      <c r="AT127" s="69" t="str">
        <f t="shared" si="40"/>
        <v>OK</v>
      </c>
      <c r="AU127" s="77">
        <f t="shared" si="41"/>
        <v>370</v>
      </c>
      <c r="AV127" s="61" t="str">
        <f t="shared" si="42"/>
        <v>Sem mapa/sem consumo automático</v>
      </c>
      <c r="AW127" s="70"/>
      <c r="AX127" s="70">
        <v>0</v>
      </c>
      <c r="AY127" s="71" t="str">
        <f t="shared" si="43"/>
        <v>NÃO MAPEADO</v>
      </c>
      <c r="AZ127" s="70"/>
      <c r="BA127" s="71" t="str">
        <f t="shared" si="44"/>
        <v/>
      </c>
      <c r="BB127" s="70" t="str">
        <f t="shared" si="45"/>
        <v>Verificar cadastro</v>
      </c>
      <c r="BC127" s="78">
        <v>0</v>
      </c>
      <c r="BD127" s="78">
        <f t="shared" si="46"/>
        <v>0</v>
      </c>
      <c r="BE127" s="78">
        <v>0</v>
      </c>
      <c r="BF127">
        <v>0</v>
      </c>
      <c r="BG127">
        <v>0</v>
      </c>
      <c r="BH127">
        <v>0</v>
      </c>
      <c r="BJ127">
        <v>0</v>
      </c>
      <c r="BK127" s="103"/>
    </row>
    <row r="128" spans="1:63" ht="30" x14ac:dyDescent="0.25">
      <c r="A128" s="8" t="s">
        <v>313</v>
      </c>
      <c r="B128" s="8">
        <v>0.26</v>
      </c>
      <c r="C128" s="8">
        <v>12.51</v>
      </c>
      <c r="D128" s="8">
        <v>241</v>
      </c>
      <c r="E128" s="8" t="s">
        <v>187</v>
      </c>
      <c r="F128" s="8" t="s">
        <v>139</v>
      </c>
      <c r="G128" s="8" t="s">
        <v>313</v>
      </c>
      <c r="H128" s="8">
        <v>48</v>
      </c>
      <c r="I128" s="9">
        <v>0</v>
      </c>
      <c r="J128" s="10">
        <f>REMESSAS!W129</f>
        <v>0</v>
      </c>
      <c r="K128" s="11">
        <f t="shared" si="25"/>
        <v>48</v>
      </c>
      <c r="L128" s="11">
        <f t="shared" si="26"/>
        <v>0</v>
      </c>
      <c r="M128" s="11">
        <f t="shared" si="27"/>
        <v>-48</v>
      </c>
      <c r="N128" s="11">
        <v>0</v>
      </c>
      <c r="O128" s="76">
        <f>IF($A128="","",IFERROR(SUMIF(Consumo_Joists!$A:$A,$A128,Consumo_Joists!$P:$P),0)+IFERROR(SUMIF(Consumo_Quadrantes!$A:$A,$A128,Consumo_Quadrantes!$F:$F),0))</f>
        <v>0</v>
      </c>
      <c r="P128" s="76">
        <v>0</v>
      </c>
      <c r="Q128" s="76"/>
      <c r="R128" s="76"/>
      <c r="S128" s="3">
        <f t="shared" si="28"/>
        <v>0</v>
      </c>
      <c r="T128" s="1" t="str">
        <f t="shared" si="29"/>
        <v>Crítico</v>
      </c>
      <c r="U128" s="1" t="s">
        <v>498</v>
      </c>
      <c r="V128" s="1" t="s">
        <v>80</v>
      </c>
      <c r="W128" s="1" t="s">
        <v>499</v>
      </c>
      <c r="X128" s="2">
        <f t="shared" si="30"/>
        <v>24</v>
      </c>
      <c r="Y128" s="1" t="str">
        <f t="shared" si="31"/>
        <v>Enviar se houver espaço</v>
      </c>
      <c r="Z128" s="1" t="str">
        <f t="shared" si="32"/>
        <v>OK</v>
      </c>
      <c r="AA128" s="11">
        <f t="shared" si="33"/>
        <v>9.6</v>
      </c>
      <c r="AB128" s="11">
        <f t="shared" si="34"/>
        <v>9.6</v>
      </c>
      <c r="AC128" s="1"/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76">
        <v>0</v>
      </c>
      <c r="AJ128" s="76">
        <f t="shared" si="35"/>
        <v>0</v>
      </c>
      <c r="AK128" s="1">
        <v>0</v>
      </c>
      <c r="AL128" s="1">
        <v>0</v>
      </c>
      <c r="AM128" s="1" t="str">
        <f t="shared" si="36"/>
        <v/>
      </c>
      <c r="AN128" s="1">
        <f t="shared" si="37"/>
        <v>0</v>
      </c>
      <c r="AO128" s="1">
        <v>0</v>
      </c>
      <c r="AP128" s="61">
        <f t="shared" si="38"/>
        <v>0</v>
      </c>
      <c r="AQ128" s="61">
        <v>0</v>
      </c>
      <c r="AR128" s="76">
        <v>0</v>
      </c>
      <c r="AS128" s="76">
        <f t="shared" si="39"/>
        <v>0</v>
      </c>
      <c r="AT128" s="69" t="str">
        <f t="shared" si="40"/>
        <v>OK</v>
      </c>
      <c r="AU128" s="77">
        <f t="shared" si="41"/>
        <v>48</v>
      </c>
      <c r="AV128" s="61" t="str">
        <f t="shared" si="42"/>
        <v>Sem mapa/sem consumo automático</v>
      </c>
      <c r="AW128" s="70"/>
      <c r="AX128" s="70">
        <v>0</v>
      </c>
      <c r="AY128" s="71" t="str">
        <f t="shared" si="43"/>
        <v>NÃO MAPEADO</v>
      </c>
      <c r="AZ128" s="70"/>
      <c r="BA128" s="71" t="str">
        <f t="shared" si="44"/>
        <v/>
      </c>
      <c r="BB128" s="70" t="str">
        <f t="shared" si="45"/>
        <v>Verificar cadastro</v>
      </c>
      <c r="BC128" s="78">
        <v>0</v>
      </c>
      <c r="BD128" s="78">
        <f t="shared" si="46"/>
        <v>0</v>
      </c>
      <c r="BE128" s="78">
        <v>0</v>
      </c>
      <c r="BF128">
        <v>0</v>
      </c>
      <c r="BG128">
        <v>0</v>
      </c>
      <c r="BH128">
        <v>0</v>
      </c>
      <c r="BJ128">
        <v>0</v>
      </c>
      <c r="BK128" s="103"/>
    </row>
    <row r="129" spans="1:63" ht="30" x14ac:dyDescent="0.25">
      <c r="A129" s="8" t="s">
        <v>315</v>
      </c>
      <c r="B129" s="8">
        <v>0.78</v>
      </c>
      <c r="C129" s="8">
        <v>51.57</v>
      </c>
      <c r="D129" s="8">
        <v>698</v>
      </c>
      <c r="E129" s="8" t="s">
        <v>265</v>
      </c>
      <c r="F129" s="8" t="s">
        <v>314</v>
      </c>
      <c r="G129" s="8" t="s">
        <v>315</v>
      </c>
      <c r="H129" s="8">
        <v>66</v>
      </c>
      <c r="I129" s="12">
        <v>0</v>
      </c>
      <c r="J129" s="10">
        <f>REMESSAS!W130</f>
        <v>0</v>
      </c>
      <c r="K129" s="11">
        <f t="shared" si="25"/>
        <v>66</v>
      </c>
      <c r="L129" s="11">
        <f t="shared" si="26"/>
        <v>0</v>
      </c>
      <c r="M129" s="11">
        <f t="shared" si="27"/>
        <v>-66</v>
      </c>
      <c r="N129" s="11">
        <v>0</v>
      </c>
      <c r="O129" s="76">
        <f>IF($A129="","",IFERROR(SUMIF(Consumo_Joists!$A:$A,$A129,Consumo_Joists!$P:$P),0)+IFERROR(SUMIF(Consumo_Quadrantes!$A:$A,$A129,Consumo_Quadrantes!$F:$F),0))</f>
        <v>0</v>
      </c>
      <c r="P129" s="76">
        <v>0</v>
      </c>
      <c r="Q129" s="76"/>
      <c r="R129" s="76"/>
      <c r="S129" s="3">
        <f t="shared" si="28"/>
        <v>0</v>
      </c>
      <c r="T129" s="1" t="str">
        <f t="shared" si="29"/>
        <v>Crítico</v>
      </c>
      <c r="U129" s="1" t="s">
        <v>498</v>
      </c>
      <c r="V129" s="1" t="s">
        <v>80</v>
      </c>
      <c r="W129" s="1" t="s">
        <v>499</v>
      </c>
      <c r="X129" s="2">
        <f t="shared" si="30"/>
        <v>33</v>
      </c>
      <c r="Y129" s="1" t="str">
        <f t="shared" si="31"/>
        <v>Enviar se houver espaço</v>
      </c>
      <c r="Z129" s="1" t="str">
        <f t="shared" si="32"/>
        <v>OK</v>
      </c>
      <c r="AA129" s="11">
        <f t="shared" si="33"/>
        <v>13.2</v>
      </c>
      <c r="AB129" s="11">
        <f t="shared" si="34"/>
        <v>13.2</v>
      </c>
      <c r="AC129" s="1"/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76">
        <v>0</v>
      </c>
      <c r="AJ129" s="76">
        <f t="shared" si="35"/>
        <v>0</v>
      </c>
      <c r="AK129" s="1">
        <v>0</v>
      </c>
      <c r="AL129" s="1">
        <v>0</v>
      </c>
      <c r="AM129" s="1" t="str">
        <f t="shared" si="36"/>
        <v/>
      </c>
      <c r="AN129" s="1">
        <f t="shared" si="37"/>
        <v>0</v>
      </c>
      <c r="AO129" s="1">
        <v>0</v>
      </c>
      <c r="AP129" s="61">
        <f t="shared" si="38"/>
        <v>0</v>
      </c>
      <c r="AQ129" s="61">
        <v>0</v>
      </c>
      <c r="AR129" s="76">
        <v>0</v>
      </c>
      <c r="AS129" s="76">
        <f t="shared" si="39"/>
        <v>0</v>
      </c>
      <c r="AT129" s="69" t="str">
        <f t="shared" si="40"/>
        <v>OK</v>
      </c>
      <c r="AU129" s="77">
        <f t="shared" si="41"/>
        <v>66</v>
      </c>
      <c r="AV129" s="61" t="str">
        <f t="shared" si="42"/>
        <v>Sem mapa/sem consumo automático</v>
      </c>
      <c r="AW129" s="70"/>
      <c r="AX129" s="70">
        <v>0</v>
      </c>
      <c r="AY129" s="71" t="str">
        <f t="shared" si="43"/>
        <v>NÃO MAPEADO</v>
      </c>
      <c r="AZ129" s="70"/>
      <c r="BA129" s="71" t="str">
        <f t="shared" si="44"/>
        <v/>
      </c>
      <c r="BB129" s="70" t="str">
        <f t="shared" si="45"/>
        <v>Verificar cadastro</v>
      </c>
      <c r="BC129" s="78">
        <v>0</v>
      </c>
      <c r="BD129" s="78">
        <f t="shared" si="46"/>
        <v>0</v>
      </c>
      <c r="BE129" s="78">
        <v>0</v>
      </c>
      <c r="BF129">
        <v>0</v>
      </c>
      <c r="BG129">
        <v>0</v>
      </c>
      <c r="BH129">
        <v>0</v>
      </c>
      <c r="BJ129">
        <v>0</v>
      </c>
      <c r="BK129" s="103"/>
    </row>
    <row r="130" spans="1:63" ht="30" x14ac:dyDescent="0.25">
      <c r="A130" s="8" t="s">
        <v>316</v>
      </c>
      <c r="B130" s="8">
        <v>0.78</v>
      </c>
      <c r="C130" s="8">
        <v>53.13</v>
      </c>
      <c r="D130" s="8">
        <v>698</v>
      </c>
      <c r="E130" s="8" t="s">
        <v>265</v>
      </c>
      <c r="F130" s="8" t="s">
        <v>314</v>
      </c>
      <c r="G130" s="8" t="s">
        <v>316</v>
      </c>
      <c r="H130" s="8">
        <v>68</v>
      </c>
      <c r="I130" s="9">
        <v>0</v>
      </c>
      <c r="J130" s="10">
        <f>REMESSAS!W131</f>
        <v>0</v>
      </c>
      <c r="K130" s="11">
        <f t="shared" si="25"/>
        <v>68</v>
      </c>
      <c r="L130" s="11">
        <f t="shared" si="26"/>
        <v>0</v>
      </c>
      <c r="M130" s="11">
        <f t="shared" si="27"/>
        <v>-68</v>
      </c>
      <c r="N130" s="11">
        <v>0</v>
      </c>
      <c r="O130" s="76">
        <f>IF($A130="","",IFERROR(SUMIF(Consumo_Joists!$A:$A,$A130,Consumo_Joists!$P:$P),0)+IFERROR(SUMIF(Consumo_Quadrantes!$A:$A,$A130,Consumo_Quadrantes!$F:$F),0))</f>
        <v>0</v>
      </c>
      <c r="P130" s="76">
        <v>0</v>
      </c>
      <c r="Q130" s="76"/>
      <c r="R130" s="76"/>
      <c r="S130" s="3">
        <f t="shared" si="28"/>
        <v>0</v>
      </c>
      <c r="T130" s="1" t="str">
        <f t="shared" si="29"/>
        <v>Crítico</v>
      </c>
      <c r="U130" s="1" t="s">
        <v>498</v>
      </c>
      <c r="V130" s="1" t="s">
        <v>80</v>
      </c>
      <c r="W130" s="1" t="s">
        <v>499</v>
      </c>
      <c r="X130" s="2">
        <f t="shared" si="30"/>
        <v>34</v>
      </c>
      <c r="Y130" s="1" t="str">
        <f t="shared" si="31"/>
        <v>Enviar se houver espaço</v>
      </c>
      <c r="Z130" s="1" t="str">
        <f t="shared" si="32"/>
        <v>OK</v>
      </c>
      <c r="AA130" s="11">
        <f t="shared" si="33"/>
        <v>13.6</v>
      </c>
      <c r="AB130" s="11">
        <f t="shared" si="34"/>
        <v>13.6</v>
      </c>
      <c r="AC130" s="1"/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76">
        <v>0</v>
      </c>
      <c r="AJ130" s="76">
        <f t="shared" si="35"/>
        <v>0</v>
      </c>
      <c r="AK130" s="1">
        <v>0</v>
      </c>
      <c r="AL130" s="1">
        <v>0</v>
      </c>
      <c r="AM130" s="1" t="str">
        <f t="shared" si="36"/>
        <v/>
      </c>
      <c r="AN130" s="1">
        <f t="shared" si="37"/>
        <v>0</v>
      </c>
      <c r="AO130" s="1">
        <v>0</v>
      </c>
      <c r="AP130" s="61">
        <f t="shared" si="38"/>
        <v>0</v>
      </c>
      <c r="AQ130" s="61">
        <v>0</v>
      </c>
      <c r="AR130" s="76">
        <v>0</v>
      </c>
      <c r="AS130" s="76">
        <f t="shared" si="39"/>
        <v>0</v>
      </c>
      <c r="AT130" s="69" t="str">
        <f t="shared" si="40"/>
        <v>OK</v>
      </c>
      <c r="AU130" s="77">
        <f t="shared" si="41"/>
        <v>68</v>
      </c>
      <c r="AV130" s="61" t="str">
        <f t="shared" si="42"/>
        <v>Sem mapa/sem consumo automático</v>
      </c>
      <c r="AW130" s="70"/>
      <c r="AX130" s="70">
        <v>0</v>
      </c>
      <c r="AY130" s="71" t="str">
        <f t="shared" si="43"/>
        <v>NÃO MAPEADO</v>
      </c>
      <c r="AZ130" s="70"/>
      <c r="BA130" s="71" t="str">
        <f t="shared" si="44"/>
        <v/>
      </c>
      <c r="BB130" s="70" t="str">
        <f t="shared" si="45"/>
        <v>Verificar cadastro</v>
      </c>
      <c r="BC130" s="78">
        <v>0</v>
      </c>
      <c r="BD130" s="78">
        <f t="shared" si="46"/>
        <v>0</v>
      </c>
      <c r="BE130" s="78">
        <v>0</v>
      </c>
      <c r="BF130">
        <v>0</v>
      </c>
      <c r="BG130">
        <v>0</v>
      </c>
      <c r="BH130">
        <v>0</v>
      </c>
      <c r="BJ130">
        <v>0</v>
      </c>
      <c r="BK130" s="103"/>
    </row>
    <row r="131" spans="1:63" ht="30" x14ac:dyDescent="0.25">
      <c r="A131" s="8" t="s">
        <v>317</v>
      </c>
      <c r="B131" s="8">
        <v>0.63</v>
      </c>
      <c r="C131" s="8">
        <v>41.79</v>
      </c>
      <c r="D131" s="8">
        <v>566</v>
      </c>
      <c r="E131" s="8" t="s">
        <v>265</v>
      </c>
      <c r="F131" s="8" t="s">
        <v>314</v>
      </c>
      <c r="G131" s="8" t="s">
        <v>317</v>
      </c>
      <c r="H131" s="8">
        <v>66</v>
      </c>
      <c r="I131" s="12">
        <v>0</v>
      </c>
      <c r="J131" s="10">
        <f>REMESSAS!W132</f>
        <v>0</v>
      </c>
      <c r="K131" s="11">
        <f t="shared" si="25"/>
        <v>66</v>
      </c>
      <c r="L131" s="11">
        <f t="shared" si="26"/>
        <v>0</v>
      </c>
      <c r="M131" s="11">
        <f t="shared" si="27"/>
        <v>-66</v>
      </c>
      <c r="N131" s="11">
        <v>0</v>
      </c>
      <c r="O131" s="76">
        <f>IF($A131="","",IFERROR(SUMIF(Consumo_Joists!$A:$A,$A131,Consumo_Joists!$P:$P),0)+IFERROR(SUMIF(Consumo_Quadrantes!$A:$A,$A131,Consumo_Quadrantes!$F:$F),0))</f>
        <v>0</v>
      </c>
      <c r="P131" s="76">
        <v>0</v>
      </c>
      <c r="Q131" s="76"/>
      <c r="R131" s="76"/>
      <c r="S131" s="3">
        <f t="shared" si="28"/>
        <v>0</v>
      </c>
      <c r="T131" s="1" t="str">
        <f t="shared" si="29"/>
        <v>Crítico</v>
      </c>
      <c r="U131" s="1" t="s">
        <v>498</v>
      </c>
      <c r="V131" s="1" t="s">
        <v>80</v>
      </c>
      <c r="W131" s="1" t="s">
        <v>499</v>
      </c>
      <c r="X131" s="2">
        <f t="shared" si="30"/>
        <v>33</v>
      </c>
      <c r="Y131" s="1" t="str">
        <f t="shared" si="31"/>
        <v>Enviar se houver espaço</v>
      </c>
      <c r="Z131" s="1" t="str">
        <f t="shared" si="32"/>
        <v>OK</v>
      </c>
      <c r="AA131" s="11">
        <f t="shared" si="33"/>
        <v>13.2</v>
      </c>
      <c r="AB131" s="11">
        <f t="shared" si="34"/>
        <v>13.2</v>
      </c>
      <c r="AC131" s="1"/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76">
        <v>0</v>
      </c>
      <c r="AJ131" s="76">
        <f t="shared" si="35"/>
        <v>0</v>
      </c>
      <c r="AK131" s="1">
        <v>0</v>
      </c>
      <c r="AL131" s="1">
        <v>0</v>
      </c>
      <c r="AM131" s="1" t="str">
        <f t="shared" si="36"/>
        <v/>
      </c>
      <c r="AN131" s="1">
        <f t="shared" si="37"/>
        <v>0</v>
      </c>
      <c r="AO131" s="1">
        <v>0</v>
      </c>
      <c r="AP131" s="61">
        <f t="shared" si="38"/>
        <v>0</v>
      </c>
      <c r="AQ131" s="61">
        <v>0</v>
      </c>
      <c r="AR131" s="76">
        <v>0</v>
      </c>
      <c r="AS131" s="76">
        <f t="shared" si="39"/>
        <v>0</v>
      </c>
      <c r="AT131" s="69" t="str">
        <f t="shared" si="40"/>
        <v>OK</v>
      </c>
      <c r="AU131" s="77">
        <f t="shared" si="41"/>
        <v>66</v>
      </c>
      <c r="AV131" s="61" t="str">
        <f t="shared" si="42"/>
        <v>Sem mapa/sem consumo automático</v>
      </c>
      <c r="AW131" s="70"/>
      <c r="AX131" s="70">
        <v>0</v>
      </c>
      <c r="AY131" s="71" t="str">
        <f t="shared" si="43"/>
        <v>NÃO MAPEADO</v>
      </c>
      <c r="AZ131" s="70"/>
      <c r="BA131" s="71" t="str">
        <f t="shared" si="44"/>
        <v/>
      </c>
      <c r="BB131" s="70" t="str">
        <f t="shared" si="45"/>
        <v>Verificar cadastro</v>
      </c>
      <c r="BC131" s="78">
        <v>0</v>
      </c>
      <c r="BD131" s="78">
        <f t="shared" si="46"/>
        <v>0</v>
      </c>
      <c r="BE131" s="78">
        <v>0</v>
      </c>
      <c r="BF131">
        <v>0</v>
      </c>
      <c r="BG131">
        <v>0</v>
      </c>
      <c r="BH131">
        <v>0</v>
      </c>
      <c r="BJ131">
        <v>0</v>
      </c>
      <c r="BK131" s="103"/>
    </row>
    <row r="132" spans="1:63" ht="30" x14ac:dyDescent="0.25">
      <c r="A132" s="8" t="s">
        <v>318</v>
      </c>
      <c r="B132" s="8">
        <v>0.63</v>
      </c>
      <c r="C132" s="8">
        <v>43.06</v>
      </c>
      <c r="D132" s="8">
        <v>566</v>
      </c>
      <c r="E132" s="8" t="s">
        <v>265</v>
      </c>
      <c r="F132" s="8" t="s">
        <v>314</v>
      </c>
      <c r="G132" s="8" t="s">
        <v>318</v>
      </c>
      <c r="H132" s="8">
        <v>68</v>
      </c>
      <c r="I132" s="9">
        <v>0</v>
      </c>
      <c r="J132" s="10">
        <f>REMESSAS!W133</f>
        <v>0</v>
      </c>
      <c r="K132" s="11">
        <f t="shared" ref="K132:K189" si="47">MAX(H132-J132,0)</f>
        <v>68</v>
      </c>
      <c r="L132" s="11">
        <f t="shared" ref="L132:L189" si="48">MAX(J132-H132,0)</f>
        <v>0</v>
      </c>
      <c r="M132" s="11">
        <f t="shared" ref="M132:M189" si="49">J132-H132</f>
        <v>-68</v>
      </c>
      <c r="N132" s="11">
        <v>0</v>
      </c>
      <c r="O132" s="76">
        <f>IF($A132="","",IFERROR(SUMIF(Consumo_Joists!$A:$A,$A132,Consumo_Joists!$P:$P),0)+IFERROR(SUMIF(Consumo_Quadrantes!$A:$A,$A132,Consumo_Quadrantes!$F:$F),0))</f>
        <v>0</v>
      </c>
      <c r="P132" s="76">
        <v>0</v>
      </c>
      <c r="Q132" s="76"/>
      <c r="R132" s="76"/>
      <c r="S132" s="3">
        <f t="shared" ref="S132:S189" si="50">IFERROR(J132/H132,0)</f>
        <v>0</v>
      </c>
      <c r="T132" s="1" t="str">
        <f t="shared" ref="T132:T189" si="51">IF(H132=0,"Sem planejamento",IF(J132=0,"Crítico",IF(J132&lt;H132,"Recebimento Parcial",IF(J132=H132,"Atendido","Excedente"))))</f>
        <v>Crítico</v>
      </c>
      <c r="U132" s="1" t="s">
        <v>498</v>
      </c>
      <c r="V132" s="1" t="s">
        <v>80</v>
      </c>
      <c r="W132" s="1" t="s">
        <v>499</v>
      </c>
      <c r="X132" s="2">
        <f t="shared" ref="X132:X189" si="52">IF(K132&lt;=0,0,IF(V132="P1 - Estrutural",ROUNDUP(K132,0),IF(V132="P2 - Pré-montagem",ROUNDUP(K132,0),IF(S132&lt;0.5,ROUNDUP(K132*0.5,0),0))))</f>
        <v>34</v>
      </c>
      <c r="Y132" s="1" t="str">
        <f t="shared" ref="Y132:Y189" si="53">IF(X132=0,"Monitorar",IF(V132="P1 - Estrutural","Enviar nesta semana",IF(V132="P2 - Pré-montagem","Programar pré-montagem/embarque","Enviar se houver espaço")))</f>
        <v>Enviar se houver espaço</v>
      </c>
      <c r="Z132" s="1" t="str">
        <f t="shared" ref="Z132:Z189" si="54">IF(AND(V132="P1 - Estrutural",K132&gt;0),"🔴 ALERTA P1",IF(AND(V132="P2 - Pré-montagem",K132&gt;0),"🟡 ALERTA P2",IF(AND(V132="P3 - Complementar",X132&gt;0),"🟢 PLANEJAR","OK")))</f>
        <v>OK</v>
      </c>
      <c r="AA132" s="11">
        <f t="shared" ref="AA132:AA189" si="55">IFERROR(H132/5,0)</f>
        <v>13.6</v>
      </c>
      <c r="AB132" s="11">
        <f t="shared" ref="AB132:AB189" si="56">IFERROR(MAX(K132/5,0),0)</f>
        <v>13.6</v>
      </c>
      <c r="AC132" s="1"/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76">
        <v>0</v>
      </c>
      <c r="AJ132" s="76">
        <f t="shared" ref="AJ132:AJ191" si="57">MAX($J132-$AI132,0)</f>
        <v>0</v>
      </c>
      <c r="AK132" s="1">
        <v>0</v>
      </c>
      <c r="AL132" s="1">
        <v>0</v>
      </c>
      <c r="AM132" s="1" t="str">
        <f t="shared" ref="AM132:AM191" si="58">IF($AI132&gt;0,IF($AJ132&lt;0,"CRÍTICO",IF($AJ132&lt;=$AK132,"ATENÇÃO","OK")),"")</f>
        <v/>
      </c>
      <c r="AN132" s="1">
        <f t="shared" ref="AN132:AN191" si="59">IF($AI132&gt;0,MAX($AK132-$AJ132,0),0)</f>
        <v>0</v>
      </c>
      <c r="AO132" s="1">
        <v>0</v>
      </c>
      <c r="AP132" s="61">
        <f t="shared" ref="AP132:AP191" si="60">$AW132</f>
        <v>0</v>
      </c>
      <c r="AQ132" s="61">
        <v>0</v>
      </c>
      <c r="AR132" s="76">
        <v>0</v>
      </c>
      <c r="AS132" s="76">
        <f t="shared" ref="AS132:AS189" si="61">MAX($J132-$O132,0)</f>
        <v>0</v>
      </c>
      <c r="AT132" s="69" t="str">
        <f t="shared" ref="AT132:AT189" si="62">IF($O132=0,"OK",IF($J132-$O132&lt;0,"CRÍTICO",IF($J132-$O132&lt;($H132*0.1),"ATENÇÃO","OK")))</f>
        <v>OK</v>
      </c>
      <c r="AU132" s="77">
        <f t="shared" ref="AU132:AU189" si="63">MAX($O132+$H132-$J132,0)</f>
        <v>68</v>
      </c>
      <c r="AV132" s="61" t="str">
        <f t="shared" ref="AV132:AV189" si="64">IF($AI132&gt;0,"Fluxo JOIST: apontamento x consumo por item",IF($AR132&gt;0,"Fluxo RUA: SIM no apontamento x mapa de ruas",IF($AX132&gt;1,"TAG comum em mais de uma rua: sem sinalização automática",IF($AX132=0,"Sem mapa/sem consumo automático","Aguardando baixa"))))</f>
        <v>Sem mapa/sem consumo automático</v>
      </c>
      <c r="AW132" s="70"/>
      <c r="AX132" s="70">
        <v>0</v>
      </c>
      <c r="AY132" s="71" t="str">
        <f t="shared" ref="AY132:AY189" si="65">IF($AI132&gt;0,"BAIXA POR JOIST",IF($BD132&gt;0,"BAIXA POR RUA PROPORCIONAL",IF($AX132=0,"NÃO MAPEADO","MAPEADO")))</f>
        <v>NÃO MAPEADO</v>
      </c>
      <c r="AZ132" s="70"/>
      <c r="BA132" s="71" t="str">
        <f t="shared" ref="BA132:BA189" si="66">IF($AR132&gt;0,"BAIXADO POR RUA",IF($BD132&gt;0,"AGUARDANDO RUA=SIM",""))</f>
        <v/>
      </c>
      <c r="BB132" s="70" t="str">
        <f t="shared" ref="BB132:BB189" si="67">IF($AX132&gt;1,"TAG comum: baixa parcial conforme QTD_NA_RUA no Mapa_Ruas_Estrutural",IF($AX132=1,"TAG particular: baixa conforme rua",IF($AI132&gt;0,"Baixa por apontamento de JOIST","Verificar cadastro")))</f>
        <v>Verificar cadastro</v>
      </c>
      <c r="BC132" s="78">
        <v>0</v>
      </c>
      <c r="BD132" s="78">
        <f t="shared" ref="BD132:BD189" si="68">$AR132</f>
        <v>0</v>
      </c>
      <c r="BE132" s="78">
        <v>0</v>
      </c>
      <c r="BF132">
        <v>0</v>
      </c>
      <c r="BG132">
        <v>0</v>
      </c>
      <c r="BH132">
        <v>0</v>
      </c>
      <c r="BJ132">
        <v>0</v>
      </c>
      <c r="BK132" s="103"/>
    </row>
    <row r="133" spans="1:63" ht="30" x14ac:dyDescent="0.25">
      <c r="A133" s="8" t="s">
        <v>320</v>
      </c>
      <c r="B133" s="8">
        <v>1.04</v>
      </c>
      <c r="C133" s="8">
        <v>223.59</v>
      </c>
      <c r="D133" s="8">
        <v>181</v>
      </c>
      <c r="E133" s="8" t="s">
        <v>319</v>
      </c>
      <c r="F133" s="8" t="s">
        <v>273</v>
      </c>
      <c r="G133" s="8" t="s">
        <v>320</v>
      </c>
      <c r="H133" s="8">
        <v>216</v>
      </c>
      <c r="I133" s="12">
        <v>0</v>
      </c>
      <c r="J133" s="10">
        <f>REMESSAS!W134</f>
        <v>0</v>
      </c>
      <c r="K133" s="11">
        <f t="shared" si="47"/>
        <v>216</v>
      </c>
      <c r="L133" s="11">
        <f t="shared" si="48"/>
        <v>0</v>
      </c>
      <c r="M133" s="11">
        <f t="shared" si="49"/>
        <v>-216</v>
      </c>
      <c r="N133" s="11">
        <v>0</v>
      </c>
      <c r="O133" s="76">
        <f>IF($A133="","",IFERROR(SUMIF(Consumo_Joists!$A:$A,$A133,Consumo_Joists!$P:$P),0)+IFERROR(SUMIF(Consumo_Quadrantes!$A:$A,$A133,Consumo_Quadrantes!$F:$F),0))</f>
        <v>0</v>
      </c>
      <c r="P133" s="76">
        <v>0</v>
      </c>
      <c r="Q133" s="76"/>
      <c r="R133" s="76"/>
      <c r="S133" s="3">
        <f t="shared" si="50"/>
        <v>0</v>
      </c>
      <c r="T133" s="1" t="str">
        <f t="shared" si="51"/>
        <v>Crítico</v>
      </c>
      <c r="U133" s="1" t="s">
        <v>498</v>
      </c>
      <c r="V133" s="1" t="s">
        <v>80</v>
      </c>
      <c r="W133" s="1" t="s">
        <v>499</v>
      </c>
      <c r="X133" s="2">
        <f t="shared" si="52"/>
        <v>108</v>
      </c>
      <c r="Y133" s="1" t="str">
        <f t="shared" si="53"/>
        <v>Enviar se houver espaço</v>
      </c>
      <c r="Z133" s="1" t="str">
        <f t="shared" si="54"/>
        <v>OK</v>
      </c>
      <c r="AA133" s="11">
        <f t="shared" si="55"/>
        <v>43.2</v>
      </c>
      <c r="AB133" s="11">
        <f t="shared" si="56"/>
        <v>43.2</v>
      </c>
      <c r="AC133" s="1"/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76">
        <v>0</v>
      </c>
      <c r="AJ133" s="76">
        <f t="shared" si="57"/>
        <v>0</v>
      </c>
      <c r="AK133" s="1">
        <v>0</v>
      </c>
      <c r="AL133" s="1">
        <v>0</v>
      </c>
      <c r="AM133" s="1" t="str">
        <f t="shared" si="58"/>
        <v/>
      </c>
      <c r="AN133" s="1">
        <f t="shared" si="59"/>
        <v>0</v>
      </c>
      <c r="AO133" s="1">
        <v>0</v>
      </c>
      <c r="AP133" s="61">
        <f t="shared" si="60"/>
        <v>0</v>
      </c>
      <c r="AQ133" s="61">
        <v>0</v>
      </c>
      <c r="AR133" s="76">
        <v>0</v>
      </c>
      <c r="AS133" s="76">
        <f t="shared" si="61"/>
        <v>0</v>
      </c>
      <c r="AT133" s="69" t="str">
        <f t="shared" si="62"/>
        <v>OK</v>
      </c>
      <c r="AU133" s="77">
        <f t="shared" si="63"/>
        <v>216</v>
      </c>
      <c r="AV133" s="61" t="str">
        <f t="shared" si="64"/>
        <v>Sem mapa/sem consumo automático</v>
      </c>
      <c r="AW133" s="70"/>
      <c r="AX133" s="70">
        <v>0</v>
      </c>
      <c r="AY133" s="71" t="str">
        <f t="shared" si="65"/>
        <v>NÃO MAPEADO</v>
      </c>
      <c r="AZ133" s="70"/>
      <c r="BA133" s="71" t="str">
        <f t="shared" si="66"/>
        <v/>
      </c>
      <c r="BB133" s="70" t="str">
        <f t="shared" si="67"/>
        <v>Verificar cadastro</v>
      </c>
      <c r="BC133" s="78">
        <v>0</v>
      </c>
      <c r="BD133" s="78">
        <f t="shared" si="68"/>
        <v>0</v>
      </c>
      <c r="BE133" s="78">
        <v>0</v>
      </c>
      <c r="BF133">
        <v>0</v>
      </c>
      <c r="BG133">
        <v>0</v>
      </c>
      <c r="BH133">
        <v>0</v>
      </c>
      <c r="BJ133">
        <v>0</v>
      </c>
      <c r="BK133" s="103"/>
    </row>
    <row r="134" spans="1:63" ht="30" x14ac:dyDescent="0.25">
      <c r="A134" s="8" t="s">
        <v>321</v>
      </c>
      <c r="B134" s="8">
        <v>0.39</v>
      </c>
      <c r="C134" s="8">
        <v>31.34</v>
      </c>
      <c r="D134" s="8">
        <v>60</v>
      </c>
      <c r="E134" s="8" t="s">
        <v>214</v>
      </c>
      <c r="F134" s="8" t="s">
        <v>215</v>
      </c>
      <c r="G134" s="8" t="s">
        <v>321</v>
      </c>
      <c r="H134" s="8">
        <v>80</v>
      </c>
      <c r="I134" s="9">
        <v>0</v>
      </c>
      <c r="J134" s="10">
        <f>REMESSAS!W135</f>
        <v>198</v>
      </c>
      <c r="K134" s="11">
        <f t="shared" si="47"/>
        <v>0</v>
      </c>
      <c r="L134" s="11">
        <f t="shared" si="48"/>
        <v>118</v>
      </c>
      <c r="M134" s="11">
        <f t="shared" si="49"/>
        <v>118</v>
      </c>
      <c r="N134" s="11">
        <v>0</v>
      </c>
      <c r="O134" s="76">
        <f>IF($A134="","",IFERROR(SUMIF(Consumo_Joists!$A:$A,$A134,Consumo_Joists!$P:$P),0)+IFERROR(SUMIF(Consumo_Quadrantes!$A:$A,$A134,Consumo_Quadrantes!$F:$F),0))</f>
        <v>0</v>
      </c>
      <c r="P134" s="76">
        <v>198</v>
      </c>
      <c r="Q134" s="76"/>
      <c r="R134" s="76"/>
      <c r="S134" s="3">
        <f t="shared" si="50"/>
        <v>2.4750000000000001</v>
      </c>
      <c r="T134" s="1" t="str">
        <f t="shared" si="51"/>
        <v>Excedente</v>
      </c>
      <c r="U134" s="1" t="s">
        <v>498</v>
      </c>
      <c r="V134" s="1" t="s">
        <v>80</v>
      </c>
      <c r="W134" s="1" t="s">
        <v>499</v>
      </c>
      <c r="X134" s="2">
        <f t="shared" si="52"/>
        <v>0</v>
      </c>
      <c r="Y134" s="1" t="str">
        <f t="shared" si="53"/>
        <v>Monitorar</v>
      </c>
      <c r="Z134" s="1" t="str">
        <f t="shared" si="54"/>
        <v>OK</v>
      </c>
      <c r="AA134" s="11">
        <f t="shared" si="55"/>
        <v>16</v>
      </c>
      <c r="AB134" s="11">
        <f t="shared" si="56"/>
        <v>0</v>
      </c>
      <c r="AC134" s="1"/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76">
        <v>0</v>
      </c>
      <c r="AJ134" s="76">
        <f t="shared" si="57"/>
        <v>198</v>
      </c>
      <c r="AK134" s="1">
        <v>0</v>
      </c>
      <c r="AL134" s="1">
        <v>0</v>
      </c>
      <c r="AM134" s="1" t="str">
        <f t="shared" si="58"/>
        <v/>
      </c>
      <c r="AN134" s="1">
        <f t="shared" si="59"/>
        <v>0</v>
      </c>
      <c r="AO134" s="1">
        <v>0</v>
      </c>
      <c r="AP134" s="61">
        <f t="shared" si="60"/>
        <v>0</v>
      </c>
      <c r="AQ134" s="61">
        <v>0</v>
      </c>
      <c r="AR134" s="76">
        <v>0</v>
      </c>
      <c r="AS134" s="76">
        <f t="shared" si="61"/>
        <v>198</v>
      </c>
      <c r="AT134" s="69" t="str">
        <f t="shared" si="62"/>
        <v>OK</v>
      </c>
      <c r="AU134" s="77">
        <f t="shared" si="63"/>
        <v>0</v>
      </c>
      <c r="AV134" s="61" t="str">
        <f t="shared" si="64"/>
        <v>Sem mapa/sem consumo automático</v>
      </c>
      <c r="AW134" s="70"/>
      <c r="AX134" s="70">
        <v>0</v>
      </c>
      <c r="AY134" s="71" t="str">
        <f t="shared" si="65"/>
        <v>NÃO MAPEADO</v>
      </c>
      <c r="AZ134" s="70"/>
      <c r="BA134" s="71" t="str">
        <f t="shared" si="66"/>
        <v/>
      </c>
      <c r="BB134" s="70" t="str">
        <f t="shared" si="67"/>
        <v>Verificar cadastro</v>
      </c>
      <c r="BC134" s="78">
        <v>0</v>
      </c>
      <c r="BD134" s="78">
        <f t="shared" si="68"/>
        <v>0</v>
      </c>
      <c r="BE134" s="78">
        <v>0</v>
      </c>
      <c r="BF134">
        <v>0</v>
      </c>
      <c r="BG134">
        <v>0</v>
      </c>
      <c r="BH134">
        <v>0</v>
      </c>
      <c r="BJ134">
        <v>0</v>
      </c>
      <c r="BK134" s="103"/>
    </row>
    <row r="135" spans="1:63" ht="30" x14ac:dyDescent="0.25">
      <c r="A135" s="8" t="s">
        <v>324</v>
      </c>
      <c r="B135" s="8">
        <v>44.6</v>
      </c>
      <c r="C135" s="8">
        <v>133.81</v>
      </c>
      <c r="D135" s="8">
        <v>6095</v>
      </c>
      <c r="E135" s="8" t="s">
        <v>322</v>
      </c>
      <c r="F135" s="8" t="s">
        <v>323</v>
      </c>
      <c r="G135" s="8" t="s">
        <v>324</v>
      </c>
      <c r="H135" s="8">
        <v>3</v>
      </c>
      <c r="I135" s="12">
        <v>0</v>
      </c>
      <c r="J135" s="10">
        <f>REMESSAS!W136</f>
        <v>0</v>
      </c>
      <c r="K135" s="11">
        <f t="shared" si="47"/>
        <v>3</v>
      </c>
      <c r="L135" s="11">
        <f t="shared" si="48"/>
        <v>0</v>
      </c>
      <c r="M135" s="11">
        <f t="shared" si="49"/>
        <v>-3</v>
      </c>
      <c r="N135" s="11">
        <v>0</v>
      </c>
      <c r="O135" s="76">
        <f>IF($A135="","",IFERROR(SUMIF(Consumo_Joists!$A:$A,$A135,Consumo_Joists!$P:$P),0)+IFERROR(SUMIF(Consumo_Quadrantes!$A:$A,$A135,Consumo_Quadrantes!$F:$F),0))</f>
        <v>0</v>
      </c>
      <c r="P135" s="76">
        <v>0</v>
      </c>
      <c r="Q135" s="76"/>
      <c r="R135" s="76"/>
      <c r="S135" s="3">
        <f t="shared" si="50"/>
        <v>0</v>
      </c>
      <c r="T135" s="1" t="str">
        <f t="shared" si="51"/>
        <v>Crítico</v>
      </c>
      <c r="U135" s="1" t="s">
        <v>498</v>
      </c>
      <c r="V135" s="1" t="s">
        <v>80</v>
      </c>
      <c r="W135" s="1" t="s">
        <v>499</v>
      </c>
      <c r="X135" s="2">
        <f t="shared" si="52"/>
        <v>2</v>
      </c>
      <c r="Y135" s="1" t="str">
        <f t="shared" si="53"/>
        <v>Enviar se houver espaço</v>
      </c>
      <c r="Z135" s="1" t="str">
        <f t="shared" si="54"/>
        <v>OK</v>
      </c>
      <c r="AA135" s="11">
        <f t="shared" si="55"/>
        <v>0.6</v>
      </c>
      <c r="AB135" s="11">
        <f t="shared" si="56"/>
        <v>0.6</v>
      </c>
      <c r="AC135" s="1"/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76">
        <v>0</v>
      </c>
      <c r="AJ135" s="76">
        <f t="shared" si="57"/>
        <v>0</v>
      </c>
      <c r="AK135" s="1">
        <v>0</v>
      </c>
      <c r="AL135" s="1">
        <v>0</v>
      </c>
      <c r="AM135" s="1" t="str">
        <f t="shared" si="58"/>
        <v/>
      </c>
      <c r="AN135" s="1">
        <f t="shared" si="59"/>
        <v>0</v>
      </c>
      <c r="AO135" s="1">
        <v>0</v>
      </c>
      <c r="AP135" s="61">
        <f t="shared" si="60"/>
        <v>0</v>
      </c>
      <c r="AQ135" s="61">
        <v>0</v>
      </c>
      <c r="AR135" s="76">
        <v>0</v>
      </c>
      <c r="AS135" s="76">
        <f t="shared" si="61"/>
        <v>0</v>
      </c>
      <c r="AT135" s="69" t="str">
        <f t="shared" si="62"/>
        <v>OK</v>
      </c>
      <c r="AU135" s="77">
        <f t="shared" si="63"/>
        <v>3</v>
      </c>
      <c r="AV135" s="61" t="str">
        <f t="shared" si="64"/>
        <v>Sem mapa/sem consumo automático</v>
      </c>
      <c r="AW135" s="70"/>
      <c r="AX135" s="70">
        <v>0</v>
      </c>
      <c r="AY135" s="71" t="str">
        <f t="shared" si="65"/>
        <v>NÃO MAPEADO</v>
      </c>
      <c r="AZ135" s="70"/>
      <c r="BA135" s="71" t="str">
        <f t="shared" si="66"/>
        <v/>
      </c>
      <c r="BB135" s="70" t="str">
        <f t="shared" si="67"/>
        <v>Verificar cadastro</v>
      </c>
      <c r="BC135" s="78">
        <v>0</v>
      </c>
      <c r="BD135" s="78">
        <f t="shared" si="68"/>
        <v>0</v>
      </c>
      <c r="BE135" s="78">
        <v>0</v>
      </c>
      <c r="BF135">
        <v>0</v>
      </c>
      <c r="BG135">
        <v>0</v>
      </c>
      <c r="BH135">
        <v>0</v>
      </c>
      <c r="BJ135">
        <v>0</v>
      </c>
      <c r="BK135" s="103"/>
    </row>
    <row r="136" spans="1:63" ht="30" x14ac:dyDescent="0.25">
      <c r="A136" s="8" t="s">
        <v>325</v>
      </c>
      <c r="B136" s="8">
        <v>85.62</v>
      </c>
      <c r="C136" s="8">
        <v>6678.35</v>
      </c>
      <c r="D136" s="8">
        <v>11700</v>
      </c>
      <c r="E136" s="8" t="s">
        <v>322</v>
      </c>
      <c r="F136" s="8" t="s">
        <v>323</v>
      </c>
      <c r="G136" s="8" t="s">
        <v>325</v>
      </c>
      <c r="H136" s="8">
        <v>78</v>
      </c>
      <c r="I136" s="9">
        <v>0</v>
      </c>
      <c r="J136" s="10">
        <f>REMESSAS!W137</f>
        <v>0</v>
      </c>
      <c r="K136" s="11">
        <f t="shared" si="47"/>
        <v>78</v>
      </c>
      <c r="L136" s="11">
        <f t="shared" si="48"/>
        <v>0</v>
      </c>
      <c r="M136" s="11">
        <f t="shared" si="49"/>
        <v>-78</v>
      </c>
      <c r="N136" s="11">
        <v>0</v>
      </c>
      <c r="O136" s="76">
        <f>IF($A136="","",IFERROR(SUMIF(Consumo_Joists!$A:$A,$A136,Consumo_Joists!$P:$P),0)+IFERROR(SUMIF(Consumo_Quadrantes!$A:$A,$A136,Consumo_Quadrantes!$F:$F),0))</f>
        <v>0</v>
      </c>
      <c r="P136" s="76">
        <v>0</v>
      </c>
      <c r="Q136" s="76"/>
      <c r="R136" s="76"/>
      <c r="S136" s="3">
        <f t="shared" si="50"/>
        <v>0</v>
      </c>
      <c r="T136" s="1" t="str">
        <f t="shared" si="51"/>
        <v>Crítico</v>
      </c>
      <c r="U136" s="1" t="s">
        <v>498</v>
      </c>
      <c r="V136" s="1" t="s">
        <v>80</v>
      </c>
      <c r="W136" s="1" t="s">
        <v>499</v>
      </c>
      <c r="X136" s="2">
        <f t="shared" si="52"/>
        <v>39</v>
      </c>
      <c r="Y136" s="1" t="str">
        <f t="shared" si="53"/>
        <v>Enviar se houver espaço</v>
      </c>
      <c r="Z136" s="1" t="str">
        <f t="shared" si="54"/>
        <v>OK</v>
      </c>
      <c r="AA136" s="11">
        <f t="shared" si="55"/>
        <v>15.6</v>
      </c>
      <c r="AB136" s="11">
        <f t="shared" si="56"/>
        <v>15.6</v>
      </c>
      <c r="AC136" s="1"/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76">
        <v>0</v>
      </c>
      <c r="AJ136" s="76">
        <f t="shared" si="57"/>
        <v>0</v>
      </c>
      <c r="AK136" s="1">
        <v>0</v>
      </c>
      <c r="AL136" s="1">
        <v>0</v>
      </c>
      <c r="AM136" s="1" t="str">
        <f t="shared" si="58"/>
        <v/>
      </c>
      <c r="AN136" s="1">
        <f t="shared" si="59"/>
        <v>0</v>
      </c>
      <c r="AO136" s="1">
        <v>0</v>
      </c>
      <c r="AP136" s="61">
        <f t="shared" si="60"/>
        <v>0</v>
      </c>
      <c r="AQ136" s="61">
        <v>0</v>
      </c>
      <c r="AR136" s="76">
        <v>0</v>
      </c>
      <c r="AS136" s="76">
        <f t="shared" si="61"/>
        <v>0</v>
      </c>
      <c r="AT136" s="69" t="str">
        <f t="shared" si="62"/>
        <v>OK</v>
      </c>
      <c r="AU136" s="77">
        <f t="shared" si="63"/>
        <v>78</v>
      </c>
      <c r="AV136" s="61" t="str">
        <f t="shared" si="64"/>
        <v>Sem mapa/sem consumo automático</v>
      </c>
      <c r="AW136" s="70"/>
      <c r="AX136" s="70">
        <v>0</v>
      </c>
      <c r="AY136" s="71" t="str">
        <f t="shared" si="65"/>
        <v>NÃO MAPEADO</v>
      </c>
      <c r="AZ136" s="70"/>
      <c r="BA136" s="71" t="str">
        <f t="shared" si="66"/>
        <v/>
      </c>
      <c r="BB136" s="70" t="str">
        <f t="shared" si="67"/>
        <v>Verificar cadastro</v>
      </c>
      <c r="BC136" s="78">
        <v>0</v>
      </c>
      <c r="BD136" s="78">
        <f t="shared" si="68"/>
        <v>0</v>
      </c>
      <c r="BE136" s="78">
        <v>0</v>
      </c>
      <c r="BF136">
        <v>0</v>
      </c>
      <c r="BG136">
        <v>0</v>
      </c>
      <c r="BH136">
        <v>0</v>
      </c>
      <c r="BJ136">
        <v>0</v>
      </c>
      <c r="BK136" s="103"/>
    </row>
    <row r="137" spans="1:63" ht="30" x14ac:dyDescent="0.25">
      <c r="A137" s="8" t="s">
        <v>327</v>
      </c>
      <c r="B137" s="8">
        <v>143.06</v>
      </c>
      <c r="C137" s="8">
        <v>9012.57</v>
      </c>
      <c r="D137" s="8">
        <v>16200</v>
      </c>
      <c r="E137" s="8" t="s">
        <v>326</v>
      </c>
      <c r="F137" s="8" t="s">
        <v>323</v>
      </c>
      <c r="G137" s="8" t="s">
        <v>327</v>
      </c>
      <c r="H137" s="8">
        <v>63</v>
      </c>
      <c r="I137" s="12">
        <v>0</v>
      </c>
      <c r="J137" s="10">
        <f>REMESSAS!W138</f>
        <v>0</v>
      </c>
      <c r="K137" s="11">
        <f t="shared" si="47"/>
        <v>63</v>
      </c>
      <c r="L137" s="11">
        <f t="shared" si="48"/>
        <v>0</v>
      </c>
      <c r="M137" s="11">
        <f t="shared" si="49"/>
        <v>-63</v>
      </c>
      <c r="N137" s="11">
        <v>0</v>
      </c>
      <c r="O137" s="76">
        <f>IF($A137="","",IFERROR(SUMIF(Consumo_Joists!$A:$A,$A137,Consumo_Joists!$P:$P),0)+IFERROR(SUMIF(Consumo_Quadrantes!$A:$A,$A137,Consumo_Quadrantes!$F:$F),0))</f>
        <v>0</v>
      </c>
      <c r="P137" s="76">
        <v>0</v>
      </c>
      <c r="Q137" s="76"/>
      <c r="R137" s="76"/>
      <c r="S137" s="3">
        <f t="shared" si="50"/>
        <v>0</v>
      </c>
      <c r="T137" s="1" t="str">
        <f t="shared" si="51"/>
        <v>Crítico</v>
      </c>
      <c r="U137" s="1" t="s">
        <v>498</v>
      </c>
      <c r="V137" s="1" t="s">
        <v>80</v>
      </c>
      <c r="W137" s="1" t="s">
        <v>499</v>
      </c>
      <c r="X137" s="2">
        <f t="shared" si="52"/>
        <v>32</v>
      </c>
      <c r="Y137" s="1" t="str">
        <f t="shared" si="53"/>
        <v>Enviar se houver espaço</v>
      </c>
      <c r="Z137" s="1" t="str">
        <f t="shared" si="54"/>
        <v>OK</v>
      </c>
      <c r="AA137" s="11">
        <f t="shared" si="55"/>
        <v>12.6</v>
      </c>
      <c r="AB137" s="11">
        <f t="shared" si="56"/>
        <v>12.6</v>
      </c>
      <c r="AC137" s="1"/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76">
        <v>0</v>
      </c>
      <c r="AJ137" s="76">
        <f t="shared" si="57"/>
        <v>0</v>
      </c>
      <c r="AK137" s="1">
        <v>0</v>
      </c>
      <c r="AL137" s="1">
        <v>0</v>
      </c>
      <c r="AM137" s="1" t="str">
        <f t="shared" si="58"/>
        <v/>
      </c>
      <c r="AN137" s="1">
        <f t="shared" si="59"/>
        <v>0</v>
      </c>
      <c r="AO137" s="1">
        <v>0</v>
      </c>
      <c r="AP137" s="61">
        <f t="shared" si="60"/>
        <v>0</v>
      </c>
      <c r="AQ137" s="61">
        <v>0</v>
      </c>
      <c r="AR137" s="76">
        <v>0</v>
      </c>
      <c r="AS137" s="76">
        <f t="shared" si="61"/>
        <v>0</v>
      </c>
      <c r="AT137" s="69" t="str">
        <f t="shared" si="62"/>
        <v>OK</v>
      </c>
      <c r="AU137" s="77">
        <f t="shared" si="63"/>
        <v>63</v>
      </c>
      <c r="AV137" s="61" t="str">
        <f t="shared" si="64"/>
        <v>Sem mapa/sem consumo automático</v>
      </c>
      <c r="AW137" s="70"/>
      <c r="AX137" s="70">
        <v>0</v>
      </c>
      <c r="AY137" s="71" t="str">
        <f t="shared" si="65"/>
        <v>NÃO MAPEADO</v>
      </c>
      <c r="AZ137" s="70"/>
      <c r="BA137" s="71" t="str">
        <f t="shared" si="66"/>
        <v/>
      </c>
      <c r="BB137" s="70" t="str">
        <f t="shared" si="67"/>
        <v>Verificar cadastro</v>
      </c>
      <c r="BC137" s="78">
        <v>0</v>
      </c>
      <c r="BD137" s="78">
        <f t="shared" si="68"/>
        <v>0</v>
      </c>
      <c r="BE137" s="78">
        <v>0</v>
      </c>
      <c r="BF137">
        <v>0</v>
      </c>
      <c r="BG137">
        <v>0</v>
      </c>
      <c r="BH137">
        <v>0</v>
      </c>
      <c r="BJ137">
        <v>0</v>
      </c>
      <c r="BK137" s="103"/>
    </row>
    <row r="138" spans="1:63" ht="30" x14ac:dyDescent="0.25">
      <c r="A138" s="8" t="s">
        <v>328</v>
      </c>
      <c r="B138" s="8">
        <v>120.42</v>
      </c>
      <c r="C138" s="8">
        <v>722.5</v>
      </c>
      <c r="D138" s="8">
        <v>16455</v>
      </c>
      <c r="E138" s="8" t="s">
        <v>322</v>
      </c>
      <c r="F138" s="8" t="s">
        <v>323</v>
      </c>
      <c r="G138" s="8" t="s">
        <v>328</v>
      </c>
      <c r="H138" s="8">
        <v>6</v>
      </c>
      <c r="I138" s="9">
        <v>0</v>
      </c>
      <c r="J138" s="10">
        <f>REMESSAS!W139</f>
        <v>0</v>
      </c>
      <c r="K138" s="11">
        <f t="shared" si="47"/>
        <v>6</v>
      </c>
      <c r="L138" s="11">
        <f t="shared" si="48"/>
        <v>0</v>
      </c>
      <c r="M138" s="11">
        <f t="shared" si="49"/>
        <v>-6</v>
      </c>
      <c r="N138" s="11">
        <v>0</v>
      </c>
      <c r="O138" s="76">
        <f>IF($A138="","",IFERROR(SUMIF(Consumo_Joists!$A:$A,$A138,Consumo_Joists!$P:$P),0)+IFERROR(SUMIF(Consumo_Quadrantes!$A:$A,$A138,Consumo_Quadrantes!$F:$F),0))</f>
        <v>0</v>
      </c>
      <c r="P138" s="76">
        <v>0</v>
      </c>
      <c r="Q138" s="76"/>
      <c r="R138" s="76"/>
      <c r="S138" s="3">
        <f t="shared" si="50"/>
        <v>0</v>
      </c>
      <c r="T138" s="1" t="str">
        <f t="shared" si="51"/>
        <v>Crítico</v>
      </c>
      <c r="U138" s="1" t="s">
        <v>498</v>
      </c>
      <c r="V138" s="1" t="s">
        <v>80</v>
      </c>
      <c r="W138" s="1" t="s">
        <v>499</v>
      </c>
      <c r="X138" s="2">
        <f t="shared" si="52"/>
        <v>3</v>
      </c>
      <c r="Y138" s="1" t="str">
        <f t="shared" si="53"/>
        <v>Enviar se houver espaço</v>
      </c>
      <c r="Z138" s="1" t="str">
        <f t="shared" si="54"/>
        <v>OK</v>
      </c>
      <c r="AA138" s="11">
        <f t="shared" si="55"/>
        <v>1.2</v>
      </c>
      <c r="AB138" s="11">
        <f t="shared" si="56"/>
        <v>1.2</v>
      </c>
      <c r="AC138" s="1"/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76">
        <v>0</v>
      </c>
      <c r="AJ138" s="76">
        <f t="shared" si="57"/>
        <v>0</v>
      </c>
      <c r="AK138" s="1">
        <v>0</v>
      </c>
      <c r="AL138" s="1">
        <v>0</v>
      </c>
      <c r="AM138" s="1" t="str">
        <f t="shared" si="58"/>
        <v/>
      </c>
      <c r="AN138" s="1">
        <f t="shared" si="59"/>
        <v>0</v>
      </c>
      <c r="AO138" s="1">
        <v>0</v>
      </c>
      <c r="AP138" s="61">
        <f t="shared" si="60"/>
        <v>0</v>
      </c>
      <c r="AQ138" s="61">
        <v>0</v>
      </c>
      <c r="AR138" s="76">
        <v>0</v>
      </c>
      <c r="AS138" s="76">
        <f t="shared" si="61"/>
        <v>0</v>
      </c>
      <c r="AT138" s="69" t="str">
        <f t="shared" si="62"/>
        <v>OK</v>
      </c>
      <c r="AU138" s="77">
        <f t="shared" si="63"/>
        <v>6</v>
      </c>
      <c r="AV138" s="61" t="str">
        <f t="shared" si="64"/>
        <v>Sem mapa/sem consumo automático</v>
      </c>
      <c r="AW138" s="70"/>
      <c r="AX138" s="70">
        <v>0</v>
      </c>
      <c r="AY138" s="71" t="str">
        <f t="shared" si="65"/>
        <v>NÃO MAPEADO</v>
      </c>
      <c r="AZ138" s="70"/>
      <c r="BA138" s="71" t="str">
        <f t="shared" si="66"/>
        <v/>
      </c>
      <c r="BB138" s="70" t="str">
        <f t="shared" si="67"/>
        <v>Verificar cadastro</v>
      </c>
      <c r="BC138" s="78">
        <v>0</v>
      </c>
      <c r="BD138" s="78">
        <f t="shared" si="68"/>
        <v>0</v>
      </c>
      <c r="BE138" s="78">
        <v>0</v>
      </c>
      <c r="BF138">
        <v>0</v>
      </c>
      <c r="BG138">
        <v>0</v>
      </c>
      <c r="BH138">
        <v>0</v>
      </c>
      <c r="BJ138">
        <v>0</v>
      </c>
      <c r="BK138" s="103"/>
    </row>
    <row r="139" spans="1:63" ht="30" x14ac:dyDescent="0.25">
      <c r="A139" s="8" t="s">
        <v>329</v>
      </c>
      <c r="B139" s="8">
        <v>119.13</v>
      </c>
      <c r="C139" s="8">
        <v>1072.1300000000001</v>
      </c>
      <c r="D139" s="8">
        <v>13490</v>
      </c>
      <c r="E139" s="8" t="s">
        <v>326</v>
      </c>
      <c r="F139" s="8" t="s">
        <v>323</v>
      </c>
      <c r="G139" s="8" t="s">
        <v>329</v>
      </c>
      <c r="H139" s="8">
        <v>9</v>
      </c>
      <c r="I139" s="12">
        <v>0</v>
      </c>
      <c r="J139" s="10">
        <f>REMESSAS!W140</f>
        <v>0</v>
      </c>
      <c r="K139" s="11">
        <f t="shared" si="47"/>
        <v>9</v>
      </c>
      <c r="L139" s="11">
        <f t="shared" si="48"/>
        <v>0</v>
      </c>
      <c r="M139" s="11">
        <f t="shared" si="49"/>
        <v>-9</v>
      </c>
      <c r="N139" s="11">
        <v>0</v>
      </c>
      <c r="O139" s="76">
        <f>IF($A139="","",IFERROR(SUMIF(Consumo_Joists!$A:$A,$A139,Consumo_Joists!$P:$P),0)+IFERROR(SUMIF(Consumo_Quadrantes!$A:$A,$A139,Consumo_Quadrantes!$F:$F),0))</f>
        <v>0</v>
      </c>
      <c r="P139" s="76">
        <v>0</v>
      </c>
      <c r="Q139" s="76"/>
      <c r="R139" s="76"/>
      <c r="S139" s="3">
        <f t="shared" si="50"/>
        <v>0</v>
      </c>
      <c r="T139" s="1" t="str">
        <f t="shared" si="51"/>
        <v>Crítico</v>
      </c>
      <c r="U139" s="1" t="s">
        <v>498</v>
      </c>
      <c r="V139" s="1" t="s">
        <v>80</v>
      </c>
      <c r="W139" s="1" t="s">
        <v>499</v>
      </c>
      <c r="X139" s="2">
        <f t="shared" si="52"/>
        <v>5</v>
      </c>
      <c r="Y139" s="1" t="str">
        <f t="shared" si="53"/>
        <v>Enviar se houver espaço</v>
      </c>
      <c r="Z139" s="1" t="str">
        <f t="shared" si="54"/>
        <v>OK</v>
      </c>
      <c r="AA139" s="11">
        <f t="shared" si="55"/>
        <v>1.8</v>
      </c>
      <c r="AB139" s="11">
        <f t="shared" si="56"/>
        <v>1.8</v>
      </c>
      <c r="AC139" s="1"/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76">
        <v>0</v>
      </c>
      <c r="AJ139" s="76">
        <f t="shared" si="57"/>
        <v>0</v>
      </c>
      <c r="AK139" s="1">
        <v>0</v>
      </c>
      <c r="AL139" s="1">
        <v>0</v>
      </c>
      <c r="AM139" s="1" t="str">
        <f t="shared" si="58"/>
        <v/>
      </c>
      <c r="AN139" s="1">
        <f t="shared" si="59"/>
        <v>0</v>
      </c>
      <c r="AO139" s="1">
        <v>0</v>
      </c>
      <c r="AP139" s="61">
        <f t="shared" si="60"/>
        <v>0</v>
      </c>
      <c r="AQ139" s="61">
        <v>0</v>
      </c>
      <c r="AR139" s="76">
        <v>0</v>
      </c>
      <c r="AS139" s="76">
        <f t="shared" si="61"/>
        <v>0</v>
      </c>
      <c r="AT139" s="69" t="str">
        <f t="shared" si="62"/>
        <v>OK</v>
      </c>
      <c r="AU139" s="77">
        <f t="shared" si="63"/>
        <v>9</v>
      </c>
      <c r="AV139" s="61" t="str">
        <f t="shared" si="64"/>
        <v>Sem mapa/sem consumo automático</v>
      </c>
      <c r="AW139" s="70"/>
      <c r="AX139" s="70">
        <v>0</v>
      </c>
      <c r="AY139" s="71" t="str">
        <f t="shared" si="65"/>
        <v>NÃO MAPEADO</v>
      </c>
      <c r="AZ139" s="70"/>
      <c r="BA139" s="71" t="str">
        <f t="shared" si="66"/>
        <v/>
      </c>
      <c r="BB139" s="70" t="str">
        <f t="shared" si="67"/>
        <v>Verificar cadastro</v>
      </c>
      <c r="BC139" s="78">
        <v>0</v>
      </c>
      <c r="BD139" s="78">
        <f t="shared" si="68"/>
        <v>0</v>
      </c>
      <c r="BE139" s="78">
        <v>0</v>
      </c>
      <c r="BF139">
        <v>0</v>
      </c>
      <c r="BG139">
        <v>0</v>
      </c>
      <c r="BH139">
        <v>0</v>
      </c>
      <c r="BJ139">
        <v>0</v>
      </c>
      <c r="BK139" s="103"/>
    </row>
    <row r="140" spans="1:63" ht="30" x14ac:dyDescent="0.25">
      <c r="A140" s="8" t="s">
        <v>330</v>
      </c>
      <c r="B140" s="8">
        <v>109.77</v>
      </c>
      <c r="C140" s="8">
        <v>1317.23</v>
      </c>
      <c r="D140" s="8">
        <v>15000</v>
      </c>
      <c r="E140" s="8" t="s">
        <v>322</v>
      </c>
      <c r="F140" s="8" t="s">
        <v>323</v>
      </c>
      <c r="G140" s="8" t="s">
        <v>330</v>
      </c>
      <c r="H140" s="8">
        <v>12</v>
      </c>
      <c r="I140" s="9">
        <v>0</v>
      </c>
      <c r="J140" s="10">
        <f>REMESSAS!W141</f>
        <v>0</v>
      </c>
      <c r="K140" s="11">
        <f t="shared" si="47"/>
        <v>12</v>
      </c>
      <c r="L140" s="11">
        <f t="shared" si="48"/>
        <v>0</v>
      </c>
      <c r="M140" s="11">
        <f t="shared" si="49"/>
        <v>-12</v>
      </c>
      <c r="N140" s="11">
        <v>0</v>
      </c>
      <c r="O140" s="76">
        <f>IF($A140="","",IFERROR(SUMIF(Consumo_Joists!$A:$A,$A140,Consumo_Joists!$P:$P),0)+IFERROR(SUMIF(Consumo_Quadrantes!$A:$A,$A140,Consumo_Quadrantes!$F:$F),0))</f>
        <v>0</v>
      </c>
      <c r="P140" s="76">
        <v>0</v>
      </c>
      <c r="Q140" s="76"/>
      <c r="R140" s="76"/>
      <c r="S140" s="3">
        <f t="shared" si="50"/>
        <v>0</v>
      </c>
      <c r="T140" s="1" t="str">
        <f t="shared" si="51"/>
        <v>Crítico</v>
      </c>
      <c r="U140" s="1" t="s">
        <v>498</v>
      </c>
      <c r="V140" s="1" t="s">
        <v>80</v>
      </c>
      <c r="W140" s="1" t="s">
        <v>499</v>
      </c>
      <c r="X140" s="2">
        <f t="shared" si="52"/>
        <v>6</v>
      </c>
      <c r="Y140" s="1" t="str">
        <f t="shared" si="53"/>
        <v>Enviar se houver espaço</v>
      </c>
      <c r="Z140" s="1" t="str">
        <f t="shared" si="54"/>
        <v>OK</v>
      </c>
      <c r="AA140" s="11">
        <f t="shared" si="55"/>
        <v>2.4</v>
      </c>
      <c r="AB140" s="11">
        <f t="shared" si="56"/>
        <v>2.4</v>
      </c>
      <c r="AC140" s="1"/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76">
        <v>0</v>
      </c>
      <c r="AJ140" s="76">
        <f t="shared" si="57"/>
        <v>0</v>
      </c>
      <c r="AK140" s="1">
        <v>0</v>
      </c>
      <c r="AL140" s="1">
        <v>0</v>
      </c>
      <c r="AM140" s="1" t="str">
        <f t="shared" si="58"/>
        <v/>
      </c>
      <c r="AN140" s="1">
        <f t="shared" si="59"/>
        <v>0</v>
      </c>
      <c r="AO140" s="1">
        <v>0</v>
      </c>
      <c r="AP140" s="61">
        <f t="shared" si="60"/>
        <v>0</v>
      </c>
      <c r="AQ140" s="61">
        <v>0</v>
      </c>
      <c r="AR140" s="76">
        <v>0</v>
      </c>
      <c r="AS140" s="76">
        <f t="shared" si="61"/>
        <v>0</v>
      </c>
      <c r="AT140" s="69" t="str">
        <f t="shared" si="62"/>
        <v>OK</v>
      </c>
      <c r="AU140" s="77">
        <f t="shared" si="63"/>
        <v>12</v>
      </c>
      <c r="AV140" s="61" t="str">
        <f t="shared" si="64"/>
        <v>Sem mapa/sem consumo automático</v>
      </c>
      <c r="AW140" s="70"/>
      <c r="AX140" s="70">
        <v>0</v>
      </c>
      <c r="AY140" s="71" t="str">
        <f t="shared" si="65"/>
        <v>NÃO MAPEADO</v>
      </c>
      <c r="AZ140" s="70"/>
      <c r="BA140" s="71" t="str">
        <f t="shared" si="66"/>
        <v/>
      </c>
      <c r="BB140" s="70" t="str">
        <f t="shared" si="67"/>
        <v>Verificar cadastro</v>
      </c>
      <c r="BC140" s="78">
        <v>0</v>
      </c>
      <c r="BD140" s="78">
        <f t="shared" si="68"/>
        <v>0</v>
      </c>
      <c r="BE140" s="78">
        <v>0</v>
      </c>
      <c r="BF140">
        <v>0</v>
      </c>
      <c r="BG140">
        <v>0</v>
      </c>
      <c r="BH140">
        <v>0</v>
      </c>
      <c r="BJ140">
        <v>0</v>
      </c>
      <c r="BK140" s="103"/>
    </row>
    <row r="141" spans="1:63" ht="30" x14ac:dyDescent="0.25">
      <c r="A141" s="8" t="s">
        <v>331</v>
      </c>
      <c r="B141" s="8">
        <v>120.49</v>
      </c>
      <c r="C141" s="8">
        <v>1445.93</v>
      </c>
      <c r="D141" s="8">
        <v>13645</v>
      </c>
      <c r="E141" s="8" t="s">
        <v>326</v>
      </c>
      <c r="F141" s="8" t="s">
        <v>323</v>
      </c>
      <c r="G141" s="8" t="s">
        <v>331</v>
      </c>
      <c r="H141" s="8">
        <v>12</v>
      </c>
      <c r="I141" s="12">
        <v>0</v>
      </c>
      <c r="J141" s="10">
        <f>REMESSAS!W142</f>
        <v>0</v>
      </c>
      <c r="K141" s="11">
        <f t="shared" si="47"/>
        <v>12</v>
      </c>
      <c r="L141" s="11">
        <f t="shared" si="48"/>
        <v>0</v>
      </c>
      <c r="M141" s="11">
        <f t="shared" si="49"/>
        <v>-12</v>
      </c>
      <c r="N141" s="11">
        <v>0</v>
      </c>
      <c r="O141" s="76">
        <f>IF($A141="","",IFERROR(SUMIF(Consumo_Joists!$A:$A,$A141,Consumo_Joists!$P:$P),0)+IFERROR(SUMIF(Consumo_Quadrantes!$A:$A,$A141,Consumo_Quadrantes!$F:$F),0))</f>
        <v>0</v>
      </c>
      <c r="P141" s="76">
        <v>0</v>
      </c>
      <c r="Q141" s="76"/>
      <c r="R141" s="76"/>
      <c r="S141" s="3">
        <f t="shared" si="50"/>
        <v>0</v>
      </c>
      <c r="T141" s="1" t="str">
        <f t="shared" si="51"/>
        <v>Crítico</v>
      </c>
      <c r="U141" s="1" t="s">
        <v>498</v>
      </c>
      <c r="V141" s="1" t="s">
        <v>80</v>
      </c>
      <c r="W141" s="1" t="s">
        <v>499</v>
      </c>
      <c r="X141" s="2">
        <f t="shared" si="52"/>
        <v>6</v>
      </c>
      <c r="Y141" s="1" t="str">
        <f t="shared" si="53"/>
        <v>Enviar se houver espaço</v>
      </c>
      <c r="Z141" s="1" t="str">
        <f t="shared" si="54"/>
        <v>OK</v>
      </c>
      <c r="AA141" s="11">
        <f t="shared" si="55"/>
        <v>2.4</v>
      </c>
      <c r="AB141" s="11">
        <f t="shared" si="56"/>
        <v>2.4</v>
      </c>
      <c r="AC141" s="1"/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76">
        <v>0</v>
      </c>
      <c r="AJ141" s="76">
        <f t="shared" si="57"/>
        <v>0</v>
      </c>
      <c r="AK141" s="1">
        <v>0</v>
      </c>
      <c r="AL141" s="1">
        <v>0</v>
      </c>
      <c r="AM141" s="1" t="str">
        <f t="shared" si="58"/>
        <v/>
      </c>
      <c r="AN141" s="1">
        <f t="shared" si="59"/>
        <v>0</v>
      </c>
      <c r="AO141" s="1">
        <v>0</v>
      </c>
      <c r="AP141" s="61">
        <f t="shared" si="60"/>
        <v>0</v>
      </c>
      <c r="AQ141" s="61">
        <v>0</v>
      </c>
      <c r="AR141" s="76">
        <v>0</v>
      </c>
      <c r="AS141" s="76">
        <f t="shared" si="61"/>
        <v>0</v>
      </c>
      <c r="AT141" s="69" t="str">
        <f t="shared" si="62"/>
        <v>OK</v>
      </c>
      <c r="AU141" s="77">
        <f t="shared" si="63"/>
        <v>12</v>
      </c>
      <c r="AV141" s="61" t="str">
        <f t="shared" si="64"/>
        <v>Sem mapa/sem consumo automático</v>
      </c>
      <c r="AW141" s="70"/>
      <c r="AX141" s="70">
        <v>0</v>
      </c>
      <c r="AY141" s="71" t="str">
        <f t="shared" si="65"/>
        <v>NÃO MAPEADO</v>
      </c>
      <c r="AZ141" s="70"/>
      <c r="BA141" s="71" t="str">
        <f t="shared" si="66"/>
        <v/>
      </c>
      <c r="BB141" s="70" t="str">
        <f t="shared" si="67"/>
        <v>Verificar cadastro</v>
      </c>
      <c r="BC141" s="78">
        <v>0</v>
      </c>
      <c r="BD141" s="78">
        <f t="shared" si="68"/>
        <v>0</v>
      </c>
      <c r="BE141" s="78">
        <v>0</v>
      </c>
      <c r="BF141">
        <v>0</v>
      </c>
      <c r="BG141">
        <v>0</v>
      </c>
      <c r="BH141">
        <v>0</v>
      </c>
      <c r="BJ141">
        <v>0</v>
      </c>
      <c r="BK141" s="103"/>
    </row>
    <row r="142" spans="1:63" ht="30" x14ac:dyDescent="0.25">
      <c r="A142" s="8" t="s">
        <v>332</v>
      </c>
      <c r="B142" s="8">
        <v>119.92</v>
      </c>
      <c r="C142" s="8">
        <v>359.76</v>
      </c>
      <c r="D142" s="8">
        <v>13580</v>
      </c>
      <c r="E142" s="8" t="s">
        <v>326</v>
      </c>
      <c r="F142" s="8" t="s">
        <v>323</v>
      </c>
      <c r="G142" s="8" t="s">
        <v>332</v>
      </c>
      <c r="H142" s="8">
        <v>3</v>
      </c>
      <c r="I142" s="9">
        <v>0</v>
      </c>
      <c r="J142" s="10">
        <f>REMESSAS!W143</f>
        <v>0</v>
      </c>
      <c r="K142" s="11">
        <f t="shared" si="47"/>
        <v>3</v>
      </c>
      <c r="L142" s="11">
        <f t="shared" si="48"/>
        <v>0</v>
      </c>
      <c r="M142" s="11">
        <f t="shared" si="49"/>
        <v>-3</v>
      </c>
      <c r="N142" s="11">
        <v>0</v>
      </c>
      <c r="O142" s="76">
        <f>IF($A142="","",IFERROR(SUMIF(Consumo_Joists!$A:$A,$A142,Consumo_Joists!$P:$P),0)+IFERROR(SUMIF(Consumo_Quadrantes!$A:$A,$A142,Consumo_Quadrantes!$F:$F),0))</f>
        <v>0</v>
      </c>
      <c r="P142" s="76">
        <v>0</v>
      </c>
      <c r="Q142" s="76"/>
      <c r="R142" s="76"/>
      <c r="S142" s="3">
        <f t="shared" si="50"/>
        <v>0</v>
      </c>
      <c r="T142" s="1" t="str">
        <f t="shared" si="51"/>
        <v>Crítico</v>
      </c>
      <c r="U142" s="1" t="s">
        <v>498</v>
      </c>
      <c r="V142" s="1" t="s">
        <v>80</v>
      </c>
      <c r="W142" s="1" t="s">
        <v>499</v>
      </c>
      <c r="X142" s="2">
        <f t="shared" si="52"/>
        <v>2</v>
      </c>
      <c r="Y142" s="1" t="str">
        <f t="shared" si="53"/>
        <v>Enviar se houver espaço</v>
      </c>
      <c r="Z142" s="1" t="str">
        <f t="shared" si="54"/>
        <v>OK</v>
      </c>
      <c r="AA142" s="11">
        <f t="shared" si="55"/>
        <v>0.6</v>
      </c>
      <c r="AB142" s="11">
        <f t="shared" si="56"/>
        <v>0.6</v>
      </c>
      <c r="AC142" s="1"/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76">
        <v>0</v>
      </c>
      <c r="AJ142" s="76">
        <f t="shared" si="57"/>
        <v>0</v>
      </c>
      <c r="AK142" s="1">
        <v>0</v>
      </c>
      <c r="AL142" s="1">
        <v>0</v>
      </c>
      <c r="AM142" s="1" t="str">
        <f t="shared" si="58"/>
        <v/>
      </c>
      <c r="AN142" s="1">
        <f t="shared" si="59"/>
        <v>0</v>
      </c>
      <c r="AO142" s="1">
        <v>0</v>
      </c>
      <c r="AP142" s="61">
        <f t="shared" si="60"/>
        <v>0</v>
      </c>
      <c r="AQ142" s="61">
        <v>0</v>
      </c>
      <c r="AR142" s="76">
        <v>0</v>
      </c>
      <c r="AS142" s="76">
        <f t="shared" si="61"/>
        <v>0</v>
      </c>
      <c r="AT142" s="69" t="str">
        <f t="shared" si="62"/>
        <v>OK</v>
      </c>
      <c r="AU142" s="77">
        <f t="shared" si="63"/>
        <v>3</v>
      </c>
      <c r="AV142" s="61" t="str">
        <f t="shared" si="64"/>
        <v>Sem mapa/sem consumo automático</v>
      </c>
      <c r="AW142" s="70"/>
      <c r="AX142" s="70">
        <v>0</v>
      </c>
      <c r="AY142" s="71" t="str">
        <f t="shared" si="65"/>
        <v>NÃO MAPEADO</v>
      </c>
      <c r="AZ142" s="70"/>
      <c r="BA142" s="71" t="str">
        <f t="shared" si="66"/>
        <v/>
      </c>
      <c r="BB142" s="70" t="str">
        <f t="shared" si="67"/>
        <v>Verificar cadastro</v>
      </c>
      <c r="BC142" s="78">
        <v>0</v>
      </c>
      <c r="BD142" s="78">
        <f t="shared" si="68"/>
        <v>0</v>
      </c>
      <c r="BE142" s="78">
        <v>0</v>
      </c>
      <c r="BF142">
        <v>0</v>
      </c>
      <c r="BG142">
        <v>0</v>
      </c>
      <c r="BH142">
        <v>0</v>
      </c>
      <c r="BJ142">
        <v>0</v>
      </c>
      <c r="BK142" s="103"/>
    </row>
    <row r="143" spans="1:63" ht="30" x14ac:dyDescent="0.25">
      <c r="A143" s="8" t="s">
        <v>333</v>
      </c>
      <c r="B143" s="8">
        <v>109.29</v>
      </c>
      <c r="C143" s="8">
        <v>327.88</v>
      </c>
      <c r="D143" s="8">
        <v>14935</v>
      </c>
      <c r="E143" s="8" t="s">
        <v>322</v>
      </c>
      <c r="F143" s="8" t="s">
        <v>323</v>
      </c>
      <c r="G143" s="8" t="s">
        <v>333</v>
      </c>
      <c r="H143" s="8">
        <v>3</v>
      </c>
      <c r="I143" s="12">
        <v>0</v>
      </c>
      <c r="J143" s="10">
        <f>REMESSAS!W144</f>
        <v>0</v>
      </c>
      <c r="K143" s="11">
        <f t="shared" si="47"/>
        <v>3</v>
      </c>
      <c r="L143" s="11">
        <f t="shared" si="48"/>
        <v>0</v>
      </c>
      <c r="M143" s="11">
        <f t="shared" si="49"/>
        <v>-3</v>
      </c>
      <c r="N143" s="11">
        <v>0</v>
      </c>
      <c r="O143" s="76">
        <f>IF($A143="","",IFERROR(SUMIF(Consumo_Joists!$A:$A,$A143,Consumo_Joists!$P:$P),0)+IFERROR(SUMIF(Consumo_Quadrantes!$A:$A,$A143,Consumo_Quadrantes!$F:$F),0))</f>
        <v>0</v>
      </c>
      <c r="P143" s="76">
        <v>0</v>
      </c>
      <c r="Q143" s="76"/>
      <c r="R143" s="76"/>
      <c r="S143" s="3">
        <f t="shared" si="50"/>
        <v>0</v>
      </c>
      <c r="T143" s="1" t="str">
        <f t="shared" si="51"/>
        <v>Crítico</v>
      </c>
      <c r="U143" s="1" t="s">
        <v>498</v>
      </c>
      <c r="V143" s="1" t="s">
        <v>80</v>
      </c>
      <c r="W143" s="1" t="s">
        <v>499</v>
      </c>
      <c r="X143" s="2">
        <f t="shared" si="52"/>
        <v>2</v>
      </c>
      <c r="Y143" s="1" t="str">
        <f t="shared" si="53"/>
        <v>Enviar se houver espaço</v>
      </c>
      <c r="Z143" s="1" t="str">
        <f t="shared" si="54"/>
        <v>OK</v>
      </c>
      <c r="AA143" s="11">
        <f t="shared" si="55"/>
        <v>0.6</v>
      </c>
      <c r="AB143" s="11">
        <f t="shared" si="56"/>
        <v>0.6</v>
      </c>
      <c r="AC143" s="1"/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76">
        <v>0</v>
      </c>
      <c r="AJ143" s="76">
        <f t="shared" si="57"/>
        <v>0</v>
      </c>
      <c r="AK143" s="1">
        <v>0</v>
      </c>
      <c r="AL143" s="1">
        <v>0</v>
      </c>
      <c r="AM143" s="1" t="str">
        <f t="shared" si="58"/>
        <v/>
      </c>
      <c r="AN143" s="1">
        <f t="shared" si="59"/>
        <v>0</v>
      </c>
      <c r="AO143" s="1">
        <v>0</v>
      </c>
      <c r="AP143" s="61">
        <f t="shared" si="60"/>
        <v>0</v>
      </c>
      <c r="AQ143" s="61">
        <v>0</v>
      </c>
      <c r="AR143" s="76">
        <v>0</v>
      </c>
      <c r="AS143" s="76">
        <f t="shared" si="61"/>
        <v>0</v>
      </c>
      <c r="AT143" s="69" t="str">
        <f t="shared" si="62"/>
        <v>OK</v>
      </c>
      <c r="AU143" s="77">
        <f t="shared" si="63"/>
        <v>3</v>
      </c>
      <c r="AV143" s="61" t="str">
        <f t="shared" si="64"/>
        <v>Sem mapa/sem consumo automático</v>
      </c>
      <c r="AW143" s="70"/>
      <c r="AX143" s="70">
        <v>0</v>
      </c>
      <c r="AY143" s="71" t="str">
        <f t="shared" si="65"/>
        <v>NÃO MAPEADO</v>
      </c>
      <c r="AZ143" s="70"/>
      <c r="BA143" s="71" t="str">
        <f t="shared" si="66"/>
        <v/>
      </c>
      <c r="BB143" s="70" t="str">
        <f t="shared" si="67"/>
        <v>Verificar cadastro</v>
      </c>
      <c r="BC143" s="78">
        <v>0</v>
      </c>
      <c r="BD143" s="78">
        <f t="shared" si="68"/>
        <v>0</v>
      </c>
      <c r="BE143" s="78">
        <v>0</v>
      </c>
      <c r="BF143">
        <v>0</v>
      </c>
      <c r="BG143">
        <v>0</v>
      </c>
      <c r="BH143">
        <v>0</v>
      </c>
      <c r="BJ143">
        <v>0</v>
      </c>
      <c r="BK143" s="103"/>
    </row>
    <row r="144" spans="1:63" ht="30" x14ac:dyDescent="0.25">
      <c r="A144" s="8" t="s">
        <v>334</v>
      </c>
      <c r="B144" s="8">
        <v>76.84</v>
      </c>
      <c r="C144" s="8">
        <v>230.51</v>
      </c>
      <c r="D144" s="8">
        <v>10500</v>
      </c>
      <c r="E144" s="8" t="s">
        <v>322</v>
      </c>
      <c r="F144" s="8" t="s">
        <v>323</v>
      </c>
      <c r="G144" s="8" t="s">
        <v>334</v>
      </c>
      <c r="H144" s="8">
        <v>3</v>
      </c>
      <c r="I144" s="9">
        <v>0</v>
      </c>
      <c r="J144" s="10">
        <f>REMESSAS!W145</f>
        <v>0</v>
      </c>
      <c r="K144" s="11">
        <f t="shared" si="47"/>
        <v>3</v>
      </c>
      <c r="L144" s="11">
        <f t="shared" si="48"/>
        <v>0</v>
      </c>
      <c r="M144" s="11">
        <f t="shared" si="49"/>
        <v>-3</v>
      </c>
      <c r="N144" s="11">
        <v>0</v>
      </c>
      <c r="O144" s="76">
        <f>IF($A144="","",IFERROR(SUMIF(Consumo_Joists!$A:$A,$A144,Consumo_Joists!$P:$P),0)+IFERROR(SUMIF(Consumo_Quadrantes!$A:$A,$A144,Consumo_Quadrantes!$F:$F),0))</f>
        <v>0</v>
      </c>
      <c r="P144" s="76">
        <v>0</v>
      </c>
      <c r="Q144" s="76"/>
      <c r="R144" s="76"/>
      <c r="S144" s="3">
        <f t="shared" si="50"/>
        <v>0</v>
      </c>
      <c r="T144" s="1" t="str">
        <f t="shared" si="51"/>
        <v>Crítico</v>
      </c>
      <c r="U144" s="1" t="s">
        <v>498</v>
      </c>
      <c r="V144" s="1" t="s">
        <v>80</v>
      </c>
      <c r="W144" s="1" t="s">
        <v>499</v>
      </c>
      <c r="X144" s="2">
        <f t="shared" si="52"/>
        <v>2</v>
      </c>
      <c r="Y144" s="1" t="str">
        <f t="shared" si="53"/>
        <v>Enviar se houver espaço</v>
      </c>
      <c r="Z144" s="1" t="str">
        <f t="shared" si="54"/>
        <v>OK</v>
      </c>
      <c r="AA144" s="11">
        <f t="shared" si="55"/>
        <v>0.6</v>
      </c>
      <c r="AB144" s="11">
        <f t="shared" si="56"/>
        <v>0.6</v>
      </c>
      <c r="AC144" s="1"/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76">
        <v>0</v>
      </c>
      <c r="AJ144" s="76">
        <f t="shared" si="57"/>
        <v>0</v>
      </c>
      <c r="AK144" s="1">
        <v>0</v>
      </c>
      <c r="AL144" s="1">
        <v>0</v>
      </c>
      <c r="AM144" s="1" t="str">
        <f t="shared" si="58"/>
        <v/>
      </c>
      <c r="AN144" s="1">
        <f t="shared" si="59"/>
        <v>0</v>
      </c>
      <c r="AO144" s="1">
        <v>0</v>
      </c>
      <c r="AP144" s="61">
        <f t="shared" si="60"/>
        <v>0</v>
      </c>
      <c r="AQ144" s="61">
        <v>0</v>
      </c>
      <c r="AR144" s="76">
        <v>0</v>
      </c>
      <c r="AS144" s="76">
        <f t="shared" si="61"/>
        <v>0</v>
      </c>
      <c r="AT144" s="69" t="str">
        <f t="shared" si="62"/>
        <v>OK</v>
      </c>
      <c r="AU144" s="77">
        <f t="shared" si="63"/>
        <v>3</v>
      </c>
      <c r="AV144" s="61" t="str">
        <f t="shared" si="64"/>
        <v>Sem mapa/sem consumo automático</v>
      </c>
      <c r="AW144" s="70"/>
      <c r="AX144" s="70">
        <v>0</v>
      </c>
      <c r="AY144" s="71" t="str">
        <f t="shared" si="65"/>
        <v>NÃO MAPEADO</v>
      </c>
      <c r="AZ144" s="70"/>
      <c r="BA144" s="71" t="str">
        <f t="shared" si="66"/>
        <v/>
      </c>
      <c r="BB144" s="70" t="str">
        <f t="shared" si="67"/>
        <v>Verificar cadastro</v>
      </c>
      <c r="BC144" s="78">
        <v>0</v>
      </c>
      <c r="BD144" s="78">
        <f t="shared" si="68"/>
        <v>0</v>
      </c>
      <c r="BE144" s="78">
        <v>0</v>
      </c>
      <c r="BF144">
        <v>0</v>
      </c>
      <c r="BG144">
        <v>0</v>
      </c>
      <c r="BH144">
        <v>0</v>
      </c>
      <c r="BJ144">
        <v>0</v>
      </c>
      <c r="BK144" s="103"/>
    </row>
    <row r="145" spans="1:63" ht="30" x14ac:dyDescent="0.25">
      <c r="A145" s="8" t="s">
        <v>335</v>
      </c>
      <c r="B145" s="8">
        <v>120.05</v>
      </c>
      <c r="C145" s="8">
        <v>360.16</v>
      </c>
      <c r="D145" s="8">
        <v>13595</v>
      </c>
      <c r="E145" s="8" t="s">
        <v>326</v>
      </c>
      <c r="F145" s="8" t="s">
        <v>323</v>
      </c>
      <c r="G145" s="8" t="s">
        <v>335</v>
      </c>
      <c r="H145" s="8">
        <v>3</v>
      </c>
      <c r="I145" s="12">
        <v>0</v>
      </c>
      <c r="J145" s="10">
        <f>REMESSAS!W146</f>
        <v>0</v>
      </c>
      <c r="K145" s="11">
        <f t="shared" si="47"/>
        <v>3</v>
      </c>
      <c r="L145" s="11">
        <f t="shared" si="48"/>
        <v>0</v>
      </c>
      <c r="M145" s="11">
        <f t="shared" si="49"/>
        <v>-3</v>
      </c>
      <c r="N145" s="11">
        <v>0</v>
      </c>
      <c r="O145" s="76">
        <f>IF($A145="","",IFERROR(SUMIF(Consumo_Joists!$A:$A,$A145,Consumo_Joists!$P:$P),0)+IFERROR(SUMIF(Consumo_Quadrantes!$A:$A,$A145,Consumo_Quadrantes!$F:$F),0))</f>
        <v>0</v>
      </c>
      <c r="P145" s="76">
        <v>0</v>
      </c>
      <c r="Q145" s="76"/>
      <c r="R145" s="76"/>
      <c r="S145" s="3">
        <f t="shared" si="50"/>
        <v>0</v>
      </c>
      <c r="T145" s="1" t="str">
        <f t="shared" si="51"/>
        <v>Crítico</v>
      </c>
      <c r="U145" s="1" t="s">
        <v>498</v>
      </c>
      <c r="V145" s="1" t="s">
        <v>80</v>
      </c>
      <c r="W145" s="1" t="s">
        <v>499</v>
      </c>
      <c r="X145" s="2">
        <f t="shared" si="52"/>
        <v>2</v>
      </c>
      <c r="Y145" s="1" t="str">
        <f t="shared" si="53"/>
        <v>Enviar se houver espaço</v>
      </c>
      <c r="Z145" s="1" t="str">
        <f t="shared" si="54"/>
        <v>OK</v>
      </c>
      <c r="AA145" s="11">
        <f t="shared" si="55"/>
        <v>0.6</v>
      </c>
      <c r="AB145" s="11">
        <f t="shared" si="56"/>
        <v>0.6</v>
      </c>
      <c r="AC145" s="1"/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76">
        <v>0</v>
      </c>
      <c r="AJ145" s="76">
        <f t="shared" si="57"/>
        <v>0</v>
      </c>
      <c r="AK145" s="1">
        <v>0</v>
      </c>
      <c r="AL145" s="1">
        <v>0</v>
      </c>
      <c r="AM145" s="1" t="str">
        <f t="shared" si="58"/>
        <v/>
      </c>
      <c r="AN145" s="1">
        <f t="shared" si="59"/>
        <v>0</v>
      </c>
      <c r="AO145" s="1">
        <v>0</v>
      </c>
      <c r="AP145" s="61">
        <f t="shared" si="60"/>
        <v>0</v>
      </c>
      <c r="AQ145" s="61">
        <v>0</v>
      </c>
      <c r="AR145" s="76">
        <v>0</v>
      </c>
      <c r="AS145" s="76">
        <f t="shared" si="61"/>
        <v>0</v>
      </c>
      <c r="AT145" s="69" t="str">
        <f t="shared" si="62"/>
        <v>OK</v>
      </c>
      <c r="AU145" s="77">
        <f t="shared" si="63"/>
        <v>3</v>
      </c>
      <c r="AV145" s="61" t="str">
        <f t="shared" si="64"/>
        <v>Sem mapa/sem consumo automático</v>
      </c>
      <c r="AW145" s="70"/>
      <c r="AX145" s="70">
        <v>0</v>
      </c>
      <c r="AY145" s="71" t="str">
        <f t="shared" si="65"/>
        <v>NÃO MAPEADO</v>
      </c>
      <c r="AZ145" s="70"/>
      <c r="BA145" s="71" t="str">
        <f t="shared" si="66"/>
        <v/>
      </c>
      <c r="BB145" s="70" t="str">
        <f t="shared" si="67"/>
        <v>Verificar cadastro</v>
      </c>
      <c r="BC145" s="78">
        <v>0</v>
      </c>
      <c r="BD145" s="78">
        <f t="shared" si="68"/>
        <v>0</v>
      </c>
      <c r="BE145" s="78">
        <v>0</v>
      </c>
      <c r="BF145">
        <v>0</v>
      </c>
      <c r="BG145">
        <v>0</v>
      </c>
      <c r="BH145">
        <v>0</v>
      </c>
      <c r="BJ145">
        <v>0</v>
      </c>
      <c r="BK145" s="103"/>
    </row>
    <row r="146" spans="1:63" ht="30" x14ac:dyDescent="0.25">
      <c r="A146" s="8" t="s">
        <v>336</v>
      </c>
      <c r="B146" s="8">
        <v>109.4</v>
      </c>
      <c r="C146" s="8">
        <v>328.21</v>
      </c>
      <c r="D146" s="8">
        <v>14950</v>
      </c>
      <c r="E146" s="8" t="s">
        <v>322</v>
      </c>
      <c r="F146" s="8" t="s">
        <v>323</v>
      </c>
      <c r="G146" s="8" t="s">
        <v>336</v>
      </c>
      <c r="H146" s="8">
        <v>3</v>
      </c>
      <c r="I146" s="9">
        <v>0</v>
      </c>
      <c r="J146" s="10">
        <f>REMESSAS!W147</f>
        <v>0</v>
      </c>
      <c r="K146" s="11">
        <f t="shared" si="47"/>
        <v>3</v>
      </c>
      <c r="L146" s="11">
        <f t="shared" si="48"/>
        <v>0</v>
      </c>
      <c r="M146" s="11">
        <f t="shared" si="49"/>
        <v>-3</v>
      </c>
      <c r="N146" s="11">
        <v>0</v>
      </c>
      <c r="O146" s="76">
        <f>IF($A146="","",IFERROR(SUMIF(Consumo_Joists!$A:$A,$A146,Consumo_Joists!$P:$P),0)+IFERROR(SUMIF(Consumo_Quadrantes!$A:$A,$A146,Consumo_Quadrantes!$F:$F),0))</f>
        <v>0</v>
      </c>
      <c r="P146" s="76">
        <v>0</v>
      </c>
      <c r="Q146" s="76"/>
      <c r="R146" s="76"/>
      <c r="S146" s="3">
        <f t="shared" si="50"/>
        <v>0</v>
      </c>
      <c r="T146" s="1" t="str">
        <f t="shared" si="51"/>
        <v>Crítico</v>
      </c>
      <c r="U146" s="1" t="s">
        <v>498</v>
      </c>
      <c r="V146" s="1" t="s">
        <v>80</v>
      </c>
      <c r="W146" s="1" t="s">
        <v>499</v>
      </c>
      <c r="X146" s="2">
        <f t="shared" si="52"/>
        <v>2</v>
      </c>
      <c r="Y146" s="1" t="str">
        <f t="shared" si="53"/>
        <v>Enviar se houver espaço</v>
      </c>
      <c r="Z146" s="1" t="str">
        <f t="shared" si="54"/>
        <v>OK</v>
      </c>
      <c r="AA146" s="11">
        <f t="shared" si="55"/>
        <v>0.6</v>
      </c>
      <c r="AB146" s="11">
        <f t="shared" si="56"/>
        <v>0.6</v>
      </c>
      <c r="AC146" s="1"/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76">
        <v>0</v>
      </c>
      <c r="AJ146" s="76">
        <f t="shared" si="57"/>
        <v>0</v>
      </c>
      <c r="AK146" s="1">
        <v>0</v>
      </c>
      <c r="AL146" s="1">
        <v>0</v>
      </c>
      <c r="AM146" s="1" t="str">
        <f t="shared" si="58"/>
        <v/>
      </c>
      <c r="AN146" s="1">
        <f t="shared" si="59"/>
        <v>0</v>
      </c>
      <c r="AO146" s="1">
        <v>0</v>
      </c>
      <c r="AP146" s="61">
        <f t="shared" si="60"/>
        <v>0</v>
      </c>
      <c r="AQ146" s="61">
        <v>0</v>
      </c>
      <c r="AR146" s="76">
        <v>0</v>
      </c>
      <c r="AS146" s="76">
        <f t="shared" si="61"/>
        <v>0</v>
      </c>
      <c r="AT146" s="69" t="str">
        <f t="shared" si="62"/>
        <v>OK</v>
      </c>
      <c r="AU146" s="77">
        <f t="shared" si="63"/>
        <v>3</v>
      </c>
      <c r="AV146" s="61" t="str">
        <f t="shared" si="64"/>
        <v>Sem mapa/sem consumo automático</v>
      </c>
      <c r="AW146" s="70"/>
      <c r="AX146" s="70">
        <v>0</v>
      </c>
      <c r="AY146" s="71" t="str">
        <f t="shared" si="65"/>
        <v>NÃO MAPEADO</v>
      </c>
      <c r="AZ146" s="70"/>
      <c r="BA146" s="71" t="str">
        <f t="shared" si="66"/>
        <v/>
      </c>
      <c r="BB146" s="70" t="str">
        <f t="shared" si="67"/>
        <v>Verificar cadastro</v>
      </c>
      <c r="BC146" s="78">
        <v>0</v>
      </c>
      <c r="BD146" s="78">
        <f t="shared" si="68"/>
        <v>0</v>
      </c>
      <c r="BE146" s="78">
        <v>0</v>
      </c>
      <c r="BF146">
        <v>0</v>
      </c>
      <c r="BG146">
        <v>0</v>
      </c>
      <c r="BH146">
        <v>0</v>
      </c>
      <c r="BJ146">
        <v>0</v>
      </c>
    </row>
    <row r="147" spans="1:63" ht="30" x14ac:dyDescent="0.25">
      <c r="A147" s="8" t="s">
        <v>337</v>
      </c>
      <c r="B147" s="8">
        <v>119.13</v>
      </c>
      <c r="C147" s="8">
        <v>357.38</v>
      </c>
      <c r="D147" s="8">
        <v>13490</v>
      </c>
      <c r="E147" s="8" t="s">
        <v>326</v>
      </c>
      <c r="F147" s="8" t="s">
        <v>323</v>
      </c>
      <c r="G147" s="8" t="s">
        <v>337</v>
      </c>
      <c r="H147" s="8">
        <v>3</v>
      </c>
      <c r="I147" s="12">
        <v>0</v>
      </c>
      <c r="J147" s="10">
        <f>REMESSAS!W148</f>
        <v>0</v>
      </c>
      <c r="K147" s="11">
        <f t="shared" si="47"/>
        <v>3</v>
      </c>
      <c r="L147" s="11">
        <f t="shared" si="48"/>
        <v>0</v>
      </c>
      <c r="M147" s="11">
        <f t="shared" si="49"/>
        <v>-3</v>
      </c>
      <c r="N147" s="11">
        <v>0</v>
      </c>
      <c r="O147" s="76">
        <f>IF($A147="","",IFERROR(SUMIF(Consumo_Joists!$A:$A,$A147,Consumo_Joists!$P:$P),0)+IFERROR(SUMIF(Consumo_Quadrantes!$A:$A,$A147,Consumo_Quadrantes!$F:$F),0))</f>
        <v>0</v>
      </c>
      <c r="P147" s="76">
        <v>0</v>
      </c>
      <c r="Q147" s="76"/>
      <c r="R147" s="76"/>
      <c r="S147" s="3">
        <f t="shared" si="50"/>
        <v>0</v>
      </c>
      <c r="T147" s="1" t="str">
        <f t="shared" si="51"/>
        <v>Crítico</v>
      </c>
      <c r="U147" s="1" t="s">
        <v>498</v>
      </c>
      <c r="V147" s="1" t="s">
        <v>80</v>
      </c>
      <c r="W147" s="1" t="s">
        <v>499</v>
      </c>
      <c r="X147" s="2">
        <f t="shared" si="52"/>
        <v>2</v>
      </c>
      <c r="Y147" s="1" t="str">
        <f t="shared" si="53"/>
        <v>Enviar se houver espaço</v>
      </c>
      <c r="Z147" s="1" t="str">
        <f t="shared" si="54"/>
        <v>OK</v>
      </c>
      <c r="AA147" s="11">
        <f t="shared" si="55"/>
        <v>0.6</v>
      </c>
      <c r="AB147" s="11">
        <f t="shared" si="56"/>
        <v>0.6</v>
      </c>
      <c r="AC147" s="1"/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76">
        <v>0</v>
      </c>
      <c r="AJ147" s="76">
        <f t="shared" si="57"/>
        <v>0</v>
      </c>
      <c r="AK147" s="1">
        <v>0</v>
      </c>
      <c r="AL147" s="1">
        <v>0</v>
      </c>
      <c r="AM147" s="1" t="str">
        <f t="shared" si="58"/>
        <v/>
      </c>
      <c r="AN147" s="1">
        <f t="shared" si="59"/>
        <v>0</v>
      </c>
      <c r="AO147" s="1">
        <v>0</v>
      </c>
      <c r="AP147" s="61">
        <f t="shared" si="60"/>
        <v>0</v>
      </c>
      <c r="AQ147" s="61">
        <v>0</v>
      </c>
      <c r="AR147" s="76">
        <v>0</v>
      </c>
      <c r="AS147" s="76">
        <f t="shared" si="61"/>
        <v>0</v>
      </c>
      <c r="AT147" s="69" t="str">
        <f t="shared" si="62"/>
        <v>OK</v>
      </c>
      <c r="AU147" s="77">
        <f t="shared" si="63"/>
        <v>3</v>
      </c>
      <c r="AV147" s="61" t="str">
        <f t="shared" si="64"/>
        <v>Sem mapa/sem consumo automático</v>
      </c>
      <c r="AW147" s="70"/>
      <c r="AX147" s="70">
        <v>0</v>
      </c>
      <c r="AY147" s="71" t="str">
        <f t="shared" si="65"/>
        <v>NÃO MAPEADO</v>
      </c>
      <c r="AZ147" s="70"/>
      <c r="BA147" s="71" t="str">
        <f t="shared" si="66"/>
        <v/>
      </c>
      <c r="BB147" s="70" t="str">
        <f t="shared" si="67"/>
        <v>Verificar cadastro</v>
      </c>
      <c r="BC147" s="78">
        <v>0</v>
      </c>
      <c r="BD147" s="78">
        <f t="shared" si="68"/>
        <v>0</v>
      </c>
      <c r="BE147" s="78">
        <v>0</v>
      </c>
      <c r="BF147">
        <v>0</v>
      </c>
      <c r="BG147">
        <v>0</v>
      </c>
      <c r="BH147">
        <v>0</v>
      </c>
      <c r="BJ147">
        <v>0</v>
      </c>
    </row>
    <row r="148" spans="1:63" ht="30" x14ac:dyDescent="0.25">
      <c r="A148" s="8" t="s">
        <v>338</v>
      </c>
      <c r="B148" s="8">
        <v>120.42</v>
      </c>
      <c r="C148" s="8">
        <v>361.25</v>
      </c>
      <c r="D148" s="8">
        <v>16455</v>
      </c>
      <c r="E148" s="8" t="s">
        <v>322</v>
      </c>
      <c r="F148" s="8" t="s">
        <v>323</v>
      </c>
      <c r="G148" s="8" t="s">
        <v>338</v>
      </c>
      <c r="H148" s="8">
        <v>3</v>
      </c>
      <c r="I148" s="9">
        <v>0</v>
      </c>
      <c r="J148" s="10">
        <f>REMESSAS!W149</f>
        <v>0</v>
      </c>
      <c r="K148" s="11">
        <f t="shared" si="47"/>
        <v>3</v>
      </c>
      <c r="L148" s="11">
        <f t="shared" si="48"/>
        <v>0</v>
      </c>
      <c r="M148" s="11">
        <f t="shared" si="49"/>
        <v>-3</v>
      </c>
      <c r="N148" s="11">
        <v>0</v>
      </c>
      <c r="O148" s="76">
        <f>IF($A148="","",IFERROR(SUMIF(Consumo_Joists!$A:$A,$A148,Consumo_Joists!$P:$P),0)+IFERROR(SUMIF(Consumo_Quadrantes!$A:$A,$A148,Consumo_Quadrantes!$F:$F),0))</f>
        <v>0</v>
      </c>
      <c r="P148" s="76">
        <v>0</v>
      </c>
      <c r="Q148" s="76"/>
      <c r="R148" s="76"/>
      <c r="S148" s="3">
        <f t="shared" si="50"/>
        <v>0</v>
      </c>
      <c r="T148" s="1" t="str">
        <f t="shared" si="51"/>
        <v>Crítico</v>
      </c>
      <c r="U148" s="1" t="s">
        <v>498</v>
      </c>
      <c r="V148" s="1" t="s">
        <v>80</v>
      </c>
      <c r="W148" s="1" t="s">
        <v>499</v>
      </c>
      <c r="X148" s="2">
        <f t="shared" si="52"/>
        <v>2</v>
      </c>
      <c r="Y148" s="1" t="str">
        <f t="shared" si="53"/>
        <v>Enviar se houver espaço</v>
      </c>
      <c r="Z148" s="1" t="str">
        <f t="shared" si="54"/>
        <v>OK</v>
      </c>
      <c r="AA148" s="11">
        <f t="shared" si="55"/>
        <v>0.6</v>
      </c>
      <c r="AB148" s="11">
        <f t="shared" si="56"/>
        <v>0.6</v>
      </c>
      <c r="AC148" s="1"/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76">
        <v>0</v>
      </c>
      <c r="AJ148" s="76">
        <f t="shared" si="57"/>
        <v>0</v>
      </c>
      <c r="AK148" s="1">
        <v>0</v>
      </c>
      <c r="AL148" s="1">
        <v>0</v>
      </c>
      <c r="AM148" s="1" t="str">
        <f t="shared" si="58"/>
        <v/>
      </c>
      <c r="AN148" s="1">
        <f t="shared" si="59"/>
        <v>0</v>
      </c>
      <c r="AO148" s="1">
        <v>0</v>
      </c>
      <c r="AP148" s="61">
        <f t="shared" si="60"/>
        <v>0</v>
      </c>
      <c r="AQ148" s="61">
        <v>0</v>
      </c>
      <c r="AR148" s="76">
        <v>0</v>
      </c>
      <c r="AS148" s="76">
        <f t="shared" si="61"/>
        <v>0</v>
      </c>
      <c r="AT148" s="69" t="str">
        <f t="shared" si="62"/>
        <v>OK</v>
      </c>
      <c r="AU148" s="77">
        <f t="shared" si="63"/>
        <v>3</v>
      </c>
      <c r="AV148" s="61" t="str">
        <f t="shared" si="64"/>
        <v>Sem mapa/sem consumo automático</v>
      </c>
      <c r="AW148" s="70"/>
      <c r="AX148" s="70">
        <v>0</v>
      </c>
      <c r="AY148" s="71" t="str">
        <f t="shared" si="65"/>
        <v>NÃO MAPEADO</v>
      </c>
      <c r="AZ148" s="70"/>
      <c r="BA148" s="71" t="str">
        <f t="shared" si="66"/>
        <v/>
      </c>
      <c r="BB148" s="70" t="str">
        <f t="shared" si="67"/>
        <v>Verificar cadastro</v>
      </c>
      <c r="BC148" s="78">
        <v>0</v>
      </c>
      <c r="BD148" s="78">
        <f t="shared" si="68"/>
        <v>0</v>
      </c>
      <c r="BE148" s="78">
        <v>0</v>
      </c>
      <c r="BF148">
        <v>0</v>
      </c>
      <c r="BG148">
        <v>0</v>
      </c>
      <c r="BH148">
        <v>0</v>
      </c>
      <c r="BJ148">
        <v>0</v>
      </c>
    </row>
    <row r="149" spans="1:63" ht="30" x14ac:dyDescent="0.25">
      <c r="A149" s="8" t="s">
        <v>339</v>
      </c>
      <c r="B149" s="8">
        <v>120.38</v>
      </c>
      <c r="C149" s="8">
        <v>361.14</v>
      </c>
      <c r="D149" s="8">
        <v>16450</v>
      </c>
      <c r="E149" s="8" t="s">
        <v>322</v>
      </c>
      <c r="F149" s="8" t="s">
        <v>323</v>
      </c>
      <c r="G149" s="8" t="s">
        <v>339</v>
      </c>
      <c r="H149" s="8">
        <v>3</v>
      </c>
      <c r="I149" s="12">
        <v>0</v>
      </c>
      <c r="J149" s="10">
        <f>REMESSAS!W150</f>
        <v>0</v>
      </c>
      <c r="K149" s="11">
        <f t="shared" si="47"/>
        <v>3</v>
      </c>
      <c r="L149" s="11">
        <f t="shared" si="48"/>
        <v>0</v>
      </c>
      <c r="M149" s="11">
        <f t="shared" si="49"/>
        <v>-3</v>
      </c>
      <c r="N149" s="11">
        <v>0</v>
      </c>
      <c r="O149" s="76">
        <f>IF($A149="","",IFERROR(SUMIF(Consumo_Joists!$A:$A,$A149,Consumo_Joists!$P:$P),0)+IFERROR(SUMIF(Consumo_Quadrantes!$A:$A,$A149,Consumo_Quadrantes!$F:$F),0))</f>
        <v>0</v>
      </c>
      <c r="P149" s="76">
        <v>0</v>
      </c>
      <c r="Q149" s="76"/>
      <c r="R149" s="76"/>
      <c r="S149" s="3">
        <f t="shared" si="50"/>
        <v>0</v>
      </c>
      <c r="T149" s="1" t="str">
        <f t="shared" si="51"/>
        <v>Crítico</v>
      </c>
      <c r="U149" s="1" t="s">
        <v>498</v>
      </c>
      <c r="V149" s="1" t="s">
        <v>80</v>
      </c>
      <c r="W149" s="1" t="s">
        <v>499</v>
      </c>
      <c r="X149" s="2">
        <f t="shared" si="52"/>
        <v>2</v>
      </c>
      <c r="Y149" s="1" t="str">
        <f t="shared" si="53"/>
        <v>Enviar se houver espaço</v>
      </c>
      <c r="Z149" s="1" t="str">
        <f t="shared" si="54"/>
        <v>OK</v>
      </c>
      <c r="AA149" s="11">
        <f t="shared" si="55"/>
        <v>0.6</v>
      </c>
      <c r="AB149" s="11">
        <f t="shared" si="56"/>
        <v>0.6</v>
      </c>
      <c r="AC149" s="1"/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76">
        <v>0</v>
      </c>
      <c r="AJ149" s="76">
        <f t="shared" si="57"/>
        <v>0</v>
      </c>
      <c r="AK149" s="1">
        <v>0</v>
      </c>
      <c r="AL149" s="1">
        <v>0</v>
      </c>
      <c r="AM149" s="1" t="str">
        <f t="shared" si="58"/>
        <v/>
      </c>
      <c r="AN149" s="1">
        <f t="shared" si="59"/>
        <v>0</v>
      </c>
      <c r="AO149" s="1">
        <v>0</v>
      </c>
      <c r="AP149" s="61">
        <f t="shared" si="60"/>
        <v>0</v>
      </c>
      <c r="AQ149" s="61">
        <v>0</v>
      </c>
      <c r="AR149" s="76">
        <v>0</v>
      </c>
      <c r="AS149" s="76">
        <f t="shared" si="61"/>
        <v>0</v>
      </c>
      <c r="AT149" s="69" t="str">
        <f t="shared" si="62"/>
        <v>OK</v>
      </c>
      <c r="AU149" s="77">
        <f t="shared" si="63"/>
        <v>3</v>
      </c>
      <c r="AV149" s="61" t="str">
        <f t="shared" si="64"/>
        <v>Sem mapa/sem consumo automático</v>
      </c>
      <c r="AW149" s="70"/>
      <c r="AX149" s="70">
        <v>0</v>
      </c>
      <c r="AY149" s="71" t="str">
        <f t="shared" si="65"/>
        <v>NÃO MAPEADO</v>
      </c>
      <c r="AZ149" s="70"/>
      <c r="BA149" s="71" t="str">
        <f t="shared" si="66"/>
        <v/>
      </c>
      <c r="BB149" s="70" t="str">
        <f t="shared" si="67"/>
        <v>Verificar cadastro</v>
      </c>
      <c r="BC149" s="78">
        <v>0</v>
      </c>
      <c r="BD149" s="78">
        <f t="shared" si="68"/>
        <v>0</v>
      </c>
      <c r="BE149" s="78">
        <v>0</v>
      </c>
      <c r="BF149">
        <v>0</v>
      </c>
      <c r="BG149">
        <v>0</v>
      </c>
      <c r="BH149">
        <v>0</v>
      </c>
      <c r="BJ149">
        <v>0</v>
      </c>
    </row>
    <row r="150" spans="1:63" ht="30" x14ac:dyDescent="0.25">
      <c r="A150" s="8" t="s">
        <v>340</v>
      </c>
      <c r="B150" s="8">
        <v>109.77</v>
      </c>
      <c r="C150" s="8">
        <v>329.31</v>
      </c>
      <c r="D150" s="8">
        <v>15000</v>
      </c>
      <c r="E150" s="8" t="s">
        <v>322</v>
      </c>
      <c r="F150" s="8" t="s">
        <v>323</v>
      </c>
      <c r="G150" s="8" t="s">
        <v>340</v>
      </c>
      <c r="H150" s="8">
        <v>3</v>
      </c>
      <c r="I150" s="9">
        <v>0</v>
      </c>
      <c r="J150" s="10">
        <f>REMESSAS!W151</f>
        <v>0</v>
      </c>
      <c r="K150" s="11">
        <f t="shared" si="47"/>
        <v>3</v>
      </c>
      <c r="L150" s="11">
        <f t="shared" si="48"/>
        <v>0</v>
      </c>
      <c r="M150" s="11">
        <f t="shared" si="49"/>
        <v>-3</v>
      </c>
      <c r="N150" s="11">
        <v>0</v>
      </c>
      <c r="O150" s="76">
        <f>IF($A150="","",IFERROR(SUMIF(Consumo_Joists!$A:$A,$A150,Consumo_Joists!$P:$P),0)+IFERROR(SUMIF(Consumo_Quadrantes!$A:$A,$A150,Consumo_Quadrantes!$F:$F),0))</f>
        <v>0</v>
      </c>
      <c r="P150" s="76">
        <v>0</v>
      </c>
      <c r="Q150" s="76"/>
      <c r="R150" s="76"/>
      <c r="S150" s="3">
        <f t="shared" si="50"/>
        <v>0</v>
      </c>
      <c r="T150" s="1" t="str">
        <f t="shared" si="51"/>
        <v>Crítico</v>
      </c>
      <c r="U150" s="1" t="s">
        <v>498</v>
      </c>
      <c r="V150" s="1" t="s">
        <v>80</v>
      </c>
      <c r="W150" s="1" t="s">
        <v>499</v>
      </c>
      <c r="X150" s="2">
        <f t="shared" si="52"/>
        <v>2</v>
      </c>
      <c r="Y150" s="1" t="str">
        <f t="shared" si="53"/>
        <v>Enviar se houver espaço</v>
      </c>
      <c r="Z150" s="1" t="str">
        <f t="shared" si="54"/>
        <v>OK</v>
      </c>
      <c r="AA150" s="11">
        <f t="shared" si="55"/>
        <v>0.6</v>
      </c>
      <c r="AB150" s="11">
        <f t="shared" si="56"/>
        <v>0.6</v>
      </c>
      <c r="AC150" s="1"/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76">
        <v>0</v>
      </c>
      <c r="AJ150" s="76">
        <f t="shared" si="57"/>
        <v>0</v>
      </c>
      <c r="AK150" s="1">
        <v>0</v>
      </c>
      <c r="AL150" s="1">
        <v>0</v>
      </c>
      <c r="AM150" s="1" t="str">
        <f t="shared" si="58"/>
        <v/>
      </c>
      <c r="AN150" s="1">
        <f t="shared" si="59"/>
        <v>0</v>
      </c>
      <c r="AO150" s="1">
        <v>0</v>
      </c>
      <c r="AP150" s="61">
        <f t="shared" si="60"/>
        <v>0</v>
      </c>
      <c r="AQ150" s="61">
        <v>0</v>
      </c>
      <c r="AR150" s="76">
        <v>0</v>
      </c>
      <c r="AS150" s="76">
        <f t="shared" si="61"/>
        <v>0</v>
      </c>
      <c r="AT150" s="69" t="str">
        <f t="shared" si="62"/>
        <v>OK</v>
      </c>
      <c r="AU150" s="77">
        <f t="shared" si="63"/>
        <v>3</v>
      </c>
      <c r="AV150" s="61" t="str">
        <f t="shared" si="64"/>
        <v>Sem mapa/sem consumo automático</v>
      </c>
      <c r="AW150" s="70"/>
      <c r="AX150" s="70">
        <v>0</v>
      </c>
      <c r="AY150" s="71" t="str">
        <f t="shared" si="65"/>
        <v>NÃO MAPEADO</v>
      </c>
      <c r="AZ150" s="70"/>
      <c r="BA150" s="71" t="str">
        <f t="shared" si="66"/>
        <v/>
      </c>
      <c r="BB150" s="70" t="str">
        <f t="shared" si="67"/>
        <v>Verificar cadastro</v>
      </c>
      <c r="BC150" s="78">
        <v>0</v>
      </c>
      <c r="BD150" s="78">
        <f t="shared" si="68"/>
        <v>0</v>
      </c>
      <c r="BE150" s="78">
        <v>0</v>
      </c>
      <c r="BF150">
        <v>0</v>
      </c>
      <c r="BG150">
        <v>0</v>
      </c>
      <c r="BH150">
        <v>0</v>
      </c>
      <c r="BJ150">
        <v>0</v>
      </c>
    </row>
    <row r="151" spans="1:63" ht="30" x14ac:dyDescent="0.25">
      <c r="A151" s="8" t="s">
        <v>341</v>
      </c>
      <c r="B151" s="8">
        <v>120.49</v>
      </c>
      <c r="C151" s="8">
        <v>361.48</v>
      </c>
      <c r="D151" s="8">
        <v>13645</v>
      </c>
      <c r="E151" s="8" t="s">
        <v>326</v>
      </c>
      <c r="F151" s="8" t="s">
        <v>323</v>
      </c>
      <c r="G151" s="8" t="s">
        <v>341</v>
      </c>
      <c r="H151" s="8">
        <v>3</v>
      </c>
      <c r="I151" s="12">
        <v>0</v>
      </c>
      <c r="J151" s="10">
        <f>REMESSAS!W152</f>
        <v>0</v>
      </c>
      <c r="K151" s="11">
        <f t="shared" si="47"/>
        <v>3</v>
      </c>
      <c r="L151" s="11">
        <f t="shared" si="48"/>
        <v>0</v>
      </c>
      <c r="M151" s="11">
        <f t="shared" si="49"/>
        <v>-3</v>
      </c>
      <c r="N151" s="11">
        <v>0</v>
      </c>
      <c r="O151" s="76">
        <f>IF($A151="","",IFERROR(SUMIF(Consumo_Joists!$A:$A,$A151,Consumo_Joists!$P:$P),0)+IFERROR(SUMIF(Consumo_Quadrantes!$A:$A,$A151,Consumo_Quadrantes!$F:$F),0))</f>
        <v>0</v>
      </c>
      <c r="P151" s="76">
        <v>0</v>
      </c>
      <c r="Q151" s="76"/>
      <c r="R151" s="76"/>
      <c r="S151" s="3">
        <f t="shared" si="50"/>
        <v>0</v>
      </c>
      <c r="T151" s="1" t="str">
        <f t="shared" si="51"/>
        <v>Crítico</v>
      </c>
      <c r="U151" s="1" t="s">
        <v>498</v>
      </c>
      <c r="V151" s="1" t="s">
        <v>80</v>
      </c>
      <c r="W151" s="1" t="s">
        <v>499</v>
      </c>
      <c r="X151" s="2">
        <f t="shared" si="52"/>
        <v>2</v>
      </c>
      <c r="Y151" s="1" t="str">
        <f t="shared" si="53"/>
        <v>Enviar se houver espaço</v>
      </c>
      <c r="Z151" s="1" t="str">
        <f t="shared" si="54"/>
        <v>OK</v>
      </c>
      <c r="AA151" s="11">
        <f t="shared" si="55"/>
        <v>0.6</v>
      </c>
      <c r="AB151" s="11">
        <f t="shared" si="56"/>
        <v>0.6</v>
      </c>
      <c r="AC151" s="1"/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76">
        <v>0</v>
      </c>
      <c r="AJ151" s="76">
        <f t="shared" si="57"/>
        <v>0</v>
      </c>
      <c r="AK151" s="1">
        <v>0</v>
      </c>
      <c r="AL151" s="1">
        <v>0</v>
      </c>
      <c r="AM151" s="1" t="str">
        <f t="shared" si="58"/>
        <v/>
      </c>
      <c r="AN151" s="1">
        <f t="shared" si="59"/>
        <v>0</v>
      </c>
      <c r="AO151" s="1">
        <v>0</v>
      </c>
      <c r="AP151" s="61">
        <f t="shared" si="60"/>
        <v>0</v>
      </c>
      <c r="AQ151" s="61">
        <v>0</v>
      </c>
      <c r="AR151" s="76">
        <v>0</v>
      </c>
      <c r="AS151" s="76">
        <f t="shared" si="61"/>
        <v>0</v>
      </c>
      <c r="AT151" s="69" t="str">
        <f t="shared" si="62"/>
        <v>OK</v>
      </c>
      <c r="AU151" s="77">
        <f t="shared" si="63"/>
        <v>3</v>
      </c>
      <c r="AV151" s="61" t="str">
        <f t="shared" si="64"/>
        <v>Sem mapa/sem consumo automático</v>
      </c>
      <c r="AW151" s="70"/>
      <c r="AX151" s="70">
        <v>0</v>
      </c>
      <c r="AY151" s="71" t="str">
        <f t="shared" si="65"/>
        <v>NÃO MAPEADO</v>
      </c>
      <c r="AZ151" s="70"/>
      <c r="BA151" s="71" t="str">
        <f t="shared" si="66"/>
        <v/>
      </c>
      <c r="BB151" s="70" t="str">
        <f t="shared" si="67"/>
        <v>Verificar cadastro</v>
      </c>
      <c r="BC151" s="78">
        <v>0</v>
      </c>
      <c r="BD151" s="78">
        <f t="shared" si="68"/>
        <v>0</v>
      </c>
      <c r="BE151" s="78">
        <v>0</v>
      </c>
      <c r="BF151">
        <v>0</v>
      </c>
      <c r="BG151">
        <v>0</v>
      </c>
      <c r="BH151">
        <v>0</v>
      </c>
      <c r="BJ151">
        <v>0</v>
      </c>
    </row>
    <row r="152" spans="1:63" ht="30" x14ac:dyDescent="0.25">
      <c r="A152" s="8" t="s">
        <v>342</v>
      </c>
      <c r="B152" s="8">
        <v>120.38</v>
      </c>
      <c r="C152" s="8">
        <v>361.14</v>
      </c>
      <c r="D152" s="8">
        <v>16450</v>
      </c>
      <c r="E152" s="8" t="s">
        <v>322</v>
      </c>
      <c r="F152" s="8" t="s">
        <v>323</v>
      </c>
      <c r="G152" s="8" t="s">
        <v>342</v>
      </c>
      <c r="H152" s="8">
        <v>3</v>
      </c>
      <c r="I152" s="9">
        <v>0</v>
      </c>
      <c r="J152" s="10">
        <f>REMESSAS!W153</f>
        <v>0</v>
      </c>
      <c r="K152" s="11">
        <f t="shared" si="47"/>
        <v>3</v>
      </c>
      <c r="L152" s="11">
        <f t="shared" si="48"/>
        <v>0</v>
      </c>
      <c r="M152" s="11">
        <f t="shared" si="49"/>
        <v>-3</v>
      </c>
      <c r="N152" s="11">
        <v>0</v>
      </c>
      <c r="O152" s="76">
        <f>IF($A152="","",IFERROR(SUMIF(Consumo_Joists!$A:$A,$A152,Consumo_Joists!$P:$P),0)+IFERROR(SUMIF(Consumo_Quadrantes!$A:$A,$A152,Consumo_Quadrantes!$F:$F),0))</f>
        <v>0</v>
      </c>
      <c r="P152" s="76">
        <v>0</v>
      </c>
      <c r="Q152" s="76"/>
      <c r="R152" s="76"/>
      <c r="S152" s="3">
        <f t="shared" si="50"/>
        <v>0</v>
      </c>
      <c r="T152" s="1" t="str">
        <f t="shared" si="51"/>
        <v>Crítico</v>
      </c>
      <c r="U152" s="1" t="s">
        <v>498</v>
      </c>
      <c r="V152" s="1" t="s">
        <v>80</v>
      </c>
      <c r="W152" s="1" t="s">
        <v>499</v>
      </c>
      <c r="X152" s="2">
        <f t="shared" si="52"/>
        <v>2</v>
      </c>
      <c r="Y152" s="1" t="str">
        <f t="shared" si="53"/>
        <v>Enviar se houver espaço</v>
      </c>
      <c r="Z152" s="1" t="str">
        <f t="shared" si="54"/>
        <v>OK</v>
      </c>
      <c r="AA152" s="11">
        <f t="shared" si="55"/>
        <v>0.6</v>
      </c>
      <c r="AB152" s="11">
        <f t="shared" si="56"/>
        <v>0.6</v>
      </c>
      <c r="AC152" s="1"/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76">
        <v>0</v>
      </c>
      <c r="AJ152" s="76">
        <f t="shared" si="57"/>
        <v>0</v>
      </c>
      <c r="AK152" s="1">
        <v>0</v>
      </c>
      <c r="AL152" s="1">
        <v>0</v>
      </c>
      <c r="AM152" s="1" t="str">
        <f t="shared" si="58"/>
        <v/>
      </c>
      <c r="AN152" s="1">
        <f t="shared" si="59"/>
        <v>0</v>
      </c>
      <c r="AO152" s="1">
        <v>0</v>
      </c>
      <c r="AP152" s="61">
        <f t="shared" si="60"/>
        <v>0</v>
      </c>
      <c r="AQ152" s="61">
        <v>0</v>
      </c>
      <c r="AR152" s="76">
        <v>0</v>
      </c>
      <c r="AS152" s="76">
        <f t="shared" si="61"/>
        <v>0</v>
      </c>
      <c r="AT152" s="69" t="str">
        <f t="shared" si="62"/>
        <v>OK</v>
      </c>
      <c r="AU152" s="77">
        <f t="shared" si="63"/>
        <v>3</v>
      </c>
      <c r="AV152" s="61" t="str">
        <f t="shared" si="64"/>
        <v>Sem mapa/sem consumo automático</v>
      </c>
      <c r="AW152" s="70"/>
      <c r="AX152" s="70">
        <v>0</v>
      </c>
      <c r="AY152" s="71" t="str">
        <f t="shared" si="65"/>
        <v>NÃO MAPEADO</v>
      </c>
      <c r="AZ152" s="70"/>
      <c r="BA152" s="71" t="str">
        <f t="shared" si="66"/>
        <v/>
      </c>
      <c r="BB152" s="70" t="str">
        <f t="shared" si="67"/>
        <v>Verificar cadastro</v>
      </c>
      <c r="BC152" s="78">
        <v>0</v>
      </c>
      <c r="BD152" s="78">
        <f t="shared" si="68"/>
        <v>0</v>
      </c>
      <c r="BE152" s="78">
        <v>0</v>
      </c>
      <c r="BF152">
        <v>0</v>
      </c>
      <c r="BG152">
        <v>0</v>
      </c>
      <c r="BH152">
        <v>0</v>
      </c>
      <c r="BJ152">
        <v>0</v>
      </c>
    </row>
    <row r="153" spans="1:63" ht="30" x14ac:dyDescent="0.25">
      <c r="A153" s="8" t="s">
        <v>343</v>
      </c>
      <c r="B153" s="8">
        <v>131.09</v>
      </c>
      <c r="C153" s="8">
        <v>393.27</v>
      </c>
      <c r="D153" s="8">
        <v>14845</v>
      </c>
      <c r="E153" s="8" t="s">
        <v>326</v>
      </c>
      <c r="F153" s="8" t="s">
        <v>323</v>
      </c>
      <c r="G153" s="8" t="s">
        <v>343</v>
      </c>
      <c r="H153" s="8">
        <v>3</v>
      </c>
      <c r="I153" s="12">
        <v>0</v>
      </c>
      <c r="J153" s="10">
        <f>REMESSAS!W154</f>
        <v>0</v>
      </c>
      <c r="K153" s="11">
        <f t="shared" si="47"/>
        <v>3</v>
      </c>
      <c r="L153" s="11">
        <f t="shared" si="48"/>
        <v>0</v>
      </c>
      <c r="M153" s="11">
        <f t="shared" si="49"/>
        <v>-3</v>
      </c>
      <c r="N153" s="11">
        <v>0</v>
      </c>
      <c r="O153" s="76">
        <f>IF($A153="","",IFERROR(SUMIF(Consumo_Joists!$A:$A,$A153,Consumo_Joists!$P:$P),0)+IFERROR(SUMIF(Consumo_Quadrantes!$A:$A,$A153,Consumo_Quadrantes!$F:$F),0))</f>
        <v>0</v>
      </c>
      <c r="P153" s="76">
        <v>0</v>
      </c>
      <c r="Q153" s="76"/>
      <c r="R153" s="76"/>
      <c r="S153" s="3">
        <f t="shared" si="50"/>
        <v>0</v>
      </c>
      <c r="T153" s="1" t="str">
        <f t="shared" si="51"/>
        <v>Crítico</v>
      </c>
      <c r="U153" s="1" t="s">
        <v>498</v>
      </c>
      <c r="V153" s="1" t="s">
        <v>80</v>
      </c>
      <c r="W153" s="1" t="s">
        <v>499</v>
      </c>
      <c r="X153" s="2">
        <f t="shared" si="52"/>
        <v>2</v>
      </c>
      <c r="Y153" s="1" t="str">
        <f t="shared" si="53"/>
        <v>Enviar se houver espaço</v>
      </c>
      <c r="Z153" s="1" t="str">
        <f t="shared" si="54"/>
        <v>OK</v>
      </c>
      <c r="AA153" s="11">
        <f t="shared" si="55"/>
        <v>0.6</v>
      </c>
      <c r="AB153" s="11">
        <f t="shared" si="56"/>
        <v>0.6</v>
      </c>
      <c r="AC153" s="1"/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76">
        <v>0</v>
      </c>
      <c r="AJ153" s="76">
        <f t="shared" si="57"/>
        <v>0</v>
      </c>
      <c r="AK153" s="1">
        <v>0</v>
      </c>
      <c r="AL153" s="1">
        <v>0</v>
      </c>
      <c r="AM153" s="1" t="str">
        <f t="shared" si="58"/>
        <v/>
      </c>
      <c r="AN153" s="1">
        <f t="shared" si="59"/>
        <v>0</v>
      </c>
      <c r="AO153" s="1">
        <v>0</v>
      </c>
      <c r="AP153" s="61">
        <f t="shared" si="60"/>
        <v>0</v>
      </c>
      <c r="AQ153" s="61">
        <v>0</v>
      </c>
      <c r="AR153" s="76">
        <v>0</v>
      </c>
      <c r="AS153" s="76">
        <f t="shared" si="61"/>
        <v>0</v>
      </c>
      <c r="AT153" s="69" t="str">
        <f t="shared" si="62"/>
        <v>OK</v>
      </c>
      <c r="AU153" s="77">
        <f t="shared" si="63"/>
        <v>3</v>
      </c>
      <c r="AV153" s="61" t="str">
        <f t="shared" si="64"/>
        <v>Sem mapa/sem consumo automático</v>
      </c>
      <c r="AW153" s="70"/>
      <c r="AX153" s="70">
        <v>0</v>
      </c>
      <c r="AY153" s="71" t="str">
        <f t="shared" si="65"/>
        <v>NÃO MAPEADO</v>
      </c>
      <c r="AZ153" s="70"/>
      <c r="BA153" s="71" t="str">
        <f t="shared" si="66"/>
        <v/>
      </c>
      <c r="BB153" s="70" t="str">
        <f t="shared" si="67"/>
        <v>Verificar cadastro</v>
      </c>
      <c r="BC153" s="78">
        <v>0</v>
      </c>
      <c r="BD153" s="78">
        <f t="shared" si="68"/>
        <v>0</v>
      </c>
      <c r="BE153" s="78">
        <v>0</v>
      </c>
      <c r="BF153">
        <v>0</v>
      </c>
      <c r="BG153">
        <v>0</v>
      </c>
      <c r="BH153">
        <v>0</v>
      </c>
      <c r="BJ153">
        <v>0</v>
      </c>
    </row>
    <row r="154" spans="1:63" ht="30" x14ac:dyDescent="0.25">
      <c r="A154" s="8" t="s">
        <v>344</v>
      </c>
      <c r="B154" s="8">
        <v>76.84</v>
      </c>
      <c r="C154" s="8">
        <v>230.51</v>
      </c>
      <c r="D154" s="8">
        <v>10500</v>
      </c>
      <c r="E154" s="8" t="s">
        <v>322</v>
      </c>
      <c r="F154" s="8" t="s">
        <v>323</v>
      </c>
      <c r="G154" s="8" t="s">
        <v>344</v>
      </c>
      <c r="H154" s="8">
        <v>3</v>
      </c>
      <c r="I154" s="9">
        <v>0</v>
      </c>
      <c r="J154" s="10">
        <f>REMESSAS!W155</f>
        <v>0</v>
      </c>
      <c r="K154" s="11">
        <f t="shared" si="47"/>
        <v>3</v>
      </c>
      <c r="L154" s="11">
        <f t="shared" si="48"/>
        <v>0</v>
      </c>
      <c r="M154" s="11">
        <f t="shared" si="49"/>
        <v>-3</v>
      </c>
      <c r="N154" s="11">
        <v>0</v>
      </c>
      <c r="O154" s="76">
        <f>IF($A154="","",IFERROR(SUMIF(Consumo_Joists!$A:$A,$A154,Consumo_Joists!$P:$P),0)+IFERROR(SUMIF(Consumo_Quadrantes!$A:$A,$A154,Consumo_Quadrantes!$F:$F),0))</f>
        <v>0</v>
      </c>
      <c r="P154" s="76">
        <v>0</v>
      </c>
      <c r="Q154" s="76"/>
      <c r="R154" s="76"/>
      <c r="S154" s="3">
        <f t="shared" si="50"/>
        <v>0</v>
      </c>
      <c r="T154" s="1" t="str">
        <f t="shared" si="51"/>
        <v>Crítico</v>
      </c>
      <c r="U154" s="1" t="s">
        <v>498</v>
      </c>
      <c r="V154" s="1" t="s">
        <v>80</v>
      </c>
      <c r="W154" s="1" t="s">
        <v>499</v>
      </c>
      <c r="X154" s="2">
        <f t="shared" si="52"/>
        <v>2</v>
      </c>
      <c r="Y154" s="1" t="str">
        <f t="shared" si="53"/>
        <v>Enviar se houver espaço</v>
      </c>
      <c r="Z154" s="1" t="str">
        <f t="shared" si="54"/>
        <v>OK</v>
      </c>
      <c r="AA154" s="11">
        <f t="shared" si="55"/>
        <v>0.6</v>
      </c>
      <c r="AB154" s="11">
        <f t="shared" si="56"/>
        <v>0.6</v>
      </c>
      <c r="AC154" s="1"/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76">
        <v>0</v>
      </c>
      <c r="AJ154" s="76">
        <f t="shared" si="57"/>
        <v>0</v>
      </c>
      <c r="AK154" s="1">
        <v>0</v>
      </c>
      <c r="AL154" s="1">
        <v>0</v>
      </c>
      <c r="AM154" s="1" t="str">
        <f t="shared" si="58"/>
        <v/>
      </c>
      <c r="AN154" s="1">
        <f t="shared" si="59"/>
        <v>0</v>
      </c>
      <c r="AO154" s="1">
        <v>0</v>
      </c>
      <c r="AP154" s="61">
        <f t="shared" si="60"/>
        <v>0</v>
      </c>
      <c r="AQ154" s="61">
        <v>0</v>
      </c>
      <c r="AR154" s="76">
        <v>0</v>
      </c>
      <c r="AS154" s="76">
        <f t="shared" si="61"/>
        <v>0</v>
      </c>
      <c r="AT154" s="69" t="str">
        <f t="shared" si="62"/>
        <v>OK</v>
      </c>
      <c r="AU154" s="77">
        <f t="shared" si="63"/>
        <v>3</v>
      </c>
      <c r="AV154" s="61" t="str">
        <f t="shared" si="64"/>
        <v>Sem mapa/sem consumo automático</v>
      </c>
      <c r="AW154" s="70"/>
      <c r="AX154" s="70">
        <v>0</v>
      </c>
      <c r="AY154" s="71" t="str">
        <f t="shared" si="65"/>
        <v>NÃO MAPEADO</v>
      </c>
      <c r="AZ154" s="70"/>
      <c r="BA154" s="71" t="str">
        <f t="shared" si="66"/>
        <v/>
      </c>
      <c r="BB154" s="70" t="str">
        <f t="shared" si="67"/>
        <v>Verificar cadastro</v>
      </c>
      <c r="BC154" s="78">
        <v>0</v>
      </c>
      <c r="BD154" s="78">
        <f t="shared" si="68"/>
        <v>0</v>
      </c>
      <c r="BE154" s="78">
        <v>0</v>
      </c>
      <c r="BF154">
        <v>0</v>
      </c>
      <c r="BG154">
        <v>0</v>
      </c>
      <c r="BH154">
        <v>0</v>
      </c>
      <c r="BJ154">
        <v>0</v>
      </c>
    </row>
    <row r="155" spans="1:63" ht="30" x14ac:dyDescent="0.25">
      <c r="A155" s="8" t="s">
        <v>347</v>
      </c>
      <c r="B155" s="8">
        <v>221.11</v>
      </c>
      <c r="C155" s="8">
        <v>16141.07</v>
      </c>
      <c r="D155" s="8">
        <v>5972</v>
      </c>
      <c r="E155" s="8" t="s">
        <v>345</v>
      </c>
      <c r="F155" s="8" t="s">
        <v>346</v>
      </c>
      <c r="G155" s="8" t="s">
        <v>347</v>
      </c>
      <c r="H155" s="8">
        <v>73</v>
      </c>
      <c r="I155" s="12">
        <v>0</v>
      </c>
      <c r="J155" s="10">
        <f>REMESSAS!W156</f>
        <v>0</v>
      </c>
      <c r="K155" s="11">
        <f t="shared" si="47"/>
        <v>73</v>
      </c>
      <c r="L155" s="11">
        <f t="shared" si="48"/>
        <v>0</v>
      </c>
      <c r="M155" s="11">
        <f t="shared" si="49"/>
        <v>-73</v>
      </c>
      <c r="N155" s="11">
        <v>0</v>
      </c>
      <c r="O155" s="76">
        <f>IF($A155="","",IFERROR(SUMIF(Consumo_Joists!$A:$A,$A155,Consumo_Joists!$P:$P),0)+IFERROR(SUMIF(Consumo_Quadrantes!$A:$A,$A155,Consumo_Quadrantes!$F:$F),0))</f>
        <v>0</v>
      </c>
      <c r="P155" s="76">
        <v>0</v>
      </c>
      <c r="Q155" s="76"/>
      <c r="R155" s="76"/>
      <c r="S155" s="3">
        <f t="shared" si="50"/>
        <v>0</v>
      </c>
      <c r="T155" s="1" t="str">
        <f t="shared" si="51"/>
        <v>Crítico</v>
      </c>
      <c r="U155" s="1" t="s">
        <v>498</v>
      </c>
      <c r="V155" s="1" t="s">
        <v>80</v>
      </c>
      <c r="W155" s="1" t="s">
        <v>499</v>
      </c>
      <c r="X155" s="2">
        <f t="shared" si="52"/>
        <v>37</v>
      </c>
      <c r="Y155" s="1" t="str">
        <f t="shared" si="53"/>
        <v>Enviar se houver espaço</v>
      </c>
      <c r="Z155" s="1" t="str">
        <f t="shared" si="54"/>
        <v>OK</v>
      </c>
      <c r="AA155" s="11">
        <f t="shared" si="55"/>
        <v>14.6</v>
      </c>
      <c r="AB155" s="11">
        <f t="shared" si="56"/>
        <v>14.6</v>
      </c>
      <c r="AC155" s="1"/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76">
        <v>0</v>
      </c>
      <c r="AJ155" s="76">
        <f t="shared" si="57"/>
        <v>0</v>
      </c>
      <c r="AK155" s="1">
        <v>0</v>
      </c>
      <c r="AL155" s="1">
        <v>0</v>
      </c>
      <c r="AM155" s="1" t="str">
        <f t="shared" si="58"/>
        <v/>
      </c>
      <c r="AN155" s="1">
        <f t="shared" si="59"/>
        <v>0</v>
      </c>
      <c r="AO155" s="1">
        <v>0</v>
      </c>
      <c r="AP155" s="61">
        <f t="shared" si="60"/>
        <v>0</v>
      </c>
      <c r="AQ155" s="61">
        <v>0</v>
      </c>
      <c r="AR155" s="76">
        <v>0</v>
      </c>
      <c r="AS155" s="76">
        <f t="shared" si="61"/>
        <v>0</v>
      </c>
      <c r="AT155" s="69" t="str">
        <f t="shared" si="62"/>
        <v>OK</v>
      </c>
      <c r="AU155" s="77">
        <f t="shared" si="63"/>
        <v>73</v>
      </c>
      <c r="AV155" s="61" t="str">
        <f t="shared" si="64"/>
        <v>Sem mapa/sem consumo automático</v>
      </c>
      <c r="AW155" s="70"/>
      <c r="AX155" s="70">
        <v>0</v>
      </c>
      <c r="AY155" s="71" t="str">
        <f t="shared" si="65"/>
        <v>NÃO MAPEADO</v>
      </c>
      <c r="AZ155" s="70"/>
      <c r="BA155" s="71" t="str">
        <f t="shared" si="66"/>
        <v/>
      </c>
      <c r="BB155" s="70" t="str">
        <f t="shared" si="67"/>
        <v>Verificar cadastro</v>
      </c>
      <c r="BC155" s="78">
        <v>0</v>
      </c>
      <c r="BD155" s="78">
        <f t="shared" si="68"/>
        <v>0</v>
      </c>
      <c r="BE155" s="78">
        <v>0</v>
      </c>
      <c r="BF155">
        <v>0</v>
      </c>
      <c r="BG155">
        <v>0</v>
      </c>
      <c r="BH155">
        <v>0</v>
      </c>
      <c r="BJ155">
        <v>0</v>
      </c>
    </row>
    <row r="156" spans="1:63" ht="30" x14ac:dyDescent="0.25">
      <c r="A156" s="8" t="s">
        <v>350</v>
      </c>
      <c r="B156" s="8">
        <v>3.27</v>
      </c>
      <c r="C156" s="8">
        <v>588.5</v>
      </c>
      <c r="D156" s="8">
        <v>486</v>
      </c>
      <c r="E156" s="8" t="s">
        <v>348</v>
      </c>
      <c r="F156" s="8" t="s">
        <v>349</v>
      </c>
      <c r="G156" s="8" t="s">
        <v>350</v>
      </c>
      <c r="H156" s="8">
        <v>180</v>
      </c>
      <c r="I156" s="9">
        <v>0</v>
      </c>
      <c r="J156" s="10">
        <f>REMESSAS!W157</f>
        <v>0</v>
      </c>
      <c r="K156" s="11">
        <f t="shared" si="47"/>
        <v>180</v>
      </c>
      <c r="L156" s="11">
        <f t="shared" si="48"/>
        <v>0</v>
      </c>
      <c r="M156" s="11">
        <f t="shared" si="49"/>
        <v>-180</v>
      </c>
      <c r="N156" s="11">
        <v>0</v>
      </c>
      <c r="O156" s="76">
        <f>IF($A156="","",IFERROR(SUMIF(Consumo_Joists!$A:$A,$A156,Consumo_Joists!$P:$P),0)+IFERROR(SUMIF(Consumo_Quadrantes!$A:$A,$A156,Consumo_Quadrantes!$F:$F),0))</f>
        <v>0</v>
      </c>
      <c r="P156" s="76">
        <v>0</v>
      </c>
      <c r="Q156" s="76"/>
      <c r="R156" s="76"/>
      <c r="S156" s="3">
        <f t="shared" si="50"/>
        <v>0</v>
      </c>
      <c r="T156" s="1" t="str">
        <f t="shared" si="51"/>
        <v>Crítico</v>
      </c>
      <c r="U156" s="1" t="s">
        <v>498</v>
      </c>
      <c r="V156" s="1" t="s">
        <v>80</v>
      </c>
      <c r="W156" s="1" t="s">
        <v>499</v>
      </c>
      <c r="X156" s="2">
        <f t="shared" si="52"/>
        <v>90</v>
      </c>
      <c r="Y156" s="1" t="str">
        <f t="shared" si="53"/>
        <v>Enviar se houver espaço</v>
      </c>
      <c r="Z156" s="1" t="str">
        <f t="shared" si="54"/>
        <v>OK</v>
      </c>
      <c r="AA156" s="11">
        <f t="shared" si="55"/>
        <v>36</v>
      </c>
      <c r="AB156" s="11">
        <f t="shared" si="56"/>
        <v>36</v>
      </c>
      <c r="AC156" s="1"/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76">
        <v>0</v>
      </c>
      <c r="AJ156" s="76">
        <f t="shared" si="57"/>
        <v>0</v>
      </c>
      <c r="AK156" s="1">
        <v>0</v>
      </c>
      <c r="AL156" s="1">
        <v>0</v>
      </c>
      <c r="AM156" s="1" t="str">
        <f t="shared" si="58"/>
        <v/>
      </c>
      <c r="AN156" s="1">
        <f t="shared" si="59"/>
        <v>0</v>
      </c>
      <c r="AO156" s="1">
        <v>0</v>
      </c>
      <c r="AP156" s="61">
        <f t="shared" si="60"/>
        <v>0</v>
      </c>
      <c r="AQ156" s="61">
        <v>0</v>
      </c>
      <c r="AR156" s="76">
        <v>0</v>
      </c>
      <c r="AS156" s="76">
        <f t="shared" si="61"/>
        <v>0</v>
      </c>
      <c r="AT156" s="69" t="str">
        <f t="shared" si="62"/>
        <v>OK</v>
      </c>
      <c r="AU156" s="77">
        <f t="shared" si="63"/>
        <v>180</v>
      </c>
      <c r="AV156" s="61" t="str">
        <f t="shared" si="64"/>
        <v>Sem mapa/sem consumo automático</v>
      </c>
      <c r="AW156" s="70"/>
      <c r="AX156" s="70">
        <v>0</v>
      </c>
      <c r="AY156" s="71" t="str">
        <f t="shared" si="65"/>
        <v>NÃO MAPEADO</v>
      </c>
      <c r="AZ156" s="70"/>
      <c r="BA156" s="71" t="str">
        <f t="shared" si="66"/>
        <v/>
      </c>
      <c r="BB156" s="70" t="str">
        <f t="shared" si="67"/>
        <v>Verificar cadastro</v>
      </c>
      <c r="BC156" s="78">
        <v>0</v>
      </c>
      <c r="BD156" s="78">
        <f t="shared" si="68"/>
        <v>0</v>
      </c>
      <c r="BE156" s="78">
        <v>0</v>
      </c>
      <c r="BF156">
        <v>0</v>
      </c>
      <c r="BG156">
        <v>0</v>
      </c>
      <c r="BH156">
        <v>0</v>
      </c>
      <c r="BJ156">
        <v>0</v>
      </c>
    </row>
    <row r="157" spans="1:63" ht="30" x14ac:dyDescent="0.25">
      <c r="A157" s="8" t="s">
        <v>352</v>
      </c>
      <c r="B157" s="8">
        <v>13.99</v>
      </c>
      <c r="C157" s="8">
        <v>1678.62</v>
      </c>
      <c r="D157" s="8">
        <v>2078</v>
      </c>
      <c r="E157" s="8" t="s">
        <v>348</v>
      </c>
      <c r="F157" s="8" t="s">
        <v>351</v>
      </c>
      <c r="G157" s="8" t="s">
        <v>352</v>
      </c>
      <c r="H157" s="8">
        <v>120</v>
      </c>
      <c r="I157" s="12">
        <v>0</v>
      </c>
      <c r="J157" s="10">
        <f>REMESSAS!W158</f>
        <v>0</v>
      </c>
      <c r="K157" s="11">
        <f t="shared" si="47"/>
        <v>120</v>
      </c>
      <c r="L157" s="11">
        <f t="shared" si="48"/>
        <v>0</v>
      </c>
      <c r="M157" s="11">
        <f t="shared" si="49"/>
        <v>-120</v>
      </c>
      <c r="N157" s="11">
        <v>0</v>
      </c>
      <c r="O157" s="76">
        <f>IF($A157="","",IFERROR(SUMIF(Consumo_Joists!$A:$A,$A157,Consumo_Joists!$P:$P),0)+IFERROR(SUMIF(Consumo_Quadrantes!$A:$A,$A157,Consumo_Quadrantes!$F:$F),0))</f>
        <v>0</v>
      </c>
      <c r="P157" s="76">
        <v>0</v>
      </c>
      <c r="Q157" s="76"/>
      <c r="R157" s="76"/>
      <c r="S157" s="3">
        <f t="shared" si="50"/>
        <v>0</v>
      </c>
      <c r="T157" s="1" t="str">
        <f t="shared" si="51"/>
        <v>Crítico</v>
      </c>
      <c r="U157" s="1" t="s">
        <v>498</v>
      </c>
      <c r="V157" s="1" t="s">
        <v>80</v>
      </c>
      <c r="W157" s="1" t="s">
        <v>499</v>
      </c>
      <c r="X157" s="2">
        <f t="shared" si="52"/>
        <v>60</v>
      </c>
      <c r="Y157" s="1" t="str">
        <f t="shared" si="53"/>
        <v>Enviar se houver espaço</v>
      </c>
      <c r="Z157" s="1" t="str">
        <f t="shared" si="54"/>
        <v>OK</v>
      </c>
      <c r="AA157" s="11">
        <f t="shared" si="55"/>
        <v>24</v>
      </c>
      <c r="AB157" s="11">
        <f t="shared" si="56"/>
        <v>24</v>
      </c>
      <c r="AC157" s="1"/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76">
        <v>0</v>
      </c>
      <c r="AJ157" s="76">
        <f t="shared" si="57"/>
        <v>0</v>
      </c>
      <c r="AK157" s="1">
        <v>0</v>
      </c>
      <c r="AL157" s="1">
        <v>0</v>
      </c>
      <c r="AM157" s="1" t="str">
        <f t="shared" si="58"/>
        <v/>
      </c>
      <c r="AN157" s="1">
        <f t="shared" si="59"/>
        <v>0</v>
      </c>
      <c r="AO157" s="1">
        <v>0</v>
      </c>
      <c r="AP157" s="61">
        <f t="shared" si="60"/>
        <v>0</v>
      </c>
      <c r="AQ157" s="61">
        <v>0</v>
      </c>
      <c r="AR157" s="76">
        <v>0</v>
      </c>
      <c r="AS157" s="76">
        <f t="shared" si="61"/>
        <v>0</v>
      </c>
      <c r="AT157" s="69" t="str">
        <f t="shared" si="62"/>
        <v>OK</v>
      </c>
      <c r="AU157" s="77">
        <f t="shared" si="63"/>
        <v>120</v>
      </c>
      <c r="AV157" s="61" t="str">
        <f t="shared" si="64"/>
        <v>Sem mapa/sem consumo automático</v>
      </c>
      <c r="AW157" s="70"/>
      <c r="AX157" s="70">
        <v>0</v>
      </c>
      <c r="AY157" s="71" t="str">
        <f t="shared" si="65"/>
        <v>NÃO MAPEADO</v>
      </c>
      <c r="AZ157" s="70"/>
      <c r="BA157" s="71" t="str">
        <f t="shared" si="66"/>
        <v/>
      </c>
      <c r="BB157" s="70" t="str">
        <f t="shared" si="67"/>
        <v>Verificar cadastro</v>
      </c>
      <c r="BC157" s="78">
        <v>0</v>
      </c>
      <c r="BD157" s="78">
        <f t="shared" si="68"/>
        <v>0</v>
      </c>
      <c r="BE157" s="78">
        <v>0</v>
      </c>
      <c r="BF157">
        <v>0</v>
      </c>
      <c r="BG157">
        <v>0</v>
      </c>
      <c r="BH157">
        <v>0</v>
      </c>
      <c r="BJ157">
        <v>0</v>
      </c>
    </row>
    <row r="158" spans="1:63" ht="30" x14ac:dyDescent="0.25">
      <c r="A158" s="8" t="s">
        <v>355</v>
      </c>
      <c r="B158" s="8">
        <v>0.28000000000000003</v>
      </c>
      <c r="C158" s="8">
        <v>233.15</v>
      </c>
      <c r="D158" s="8">
        <v>164</v>
      </c>
      <c r="E158" s="8" t="s">
        <v>353</v>
      </c>
      <c r="F158" s="8" t="s">
        <v>354</v>
      </c>
      <c r="G158" s="8" t="s">
        <v>355</v>
      </c>
      <c r="H158" s="8">
        <v>840</v>
      </c>
      <c r="I158" s="9">
        <v>0</v>
      </c>
      <c r="J158" s="10">
        <f>REMESSAS!W159</f>
        <v>0</v>
      </c>
      <c r="K158" s="11">
        <f t="shared" si="47"/>
        <v>840</v>
      </c>
      <c r="L158" s="11">
        <f t="shared" si="48"/>
        <v>0</v>
      </c>
      <c r="M158" s="11">
        <f t="shared" si="49"/>
        <v>-840</v>
      </c>
      <c r="N158" s="11">
        <v>0</v>
      </c>
      <c r="O158" s="76">
        <f>IF($A158="","",IFERROR(SUMIF(Consumo_Joists!$A:$A,$A158,Consumo_Joists!$P:$P),0)+IFERROR(SUMIF(Consumo_Quadrantes!$A:$A,$A158,Consumo_Quadrantes!$F:$F),0))</f>
        <v>0</v>
      </c>
      <c r="P158" s="76">
        <v>0</v>
      </c>
      <c r="Q158" s="76"/>
      <c r="R158" s="76"/>
      <c r="S158" s="3">
        <f t="shared" si="50"/>
        <v>0</v>
      </c>
      <c r="T158" s="1" t="str">
        <f t="shared" si="51"/>
        <v>Crítico</v>
      </c>
      <c r="U158" s="1" t="s">
        <v>498</v>
      </c>
      <c r="V158" s="1" t="s">
        <v>80</v>
      </c>
      <c r="W158" s="1" t="s">
        <v>499</v>
      </c>
      <c r="X158" s="2">
        <f t="shared" si="52"/>
        <v>420</v>
      </c>
      <c r="Y158" s="1" t="str">
        <f t="shared" si="53"/>
        <v>Enviar se houver espaço</v>
      </c>
      <c r="Z158" s="1" t="str">
        <f t="shared" si="54"/>
        <v>OK</v>
      </c>
      <c r="AA158" s="11">
        <f t="shared" si="55"/>
        <v>168</v>
      </c>
      <c r="AB158" s="11">
        <f t="shared" si="56"/>
        <v>168</v>
      </c>
      <c r="AC158" s="1"/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76">
        <v>0</v>
      </c>
      <c r="AJ158" s="76">
        <f t="shared" si="57"/>
        <v>0</v>
      </c>
      <c r="AK158" s="1">
        <v>0</v>
      </c>
      <c r="AL158" s="1">
        <v>0</v>
      </c>
      <c r="AM158" s="1" t="str">
        <f t="shared" si="58"/>
        <v/>
      </c>
      <c r="AN158" s="1">
        <f t="shared" si="59"/>
        <v>0</v>
      </c>
      <c r="AO158" s="1">
        <v>0</v>
      </c>
      <c r="AP158" s="61">
        <f t="shared" si="60"/>
        <v>0</v>
      </c>
      <c r="AQ158" s="61">
        <v>0</v>
      </c>
      <c r="AR158" s="76">
        <v>0</v>
      </c>
      <c r="AS158" s="76">
        <f t="shared" si="61"/>
        <v>0</v>
      </c>
      <c r="AT158" s="69" t="str">
        <f t="shared" si="62"/>
        <v>OK</v>
      </c>
      <c r="AU158" s="77">
        <f t="shared" si="63"/>
        <v>840</v>
      </c>
      <c r="AV158" s="61" t="str">
        <f t="shared" si="64"/>
        <v>Sem mapa/sem consumo automático</v>
      </c>
      <c r="AW158" s="70"/>
      <c r="AX158" s="70">
        <v>0</v>
      </c>
      <c r="AY158" s="71" t="str">
        <f t="shared" si="65"/>
        <v>NÃO MAPEADO</v>
      </c>
      <c r="AZ158" s="70"/>
      <c r="BA158" s="71" t="str">
        <f t="shared" si="66"/>
        <v/>
      </c>
      <c r="BB158" s="70" t="str">
        <f t="shared" si="67"/>
        <v>Verificar cadastro</v>
      </c>
      <c r="BC158" s="78">
        <v>0</v>
      </c>
      <c r="BD158" s="78">
        <f t="shared" si="68"/>
        <v>0</v>
      </c>
      <c r="BE158" s="78">
        <v>0</v>
      </c>
      <c r="BF158">
        <v>0</v>
      </c>
      <c r="BG158">
        <v>0</v>
      </c>
      <c r="BH158">
        <v>0</v>
      </c>
      <c r="BJ158">
        <v>0</v>
      </c>
      <c r="BK158" s="103"/>
    </row>
    <row r="159" spans="1:63" ht="30" x14ac:dyDescent="0.25">
      <c r="A159" s="8" t="s">
        <v>357</v>
      </c>
      <c r="B159" s="8">
        <v>0.09</v>
      </c>
      <c r="C159" s="8">
        <v>76.709999999999994</v>
      </c>
      <c r="D159" s="8">
        <v>62</v>
      </c>
      <c r="E159" s="8" t="s">
        <v>356</v>
      </c>
      <c r="F159" s="8" t="s">
        <v>354</v>
      </c>
      <c r="G159" s="8" t="s">
        <v>357</v>
      </c>
      <c r="H159" s="8">
        <v>840</v>
      </c>
      <c r="I159" s="12">
        <v>0</v>
      </c>
      <c r="J159" s="10">
        <f>REMESSAS!W160</f>
        <v>0</v>
      </c>
      <c r="K159" s="11">
        <f t="shared" si="47"/>
        <v>840</v>
      </c>
      <c r="L159" s="11">
        <f t="shared" si="48"/>
        <v>0</v>
      </c>
      <c r="M159" s="11">
        <f t="shared" si="49"/>
        <v>-840</v>
      </c>
      <c r="N159" s="11">
        <v>0</v>
      </c>
      <c r="O159" s="76">
        <f>IF($A159="","",IFERROR(SUMIF(Consumo_Joists!$A:$A,$A159,Consumo_Joists!$P:$P),0)+IFERROR(SUMIF(Consumo_Quadrantes!$A:$A,$A159,Consumo_Quadrantes!$F:$F),0))</f>
        <v>0</v>
      </c>
      <c r="P159" s="76">
        <v>0</v>
      </c>
      <c r="Q159" s="76"/>
      <c r="R159" s="76"/>
      <c r="S159" s="3">
        <f t="shared" si="50"/>
        <v>0</v>
      </c>
      <c r="T159" s="1" t="str">
        <f t="shared" si="51"/>
        <v>Crítico</v>
      </c>
      <c r="U159" s="1" t="s">
        <v>498</v>
      </c>
      <c r="V159" s="1" t="s">
        <v>80</v>
      </c>
      <c r="W159" s="1" t="s">
        <v>499</v>
      </c>
      <c r="X159" s="2">
        <f t="shared" si="52"/>
        <v>420</v>
      </c>
      <c r="Y159" s="1" t="str">
        <f t="shared" si="53"/>
        <v>Enviar se houver espaço</v>
      </c>
      <c r="Z159" s="1" t="str">
        <f t="shared" si="54"/>
        <v>OK</v>
      </c>
      <c r="AA159" s="11">
        <f t="shared" si="55"/>
        <v>168</v>
      </c>
      <c r="AB159" s="11">
        <f t="shared" si="56"/>
        <v>168</v>
      </c>
      <c r="AC159" s="1"/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76">
        <v>0</v>
      </c>
      <c r="AJ159" s="76">
        <f t="shared" si="57"/>
        <v>0</v>
      </c>
      <c r="AK159" s="1">
        <v>0</v>
      </c>
      <c r="AL159" s="1">
        <v>0</v>
      </c>
      <c r="AM159" s="1" t="str">
        <f t="shared" si="58"/>
        <v/>
      </c>
      <c r="AN159" s="1">
        <f t="shared" si="59"/>
        <v>0</v>
      </c>
      <c r="AO159" s="1">
        <v>0</v>
      </c>
      <c r="AP159" s="61">
        <f t="shared" si="60"/>
        <v>0</v>
      </c>
      <c r="AQ159" s="61">
        <v>0</v>
      </c>
      <c r="AR159" s="76">
        <v>0</v>
      </c>
      <c r="AS159" s="76">
        <f t="shared" si="61"/>
        <v>0</v>
      </c>
      <c r="AT159" s="69" t="str">
        <f t="shared" si="62"/>
        <v>OK</v>
      </c>
      <c r="AU159" s="77">
        <f t="shared" si="63"/>
        <v>840</v>
      </c>
      <c r="AV159" s="61" t="str">
        <f t="shared" si="64"/>
        <v>Sem mapa/sem consumo automático</v>
      </c>
      <c r="AW159" s="70"/>
      <c r="AX159" s="70">
        <v>0</v>
      </c>
      <c r="AY159" s="71" t="str">
        <f t="shared" si="65"/>
        <v>NÃO MAPEADO</v>
      </c>
      <c r="AZ159" s="70"/>
      <c r="BA159" s="71" t="str">
        <f t="shared" si="66"/>
        <v/>
      </c>
      <c r="BB159" s="70" t="str">
        <f t="shared" si="67"/>
        <v>Verificar cadastro</v>
      </c>
      <c r="BC159" s="78">
        <v>0</v>
      </c>
      <c r="BD159" s="78">
        <f t="shared" si="68"/>
        <v>0</v>
      </c>
      <c r="BE159" s="78">
        <v>0</v>
      </c>
      <c r="BF159">
        <v>0</v>
      </c>
      <c r="BG159">
        <v>0</v>
      </c>
      <c r="BH159">
        <v>0</v>
      </c>
      <c r="BJ159">
        <v>0</v>
      </c>
      <c r="BK159" s="103"/>
    </row>
    <row r="160" spans="1:63" ht="30" x14ac:dyDescent="0.25">
      <c r="A160" s="8" t="s">
        <v>359</v>
      </c>
      <c r="B160" s="8">
        <v>30.74</v>
      </c>
      <c r="C160" s="8">
        <v>4488.24</v>
      </c>
      <c r="D160" s="8">
        <v>1004</v>
      </c>
      <c r="E160" s="8" t="s">
        <v>358</v>
      </c>
      <c r="F160" s="8" t="s">
        <v>309</v>
      </c>
      <c r="G160" s="8" t="s">
        <v>359</v>
      </c>
      <c r="H160" s="8">
        <v>146</v>
      </c>
      <c r="I160" s="9">
        <v>0</v>
      </c>
      <c r="J160" s="10">
        <f>REMESSAS!W161</f>
        <v>0</v>
      </c>
      <c r="K160" s="11">
        <f t="shared" si="47"/>
        <v>146</v>
      </c>
      <c r="L160" s="11">
        <f t="shared" si="48"/>
        <v>0</v>
      </c>
      <c r="M160" s="11">
        <f t="shared" si="49"/>
        <v>-146</v>
      </c>
      <c r="N160" s="11">
        <v>0</v>
      </c>
      <c r="O160" s="76">
        <f>IF($A160="","",IFERROR(SUMIF(Consumo_Joists!$A:$A,$A160,Consumo_Joists!$P:$P),0)+IFERROR(SUMIF(Consumo_Quadrantes!$A:$A,$A160,Consumo_Quadrantes!$F:$F),0))</f>
        <v>0</v>
      </c>
      <c r="P160" s="76">
        <v>0</v>
      </c>
      <c r="Q160" s="76"/>
      <c r="R160" s="76"/>
      <c r="S160" s="3">
        <f t="shared" si="50"/>
        <v>0</v>
      </c>
      <c r="T160" s="1" t="str">
        <f t="shared" si="51"/>
        <v>Crítico</v>
      </c>
      <c r="U160" s="1" t="s">
        <v>498</v>
      </c>
      <c r="V160" s="1" t="s">
        <v>80</v>
      </c>
      <c r="W160" s="1" t="s">
        <v>499</v>
      </c>
      <c r="X160" s="2">
        <f t="shared" si="52"/>
        <v>73</v>
      </c>
      <c r="Y160" s="1" t="str">
        <f t="shared" si="53"/>
        <v>Enviar se houver espaço</v>
      </c>
      <c r="Z160" s="1" t="str">
        <f t="shared" si="54"/>
        <v>OK</v>
      </c>
      <c r="AA160" s="11">
        <f t="shared" si="55"/>
        <v>29.2</v>
      </c>
      <c r="AB160" s="11">
        <f t="shared" si="56"/>
        <v>29.2</v>
      </c>
      <c r="AC160" s="1"/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76">
        <v>0</v>
      </c>
      <c r="AJ160" s="76">
        <f t="shared" si="57"/>
        <v>0</v>
      </c>
      <c r="AK160" s="1">
        <v>0</v>
      </c>
      <c r="AL160" s="1">
        <v>0</v>
      </c>
      <c r="AM160" s="1" t="str">
        <f t="shared" si="58"/>
        <v/>
      </c>
      <c r="AN160" s="1">
        <f t="shared" si="59"/>
        <v>0</v>
      </c>
      <c r="AO160" s="1">
        <v>0</v>
      </c>
      <c r="AP160" s="61">
        <f t="shared" si="60"/>
        <v>0</v>
      </c>
      <c r="AQ160" s="61">
        <v>0</v>
      </c>
      <c r="AR160" s="76">
        <v>0</v>
      </c>
      <c r="AS160" s="76">
        <f t="shared" si="61"/>
        <v>0</v>
      </c>
      <c r="AT160" s="69" t="str">
        <f t="shared" si="62"/>
        <v>OK</v>
      </c>
      <c r="AU160" s="77">
        <f t="shared" si="63"/>
        <v>146</v>
      </c>
      <c r="AV160" s="61" t="str">
        <f t="shared" si="64"/>
        <v>Sem mapa/sem consumo automático</v>
      </c>
      <c r="AW160" s="70"/>
      <c r="AX160" s="70">
        <v>0</v>
      </c>
      <c r="AY160" s="71" t="str">
        <f t="shared" si="65"/>
        <v>NÃO MAPEADO</v>
      </c>
      <c r="AZ160" s="70"/>
      <c r="BA160" s="71" t="str">
        <f t="shared" si="66"/>
        <v/>
      </c>
      <c r="BB160" s="70" t="str">
        <f t="shared" si="67"/>
        <v>Verificar cadastro</v>
      </c>
      <c r="BC160" s="78">
        <v>0</v>
      </c>
      <c r="BD160" s="78">
        <f t="shared" si="68"/>
        <v>0</v>
      </c>
      <c r="BE160" s="78">
        <v>0</v>
      </c>
      <c r="BF160">
        <v>0</v>
      </c>
      <c r="BG160">
        <v>0</v>
      </c>
      <c r="BH160">
        <v>0</v>
      </c>
      <c r="BJ160">
        <v>0</v>
      </c>
      <c r="BK160" s="103"/>
    </row>
    <row r="161" spans="1:63" ht="30" x14ac:dyDescent="0.25">
      <c r="A161" s="8" t="s">
        <v>361</v>
      </c>
      <c r="B161" s="8">
        <v>0.8</v>
      </c>
      <c r="C161" s="8">
        <v>723.02</v>
      </c>
      <c r="D161" s="8">
        <v>700</v>
      </c>
      <c r="E161" s="8" t="s">
        <v>129</v>
      </c>
      <c r="F161" s="8" t="s">
        <v>360</v>
      </c>
      <c r="G161" s="8" t="s">
        <v>361</v>
      </c>
      <c r="H161" s="8">
        <v>900</v>
      </c>
      <c r="I161" s="12">
        <v>0</v>
      </c>
      <c r="J161" s="10">
        <f>REMESSAS!W162</f>
        <v>0</v>
      </c>
      <c r="K161" s="11">
        <f t="shared" si="47"/>
        <v>900</v>
      </c>
      <c r="L161" s="11">
        <f t="shared" si="48"/>
        <v>0</v>
      </c>
      <c r="M161" s="11">
        <f t="shared" si="49"/>
        <v>-900</v>
      </c>
      <c r="N161" s="11">
        <v>0</v>
      </c>
      <c r="O161" s="76">
        <f>IF($A161="","",IFERROR(SUMIF(Consumo_Joists!$A:$A,$A161,Consumo_Joists!$P:$P),0)+IFERROR(SUMIF(Consumo_Quadrantes!$A:$A,$A161,Consumo_Quadrantes!$F:$F),0))</f>
        <v>0</v>
      </c>
      <c r="P161" s="76">
        <v>0</v>
      </c>
      <c r="Q161" s="76"/>
      <c r="R161" s="76"/>
      <c r="S161" s="3">
        <f t="shared" si="50"/>
        <v>0</v>
      </c>
      <c r="T161" s="1" t="str">
        <f t="shared" si="51"/>
        <v>Crítico</v>
      </c>
      <c r="U161" s="1" t="s">
        <v>498</v>
      </c>
      <c r="V161" s="1" t="s">
        <v>80</v>
      </c>
      <c r="W161" s="1" t="s">
        <v>499</v>
      </c>
      <c r="X161" s="2">
        <f t="shared" si="52"/>
        <v>450</v>
      </c>
      <c r="Y161" s="1" t="str">
        <f t="shared" si="53"/>
        <v>Enviar se houver espaço</v>
      </c>
      <c r="Z161" s="1" t="str">
        <f t="shared" si="54"/>
        <v>OK</v>
      </c>
      <c r="AA161" s="11">
        <f t="shared" si="55"/>
        <v>180</v>
      </c>
      <c r="AB161" s="11">
        <f t="shared" si="56"/>
        <v>180</v>
      </c>
      <c r="AC161" s="1"/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76">
        <v>0</v>
      </c>
      <c r="AJ161" s="76">
        <f t="shared" si="57"/>
        <v>0</v>
      </c>
      <c r="AK161" s="1">
        <v>0</v>
      </c>
      <c r="AL161" s="1">
        <v>0</v>
      </c>
      <c r="AM161" s="1" t="str">
        <f t="shared" si="58"/>
        <v/>
      </c>
      <c r="AN161" s="1">
        <f t="shared" si="59"/>
        <v>0</v>
      </c>
      <c r="AO161" s="1">
        <v>0</v>
      </c>
      <c r="AP161" s="61">
        <f t="shared" si="60"/>
        <v>0</v>
      </c>
      <c r="AQ161" s="61">
        <v>0</v>
      </c>
      <c r="AR161" s="76">
        <v>0</v>
      </c>
      <c r="AS161" s="76">
        <f t="shared" si="61"/>
        <v>0</v>
      </c>
      <c r="AT161" s="69" t="str">
        <f t="shared" si="62"/>
        <v>OK</v>
      </c>
      <c r="AU161" s="77">
        <f t="shared" si="63"/>
        <v>900</v>
      </c>
      <c r="AV161" s="61" t="str">
        <f t="shared" si="64"/>
        <v>Sem mapa/sem consumo automático</v>
      </c>
      <c r="AW161" s="70"/>
      <c r="AX161" s="70">
        <v>0</v>
      </c>
      <c r="AY161" s="71" t="str">
        <f t="shared" si="65"/>
        <v>NÃO MAPEADO</v>
      </c>
      <c r="AZ161" s="70"/>
      <c r="BA161" s="71" t="str">
        <f t="shared" si="66"/>
        <v/>
      </c>
      <c r="BB161" s="70" t="str">
        <f t="shared" si="67"/>
        <v>Verificar cadastro</v>
      </c>
      <c r="BC161" s="78">
        <v>0</v>
      </c>
      <c r="BD161" s="78">
        <f t="shared" si="68"/>
        <v>0</v>
      </c>
      <c r="BE161" s="78">
        <v>0</v>
      </c>
      <c r="BF161">
        <v>0</v>
      </c>
      <c r="BG161">
        <v>0</v>
      </c>
      <c r="BH161">
        <v>0</v>
      </c>
      <c r="BJ161">
        <v>0</v>
      </c>
      <c r="BK161" s="103"/>
    </row>
    <row r="162" spans="1:63" ht="30" x14ac:dyDescent="0.25">
      <c r="A162" s="8" t="s">
        <v>384</v>
      </c>
      <c r="B162" s="8">
        <v>0</v>
      </c>
      <c r="C162" s="8">
        <v>0</v>
      </c>
      <c r="D162" s="8"/>
      <c r="E162" s="8" t="s">
        <v>367</v>
      </c>
      <c r="F162" s="8" t="s">
        <v>383</v>
      </c>
      <c r="G162" s="8" t="s">
        <v>384</v>
      </c>
      <c r="H162" s="8">
        <v>1458</v>
      </c>
      <c r="I162" s="9">
        <v>0</v>
      </c>
      <c r="J162" s="10">
        <f>IFERROR(SUMIF(REMESSAS!$C:$C,$A162,REMESSAS!$W:$W),0)</f>
        <v>0</v>
      </c>
      <c r="K162" s="11">
        <f t="shared" si="47"/>
        <v>1458</v>
      </c>
      <c r="L162" s="11">
        <f t="shared" si="48"/>
        <v>0</v>
      </c>
      <c r="M162" s="11">
        <f t="shared" si="49"/>
        <v>-1458</v>
      </c>
      <c r="N162" s="11">
        <v>0</v>
      </c>
      <c r="O162" s="76">
        <f>IF($A162="","",IFERROR(SUMIF(Consumo_Joists!$A:$A,$A162,Consumo_Joists!$P:$P),0)+IFERROR(SUMIF(Consumo_Quadrantes!$A:$A,$A162,Consumo_Quadrantes!$F:$F),0))</f>
        <v>0</v>
      </c>
      <c r="P162" s="76">
        <v>0</v>
      </c>
      <c r="Q162" s="76"/>
      <c r="R162" s="76"/>
      <c r="S162" s="3">
        <f t="shared" si="50"/>
        <v>0</v>
      </c>
      <c r="T162" s="1" t="str">
        <f t="shared" si="51"/>
        <v>Crítico</v>
      </c>
      <c r="U162" s="1" t="s">
        <v>370</v>
      </c>
      <c r="V162" s="1" t="s">
        <v>80</v>
      </c>
      <c r="W162" s="1" t="s">
        <v>505</v>
      </c>
      <c r="X162" s="2">
        <f t="shared" si="52"/>
        <v>729</v>
      </c>
      <c r="Y162" s="1" t="str">
        <f t="shared" si="53"/>
        <v>Enviar se houver espaço</v>
      </c>
      <c r="Z162" s="1" t="str">
        <f t="shared" si="54"/>
        <v>OK</v>
      </c>
      <c r="AA162" s="11">
        <f t="shared" si="55"/>
        <v>291.60000000000002</v>
      </c>
      <c r="AB162" s="11">
        <f t="shared" si="56"/>
        <v>291.60000000000002</v>
      </c>
      <c r="AC162" s="1"/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76">
        <v>0</v>
      </c>
      <c r="AJ162" s="76">
        <f t="shared" si="57"/>
        <v>0</v>
      </c>
      <c r="AK162" s="1">
        <v>0</v>
      </c>
      <c r="AL162" s="1">
        <v>0</v>
      </c>
      <c r="AM162" s="1" t="str">
        <f t="shared" si="58"/>
        <v/>
      </c>
      <c r="AN162" s="1">
        <f t="shared" si="59"/>
        <v>0</v>
      </c>
      <c r="AO162" s="1">
        <v>0</v>
      </c>
      <c r="AP162" s="61">
        <f t="shared" si="60"/>
        <v>0</v>
      </c>
      <c r="AQ162" s="61">
        <v>0</v>
      </c>
      <c r="AR162" s="76">
        <v>0</v>
      </c>
      <c r="AS162" s="76">
        <f t="shared" si="61"/>
        <v>0</v>
      </c>
      <c r="AT162" s="69" t="str">
        <f t="shared" si="62"/>
        <v>OK</v>
      </c>
      <c r="AU162" s="77">
        <f t="shared" si="63"/>
        <v>1458</v>
      </c>
      <c r="AV162" s="61" t="str">
        <f t="shared" si="64"/>
        <v>Sem mapa/sem consumo automático</v>
      </c>
      <c r="AW162" s="70"/>
      <c r="AX162" s="70">
        <v>0</v>
      </c>
      <c r="AY162" s="71" t="str">
        <f t="shared" si="65"/>
        <v>NÃO MAPEADO</v>
      </c>
      <c r="AZ162" s="70"/>
      <c r="BA162" s="71" t="str">
        <f t="shared" si="66"/>
        <v/>
      </c>
      <c r="BB162" s="70" t="str">
        <f t="shared" si="67"/>
        <v>Verificar cadastro</v>
      </c>
      <c r="BC162" s="78">
        <v>0</v>
      </c>
      <c r="BD162" s="78">
        <f t="shared" si="68"/>
        <v>0</v>
      </c>
      <c r="BE162" s="78">
        <v>0</v>
      </c>
      <c r="BF162">
        <v>0</v>
      </c>
      <c r="BG162">
        <v>0</v>
      </c>
      <c r="BH162">
        <v>0</v>
      </c>
      <c r="BJ162">
        <v>0</v>
      </c>
      <c r="BK162" s="103"/>
    </row>
    <row r="163" spans="1:63" ht="20.100000000000001" customHeight="1" x14ac:dyDescent="0.25">
      <c r="A163" s="8" t="s">
        <v>387</v>
      </c>
      <c r="B163" s="8">
        <v>0</v>
      </c>
      <c r="C163" s="8">
        <v>0</v>
      </c>
      <c r="D163" s="8"/>
      <c r="E163" s="8" t="s">
        <v>371</v>
      </c>
      <c r="F163" s="8" t="s">
        <v>386</v>
      </c>
      <c r="G163" s="8" t="s">
        <v>387</v>
      </c>
      <c r="H163" s="8">
        <v>1632</v>
      </c>
      <c r="I163" s="12">
        <v>0</v>
      </c>
      <c r="J163" s="10">
        <f>IFERROR(SUMIF(REMESSAS!$C:$C,$A163,REMESSAS!$W:$W),0)</f>
        <v>0</v>
      </c>
      <c r="K163" s="11">
        <f t="shared" si="47"/>
        <v>1632</v>
      </c>
      <c r="L163" s="11">
        <f t="shared" si="48"/>
        <v>0</v>
      </c>
      <c r="M163" s="11">
        <f t="shared" si="49"/>
        <v>-1632</v>
      </c>
      <c r="N163" s="11">
        <v>0</v>
      </c>
      <c r="O163" s="76">
        <f>IF($A163="","",IFERROR(SUMIF(Consumo_Joists!$A:$A,$A163,Consumo_Joists!$P:$P),0)+IFERROR(SUMIF(Consumo_Quadrantes!$A:$A,$A163,Consumo_Quadrantes!$F:$F),0))</f>
        <v>0</v>
      </c>
      <c r="P163" s="76">
        <v>0</v>
      </c>
      <c r="Q163" s="76"/>
      <c r="R163" s="76"/>
      <c r="S163" s="3">
        <f t="shared" si="50"/>
        <v>0</v>
      </c>
      <c r="T163" s="1" t="str">
        <f t="shared" si="51"/>
        <v>Crítico</v>
      </c>
      <c r="U163" s="1" t="s">
        <v>370</v>
      </c>
      <c r="V163" s="1" t="s">
        <v>80</v>
      </c>
      <c r="W163" s="1" t="s">
        <v>505</v>
      </c>
      <c r="X163" s="2">
        <f t="shared" si="52"/>
        <v>816</v>
      </c>
      <c r="Y163" s="1" t="str">
        <f t="shared" si="53"/>
        <v>Enviar se houver espaço</v>
      </c>
      <c r="Z163" s="1" t="str">
        <f t="shared" si="54"/>
        <v>OK</v>
      </c>
      <c r="AA163" s="11">
        <f t="shared" si="55"/>
        <v>326.39999999999998</v>
      </c>
      <c r="AB163" s="11">
        <f t="shared" si="56"/>
        <v>326.39999999999998</v>
      </c>
      <c r="AC163" s="1"/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76">
        <v>0</v>
      </c>
      <c r="AJ163" s="76">
        <f t="shared" si="57"/>
        <v>0</v>
      </c>
      <c r="AK163" s="1">
        <v>0</v>
      </c>
      <c r="AL163" s="1">
        <v>0</v>
      </c>
      <c r="AM163" s="1" t="str">
        <f t="shared" si="58"/>
        <v/>
      </c>
      <c r="AN163" s="1">
        <f t="shared" si="59"/>
        <v>0</v>
      </c>
      <c r="AO163" s="1">
        <v>0</v>
      </c>
      <c r="AP163" s="61">
        <f t="shared" si="60"/>
        <v>0</v>
      </c>
      <c r="AQ163" s="61">
        <v>0</v>
      </c>
      <c r="AR163" s="76">
        <v>0</v>
      </c>
      <c r="AS163" s="76">
        <f t="shared" si="61"/>
        <v>0</v>
      </c>
      <c r="AT163" s="69" t="str">
        <f t="shared" si="62"/>
        <v>OK</v>
      </c>
      <c r="AU163" s="77">
        <f t="shared" si="63"/>
        <v>1632</v>
      </c>
      <c r="AV163" s="61" t="str">
        <f t="shared" si="64"/>
        <v>Sem mapa/sem consumo automático</v>
      </c>
      <c r="AW163" s="70"/>
      <c r="AX163" s="70">
        <v>0</v>
      </c>
      <c r="AY163" s="71" t="str">
        <f t="shared" si="65"/>
        <v>NÃO MAPEADO</v>
      </c>
      <c r="AZ163" s="70"/>
      <c r="BA163" s="71" t="str">
        <f t="shared" si="66"/>
        <v/>
      </c>
      <c r="BB163" s="70" t="str">
        <f t="shared" si="67"/>
        <v>Verificar cadastro</v>
      </c>
      <c r="BC163" s="78">
        <v>0</v>
      </c>
      <c r="BD163" s="78">
        <f t="shared" si="68"/>
        <v>0</v>
      </c>
      <c r="BE163" s="78">
        <v>0</v>
      </c>
      <c r="BF163">
        <v>0</v>
      </c>
      <c r="BG163">
        <v>0</v>
      </c>
      <c r="BH163">
        <v>0</v>
      </c>
      <c r="BJ163">
        <v>0</v>
      </c>
      <c r="BK163" s="103"/>
    </row>
    <row r="164" spans="1:63" ht="20.100000000000001" customHeight="1" x14ac:dyDescent="0.25">
      <c r="A164" s="8" t="s">
        <v>389</v>
      </c>
      <c r="B164" s="8">
        <v>0</v>
      </c>
      <c r="C164" s="8">
        <v>0</v>
      </c>
      <c r="D164" s="8"/>
      <c r="E164" s="8" t="s">
        <v>371</v>
      </c>
      <c r="F164" s="8" t="s">
        <v>388</v>
      </c>
      <c r="G164" s="8" t="s">
        <v>389</v>
      </c>
      <c r="H164" s="8">
        <v>1800</v>
      </c>
      <c r="I164" s="9">
        <v>0</v>
      </c>
      <c r="J164" s="10">
        <f>IFERROR(SUMIF(REMESSAS!$C:$C,$A164,REMESSAS!$W:$W),0)</f>
        <v>0</v>
      </c>
      <c r="K164" s="11">
        <f t="shared" si="47"/>
        <v>1800</v>
      </c>
      <c r="L164" s="11">
        <f t="shared" si="48"/>
        <v>0</v>
      </c>
      <c r="M164" s="11">
        <f t="shared" si="49"/>
        <v>-1800</v>
      </c>
      <c r="N164" s="11">
        <v>0</v>
      </c>
      <c r="O164" s="76">
        <f>IF($A164="","",IFERROR(SUMIF(Consumo_Joists!$A:$A,$A164,Consumo_Joists!$P:$P),0)+IFERROR(SUMIF(Consumo_Quadrantes!$A:$A,$A164,Consumo_Quadrantes!$F:$F),0))</f>
        <v>0</v>
      </c>
      <c r="P164" s="76">
        <v>0</v>
      </c>
      <c r="Q164" s="76"/>
      <c r="R164" s="76"/>
      <c r="S164" s="3">
        <f t="shared" si="50"/>
        <v>0</v>
      </c>
      <c r="T164" s="1" t="str">
        <f t="shared" si="51"/>
        <v>Crítico</v>
      </c>
      <c r="U164" s="1" t="s">
        <v>370</v>
      </c>
      <c r="V164" s="1" t="s">
        <v>80</v>
      </c>
      <c r="W164" s="1" t="s">
        <v>505</v>
      </c>
      <c r="X164" s="2">
        <f t="shared" si="52"/>
        <v>900</v>
      </c>
      <c r="Y164" s="1" t="str">
        <f t="shared" si="53"/>
        <v>Enviar se houver espaço</v>
      </c>
      <c r="Z164" s="1" t="str">
        <f t="shared" si="54"/>
        <v>OK</v>
      </c>
      <c r="AA164" s="11">
        <f t="shared" si="55"/>
        <v>360</v>
      </c>
      <c r="AB164" s="11">
        <f t="shared" si="56"/>
        <v>360</v>
      </c>
      <c r="AC164" s="1"/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76">
        <v>0</v>
      </c>
      <c r="AJ164" s="76">
        <f t="shared" si="57"/>
        <v>0</v>
      </c>
      <c r="AK164" s="1">
        <v>0</v>
      </c>
      <c r="AL164" s="1">
        <v>0</v>
      </c>
      <c r="AM164" s="1" t="str">
        <f t="shared" si="58"/>
        <v/>
      </c>
      <c r="AN164" s="1">
        <f t="shared" si="59"/>
        <v>0</v>
      </c>
      <c r="AO164" s="1">
        <v>0</v>
      </c>
      <c r="AP164" s="61">
        <f t="shared" si="60"/>
        <v>0</v>
      </c>
      <c r="AQ164" s="61">
        <v>0</v>
      </c>
      <c r="AR164" s="76">
        <v>0</v>
      </c>
      <c r="AS164" s="76">
        <f t="shared" si="61"/>
        <v>0</v>
      </c>
      <c r="AT164" s="69" t="str">
        <f t="shared" si="62"/>
        <v>OK</v>
      </c>
      <c r="AU164" s="77">
        <f t="shared" si="63"/>
        <v>1800</v>
      </c>
      <c r="AV164" s="61" t="str">
        <f t="shared" si="64"/>
        <v>Sem mapa/sem consumo automático</v>
      </c>
      <c r="AW164" s="70"/>
      <c r="AX164" s="70">
        <v>0</v>
      </c>
      <c r="AY164" s="71" t="str">
        <f t="shared" si="65"/>
        <v>NÃO MAPEADO</v>
      </c>
      <c r="AZ164" s="70"/>
      <c r="BA164" s="71" t="str">
        <f t="shared" si="66"/>
        <v/>
      </c>
      <c r="BB164" s="70" t="str">
        <f t="shared" si="67"/>
        <v>Verificar cadastro</v>
      </c>
      <c r="BC164" s="78">
        <v>0</v>
      </c>
      <c r="BD164" s="78">
        <f t="shared" si="68"/>
        <v>0</v>
      </c>
      <c r="BE164" s="78">
        <v>0</v>
      </c>
      <c r="BF164">
        <v>0</v>
      </c>
      <c r="BG164">
        <v>0</v>
      </c>
      <c r="BH164">
        <v>0</v>
      </c>
      <c r="BJ164">
        <v>0</v>
      </c>
      <c r="BK164" s="103"/>
    </row>
    <row r="165" spans="1:63" ht="20.100000000000001" customHeight="1" x14ac:dyDescent="0.25">
      <c r="A165" s="8" t="s">
        <v>391</v>
      </c>
      <c r="B165" s="8">
        <v>0</v>
      </c>
      <c r="C165" s="8">
        <v>0</v>
      </c>
      <c r="D165" s="8"/>
      <c r="E165" s="8" t="s">
        <v>371</v>
      </c>
      <c r="F165" s="8" t="s">
        <v>390</v>
      </c>
      <c r="G165" s="8" t="s">
        <v>391</v>
      </c>
      <c r="H165" s="8">
        <v>5088</v>
      </c>
      <c r="I165" s="12">
        <v>0</v>
      </c>
      <c r="J165" s="10">
        <f>IFERROR(SUMIF(REMESSAS!$C:$C,$A165,REMESSAS!$W:$W),0)</f>
        <v>0</v>
      </c>
      <c r="K165" s="11">
        <f t="shared" si="47"/>
        <v>5088</v>
      </c>
      <c r="L165" s="11">
        <f t="shared" si="48"/>
        <v>0</v>
      </c>
      <c r="M165" s="11">
        <f t="shared" si="49"/>
        <v>-5088</v>
      </c>
      <c r="N165" s="11">
        <v>0</v>
      </c>
      <c r="O165" s="76">
        <f>IF($A165="","",IFERROR(SUMIF(Consumo_Joists!$A:$A,$A165,Consumo_Joists!$P:$P),0)+IFERROR(SUMIF(Consumo_Quadrantes!$A:$A,$A165,Consumo_Quadrantes!$F:$F),0))</f>
        <v>0</v>
      </c>
      <c r="P165" s="76">
        <v>0</v>
      </c>
      <c r="Q165" s="76"/>
      <c r="R165" s="76"/>
      <c r="S165" s="3">
        <f t="shared" si="50"/>
        <v>0</v>
      </c>
      <c r="T165" s="1" t="str">
        <f t="shared" si="51"/>
        <v>Crítico</v>
      </c>
      <c r="U165" s="1" t="s">
        <v>370</v>
      </c>
      <c r="V165" s="1" t="s">
        <v>80</v>
      </c>
      <c r="W165" s="1" t="s">
        <v>505</v>
      </c>
      <c r="X165" s="2">
        <f t="shared" si="52"/>
        <v>2544</v>
      </c>
      <c r="Y165" s="1" t="str">
        <f t="shared" si="53"/>
        <v>Enviar se houver espaço</v>
      </c>
      <c r="Z165" s="1" t="str">
        <f t="shared" si="54"/>
        <v>OK</v>
      </c>
      <c r="AA165" s="11">
        <f t="shared" si="55"/>
        <v>1017.6</v>
      </c>
      <c r="AB165" s="11">
        <f t="shared" si="56"/>
        <v>1017.6</v>
      </c>
      <c r="AC165" s="1"/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76">
        <v>0</v>
      </c>
      <c r="AJ165" s="76">
        <f t="shared" si="57"/>
        <v>0</v>
      </c>
      <c r="AK165" s="1">
        <v>0</v>
      </c>
      <c r="AL165" s="1">
        <v>0</v>
      </c>
      <c r="AM165" s="1" t="str">
        <f t="shared" si="58"/>
        <v/>
      </c>
      <c r="AN165" s="1">
        <f t="shared" si="59"/>
        <v>0</v>
      </c>
      <c r="AO165" s="1">
        <v>0</v>
      </c>
      <c r="AP165" s="61">
        <f t="shared" si="60"/>
        <v>0</v>
      </c>
      <c r="AQ165" s="61">
        <v>0</v>
      </c>
      <c r="AR165" s="76">
        <v>0</v>
      </c>
      <c r="AS165" s="76">
        <f t="shared" si="61"/>
        <v>0</v>
      </c>
      <c r="AT165" s="69" t="str">
        <f t="shared" si="62"/>
        <v>OK</v>
      </c>
      <c r="AU165" s="77">
        <f t="shared" si="63"/>
        <v>5088</v>
      </c>
      <c r="AV165" s="61" t="str">
        <f t="shared" si="64"/>
        <v>Sem mapa/sem consumo automático</v>
      </c>
      <c r="AW165" s="70"/>
      <c r="AX165" s="70">
        <v>0</v>
      </c>
      <c r="AY165" s="71" t="str">
        <f t="shared" si="65"/>
        <v>NÃO MAPEADO</v>
      </c>
      <c r="AZ165" s="70"/>
      <c r="BA165" s="71" t="str">
        <f t="shared" si="66"/>
        <v/>
      </c>
      <c r="BB165" s="70" t="str">
        <f t="shared" si="67"/>
        <v>Verificar cadastro</v>
      </c>
      <c r="BC165" s="78">
        <v>0</v>
      </c>
      <c r="BD165" s="78">
        <f t="shared" si="68"/>
        <v>0</v>
      </c>
      <c r="BE165" s="78">
        <v>0</v>
      </c>
      <c r="BF165">
        <v>0</v>
      </c>
      <c r="BG165">
        <v>0</v>
      </c>
      <c r="BH165">
        <v>0</v>
      </c>
      <c r="BJ165">
        <v>0</v>
      </c>
      <c r="BK165" s="103"/>
    </row>
    <row r="166" spans="1:63" ht="20.100000000000001" customHeight="1" x14ac:dyDescent="0.25">
      <c r="A166" s="8" t="s">
        <v>397</v>
      </c>
      <c r="B166" s="8">
        <v>0</v>
      </c>
      <c r="C166" s="8">
        <v>0</v>
      </c>
      <c r="D166" s="8"/>
      <c r="E166" s="8" t="s">
        <v>378</v>
      </c>
      <c r="F166" s="184" t="s">
        <v>396</v>
      </c>
      <c r="G166" s="8" t="s">
        <v>397</v>
      </c>
      <c r="H166" s="8">
        <v>2918</v>
      </c>
      <c r="I166" s="9">
        <v>0</v>
      </c>
      <c r="J166" s="10">
        <f>IFERROR(SUMIF(REMESSAS!$C:$C,$A166,REMESSAS!$W:$W),0)</f>
        <v>1450</v>
      </c>
      <c r="K166" s="11">
        <f t="shared" si="47"/>
        <v>1468</v>
      </c>
      <c r="L166" s="11">
        <f t="shared" si="48"/>
        <v>0</v>
      </c>
      <c r="M166" s="11">
        <f t="shared" si="49"/>
        <v>-1468</v>
      </c>
      <c r="N166" s="11">
        <v>0</v>
      </c>
      <c r="O166" s="76">
        <v>3091</v>
      </c>
      <c r="P166" s="76">
        <v>0</v>
      </c>
      <c r="Q166" s="76">
        <v>308</v>
      </c>
      <c r="R166" s="76">
        <f t="shared" ref="R166:R175" si="69">Q166-P166</f>
        <v>308</v>
      </c>
      <c r="S166" s="3">
        <f t="shared" si="50"/>
        <v>0.49691569568197397</v>
      </c>
      <c r="T166" s="1" t="str">
        <f t="shared" si="51"/>
        <v>Recebimento Parcial</v>
      </c>
      <c r="U166" s="1" t="s">
        <v>370</v>
      </c>
      <c r="V166" s="1" t="s">
        <v>80</v>
      </c>
      <c r="W166" s="1" t="s">
        <v>505</v>
      </c>
      <c r="X166" s="2">
        <f t="shared" si="52"/>
        <v>734</v>
      </c>
      <c r="Y166" s="1" t="str">
        <f t="shared" si="53"/>
        <v>Enviar se houver espaço</v>
      </c>
      <c r="Z166" s="1" t="str">
        <f t="shared" si="54"/>
        <v>OK</v>
      </c>
      <c r="AA166" s="11">
        <f t="shared" si="55"/>
        <v>583.6</v>
      </c>
      <c r="AB166" s="11">
        <f t="shared" si="56"/>
        <v>293.60000000000002</v>
      </c>
      <c r="AC166" s="1"/>
      <c r="AD166" s="1">
        <v>0</v>
      </c>
      <c r="AE166" s="1">
        <v>0</v>
      </c>
      <c r="AF166" s="1">
        <v>0</v>
      </c>
      <c r="AG166" s="1">
        <v>1235</v>
      </c>
      <c r="AH166" s="1">
        <v>0</v>
      </c>
      <c r="AI166" s="76">
        <v>546</v>
      </c>
      <c r="AJ166" s="76">
        <f t="shared" si="57"/>
        <v>904</v>
      </c>
      <c r="AK166" s="1">
        <v>0</v>
      </c>
      <c r="AL166" s="1">
        <v>0</v>
      </c>
      <c r="AM166" s="1" t="str">
        <f t="shared" si="58"/>
        <v>OK</v>
      </c>
      <c r="AN166" s="1">
        <f t="shared" si="59"/>
        <v>0</v>
      </c>
      <c r="AO166" s="1">
        <v>0</v>
      </c>
      <c r="AP166" s="61">
        <f t="shared" si="60"/>
        <v>0</v>
      </c>
      <c r="AQ166" s="61">
        <v>0</v>
      </c>
      <c r="AR166" s="76">
        <v>0</v>
      </c>
      <c r="AS166" s="76">
        <f t="shared" si="61"/>
        <v>0</v>
      </c>
      <c r="AT166" s="69" t="str">
        <f t="shared" si="62"/>
        <v>CRÍTICO</v>
      </c>
      <c r="AU166" s="77">
        <f t="shared" si="63"/>
        <v>4559</v>
      </c>
      <c r="AV166" s="61" t="str">
        <f t="shared" si="64"/>
        <v>Fluxo JOIST: apontamento x consumo por item</v>
      </c>
      <c r="AW166" s="70"/>
      <c r="AX166" s="70">
        <v>0</v>
      </c>
      <c r="AY166" s="71" t="str">
        <f t="shared" si="65"/>
        <v>BAIXA POR JOIST</v>
      </c>
      <c r="AZ166" s="70"/>
      <c r="BA166" s="71" t="str">
        <f t="shared" si="66"/>
        <v/>
      </c>
      <c r="BB166" s="70" t="str">
        <f t="shared" si="67"/>
        <v>Baixa por apontamento de JOIST</v>
      </c>
      <c r="BC166" s="78">
        <v>0</v>
      </c>
      <c r="BD166" s="78">
        <f t="shared" si="68"/>
        <v>0</v>
      </c>
      <c r="BE166" s="78">
        <v>1235</v>
      </c>
      <c r="BF166">
        <v>0</v>
      </c>
      <c r="BG166">
        <v>0</v>
      </c>
      <c r="BH166">
        <v>1235</v>
      </c>
      <c r="BI166" s="103">
        <v>46263.348506944443</v>
      </c>
      <c r="BJ166">
        <v>546</v>
      </c>
      <c r="BK166" s="103">
        <v>46247.596365740741</v>
      </c>
    </row>
    <row r="167" spans="1:63" ht="20.100000000000001" customHeight="1" x14ac:dyDescent="0.25">
      <c r="A167" s="8" t="s">
        <v>399</v>
      </c>
      <c r="B167" s="8">
        <v>0</v>
      </c>
      <c r="C167" s="8">
        <v>0</v>
      </c>
      <c r="D167" s="8"/>
      <c r="E167" s="8" t="s">
        <v>378</v>
      </c>
      <c r="F167" s="8" t="s">
        <v>398</v>
      </c>
      <c r="G167" s="8" t="s">
        <v>399</v>
      </c>
      <c r="H167" s="8">
        <v>864</v>
      </c>
      <c r="I167" s="12">
        <v>0</v>
      </c>
      <c r="J167" s="10">
        <f>IFERROR(SUMIF(REMESSAS!$C:$C,$A167,REMESSAS!$W:$W),0)</f>
        <v>700</v>
      </c>
      <c r="K167" s="11">
        <f t="shared" si="47"/>
        <v>164</v>
      </c>
      <c r="L167" s="11">
        <f t="shared" si="48"/>
        <v>0</v>
      </c>
      <c r="M167" s="11">
        <f t="shared" si="49"/>
        <v>-164</v>
      </c>
      <c r="N167" s="11">
        <v>0</v>
      </c>
      <c r="O167" s="76">
        <v>152</v>
      </c>
      <c r="P167" s="76">
        <v>548</v>
      </c>
      <c r="Q167" s="76">
        <v>342</v>
      </c>
      <c r="R167" s="76">
        <f t="shared" si="69"/>
        <v>-206</v>
      </c>
      <c r="S167" s="3">
        <f t="shared" si="50"/>
        <v>0.81018518518518523</v>
      </c>
      <c r="T167" s="1" t="str">
        <f t="shared" si="51"/>
        <v>Recebimento Parcial</v>
      </c>
      <c r="U167" s="1" t="s">
        <v>370</v>
      </c>
      <c r="V167" s="1" t="s">
        <v>80</v>
      </c>
      <c r="W167" s="1" t="s">
        <v>505</v>
      </c>
      <c r="X167" s="2">
        <f t="shared" si="52"/>
        <v>0</v>
      </c>
      <c r="Y167" s="1" t="str">
        <f t="shared" si="53"/>
        <v>Monitorar</v>
      </c>
      <c r="Z167" s="1" t="str">
        <f t="shared" si="54"/>
        <v>OK</v>
      </c>
      <c r="AA167" s="11">
        <f t="shared" si="55"/>
        <v>172.8</v>
      </c>
      <c r="AB167" s="11">
        <f t="shared" si="56"/>
        <v>32.799999999999997</v>
      </c>
      <c r="AC167" s="1"/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76">
        <v>0</v>
      </c>
      <c r="AJ167" s="76">
        <f t="shared" si="57"/>
        <v>700</v>
      </c>
      <c r="AK167" s="1">
        <v>0</v>
      </c>
      <c r="AL167" s="1">
        <v>0</v>
      </c>
      <c r="AM167" s="1" t="str">
        <f t="shared" si="58"/>
        <v/>
      </c>
      <c r="AN167" s="1">
        <f t="shared" si="59"/>
        <v>0</v>
      </c>
      <c r="AO167" s="1">
        <v>0</v>
      </c>
      <c r="AP167" s="61">
        <f t="shared" si="60"/>
        <v>0</v>
      </c>
      <c r="AQ167" s="61">
        <v>0</v>
      </c>
      <c r="AR167" s="76">
        <v>0</v>
      </c>
      <c r="AS167" s="76">
        <f t="shared" si="61"/>
        <v>548</v>
      </c>
      <c r="AT167" s="69" t="str">
        <f t="shared" si="62"/>
        <v>OK</v>
      </c>
      <c r="AU167" s="77">
        <f t="shared" si="63"/>
        <v>316</v>
      </c>
      <c r="AV167" s="61" t="str">
        <f t="shared" si="64"/>
        <v>Sem mapa/sem consumo automático</v>
      </c>
      <c r="AW167" s="70"/>
      <c r="AX167" s="70">
        <v>0</v>
      </c>
      <c r="AY167" s="71" t="str">
        <f t="shared" si="65"/>
        <v>NÃO MAPEADO</v>
      </c>
      <c r="AZ167" s="70"/>
      <c r="BA167" s="71" t="str">
        <f t="shared" si="66"/>
        <v/>
      </c>
      <c r="BB167" s="70" t="str">
        <f t="shared" si="67"/>
        <v>Verificar cadastro</v>
      </c>
      <c r="BC167" s="78">
        <v>0</v>
      </c>
      <c r="BD167" s="78">
        <f t="shared" si="68"/>
        <v>0</v>
      </c>
      <c r="BE167" s="78">
        <v>0</v>
      </c>
      <c r="BF167">
        <v>0</v>
      </c>
      <c r="BG167">
        <v>0</v>
      </c>
      <c r="BH167">
        <v>0</v>
      </c>
      <c r="BJ167">
        <v>0</v>
      </c>
      <c r="BK167" s="103"/>
    </row>
    <row r="168" spans="1:63" ht="20.100000000000001" customHeight="1" x14ac:dyDescent="0.25">
      <c r="A168" s="8" t="s">
        <v>401</v>
      </c>
      <c r="B168" s="8">
        <v>0</v>
      </c>
      <c r="C168" s="8">
        <v>0</v>
      </c>
      <c r="D168" s="8"/>
      <c r="E168" s="8" t="s">
        <v>378</v>
      </c>
      <c r="F168" s="8" t="s">
        <v>400</v>
      </c>
      <c r="G168" s="8" t="s">
        <v>401</v>
      </c>
      <c r="H168" s="8">
        <v>3608</v>
      </c>
      <c r="I168" s="9">
        <v>0</v>
      </c>
      <c r="J168" s="10">
        <f>IFERROR(SUMIF(REMESSAS!$C:$C,$A168,REMESSAS!$W:$W),0)</f>
        <v>3610</v>
      </c>
      <c r="K168" s="11">
        <f t="shared" si="47"/>
        <v>0</v>
      </c>
      <c r="L168" s="11">
        <f t="shared" si="48"/>
        <v>2</v>
      </c>
      <c r="M168" s="11">
        <f t="shared" si="49"/>
        <v>2</v>
      </c>
      <c r="N168" s="11">
        <v>0</v>
      </c>
      <c r="O168" s="76">
        <v>336</v>
      </c>
      <c r="P168" s="76">
        <v>3274</v>
      </c>
      <c r="Q168" s="76">
        <v>508</v>
      </c>
      <c r="R168" s="76">
        <f t="shared" si="69"/>
        <v>-2766</v>
      </c>
      <c r="S168" s="3">
        <f t="shared" si="50"/>
        <v>1.0005543237250554</v>
      </c>
      <c r="T168" s="1" t="str">
        <f t="shared" si="51"/>
        <v>Excedente</v>
      </c>
      <c r="U168" s="1" t="s">
        <v>370</v>
      </c>
      <c r="V168" s="1" t="s">
        <v>80</v>
      </c>
      <c r="W168" s="1" t="s">
        <v>505</v>
      </c>
      <c r="X168" s="2">
        <f t="shared" si="52"/>
        <v>0</v>
      </c>
      <c r="Y168" s="1" t="str">
        <f t="shared" si="53"/>
        <v>Monitorar</v>
      </c>
      <c r="Z168" s="1" t="str">
        <f t="shared" si="54"/>
        <v>OK</v>
      </c>
      <c r="AA168" s="11">
        <f t="shared" si="55"/>
        <v>721.6</v>
      </c>
      <c r="AB168" s="11">
        <f t="shared" si="56"/>
        <v>0</v>
      </c>
      <c r="AC168" s="1"/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76">
        <v>0</v>
      </c>
      <c r="AJ168" s="76">
        <f t="shared" si="57"/>
        <v>3610</v>
      </c>
      <c r="AK168" s="1">
        <v>0</v>
      </c>
      <c r="AL168" s="1">
        <v>0</v>
      </c>
      <c r="AM168" s="1" t="str">
        <f t="shared" si="58"/>
        <v/>
      </c>
      <c r="AN168" s="1">
        <f t="shared" si="59"/>
        <v>0</v>
      </c>
      <c r="AO168" s="1">
        <v>0</v>
      </c>
      <c r="AP168" s="61">
        <f t="shared" si="60"/>
        <v>0</v>
      </c>
      <c r="AQ168" s="61">
        <v>0</v>
      </c>
      <c r="AR168" s="76">
        <v>0</v>
      </c>
      <c r="AS168" s="76">
        <f t="shared" si="61"/>
        <v>3274</v>
      </c>
      <c r="AT168" s="69" t="str">
        <f t="shared" si="62"/>
        <v>OK</v>
      </c>
      <c r="AU168" s="77">
        <f t="shared" si="63"/>
        <v>334</v>
      </c>
      <c r="AV168" s="61" t="str">
        <f t="shared" si="64"/>
        <v>Sem mapa/sem consumo automático</v>
      </c>
      <c r="AW168" s="70"/>
      <c r="AX168" s="70">
        <v>0</v>
      </c>
      <c r="AY168" s="71" t="str">
        <f t="shared" si="65"/>
        <v>NÃO MAPEADO</v>
      </c>
      <c r="AZ168" s="70"/>
      <c r="BA168" s="71" t="str">
        <f t="shared" si="66"/>
        <v/>
      </c>
      <c r="BB168" s="70" t="str">
        <f t="shared" si="67"/>
        <v>Verificar cadastro</v>
      </c>
      <c r="BC168" s="78">
        <v>0</v>
      </c>
      <c r="BD168" s="78">
        <f t="shared" si="68"/>
        <v>0</v>
      </c>
      <c r="BE168" s="78">
        <v>0</v>
      </c>
      <c r="BF168">
        <v>0</v>
      </c>
      <c r="BG168">
        <v>0</v>
      </c>
      <c r="BH168">
        <v>0</v>
      </c>
      <c r="BJ168">
        <v>0</v>
      </c>
      <c r="BK168" s="103"/>
    </row>
    <row r="169" spans="1:63" ht="20.100000000000001" customHeight="1" x14ac:dyDescent="0.25">
      <c r="A169" s="8" t="s">
        <v>403</v>
      </c>
      <c r="B169" s="8">
        <v>0</v>
      </c>
      <c r="C169" s="8">
        <v>0</v>
      </c>
      <c r="D169" s="8"/>
      <c r="E169" s="8" t="s">
        <v>378</v>
      </c>
      <c r="F169" s="8" t="s">
        <v>402</v>
      </c>
      <c r="G169" s="8" t="s">
        <v>403</v>
      </c>
      <c r="H169" s="8">
        <v>1294</v>
      </c>
      <c r="I169" s="12">
        <v>0</v>
      </c>
      <c r="J169" s="10">
        <f>IFERROR(SUMIF(REMESSAS!$C:$C,$A169,REMESSAS!$W:$W),0)</f>
        <v>1290</v>
      </c>
      <c r="K169" s="11">
        <f t="shared" si="47"/>
        <v>4</v>
      </c>
      <c r="L169" s="11">
        <f t="shared" si="48"/>
        <v>0</v>
      </c>
      <c r="M169" s="11">
        <f t="shared" si="49"/>
        <v>-4</v>
      </c>
      <c r="N169" s="11">
        <v>0</v>
      </c>
      <c r="O169" s="76">
        <f>IF($A169="","",IFERROR(SUMIF(Consumo_Joists!$A:$A,$A169,Consumo_Joists!$P:$P),0)+IFERROR(SUMIF(Consumo_Quadrantes!$A:$A,$A169,Consumo_Quadrantes!$F:$F),0))</f>
        <v>0</v>
      </c>
      <c r="P169" s="76">
        <v>1290</v>
      </c>
      <c r="Q169" s="76">
        <v>300</v>
      </c>
      <c r="R169" s="76">
        <f t="shared" si="69"/>
        <v>-990</v>
      </c>
      <c r="S169" s="3">
        <f t="shared" si="50"/>
        <v>0.9969088098918083</v>
      </c>
      <c r="T169" s="1" t="str">
        <f t="shared" si="51"/>
        <v>Recebimento Parcial</v>
      </c>
      <c r="U169" s="1" t="s">
        <v>370</v>
      </c>
      <c r="V169" s="1" t="s">
        <v>80</v>
      </c>
      <c r="W169" s="1" t="s">
        <v>505</v>
      </c>
      <c r="X169" s="2">
        <f t="shared" si="52"/>
        <v>0</v>
      </c>
      <c r="Y169" s="1" t="str">
        <f t="shared" si="53"/>
        <v>Monitorar</v>
      </c>
      <c r="Z169" s="1" t="str">
        <f t="shared" si="54"/>
        <v>OK</v>
      </c>
      <c r="AA169" s="11">
        <f t="shared" si="55"/>
        <v>258.8</v>
      </c>
      <c r="AB169" s="11">
        <f t="shared" si="56"/>
        <v>0.8</v>
      </c>
      <c r="AC169" s="1"/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76">
        <v>0</v>
      </c>
      <c r="AJ169" s="76">
        <f t="shared" si="57"/>
        <v>1290</v>
      </c>
      <c r="AK169" s="1">
        <v>0</v>
      </c>
      <c r="AL169" s="1">
        <v>0</v>
      </c>
      <c r="AM169" s="1" t="str">
        <f t="shared" si="58"/>
        <v/>
      </c>
      <c r="AN169" s="1">
        <f t="shared" si="59"/>
        <v>0</v>
      </c>
      <c r="AO169" s="1">
        <v>0</v>
      </c>
      <c r="AP169" s="61">
        <f t="shared" si="60"/>
        <v>0</v>
      </c>
      <c r="AQ169" s="61">
        <v>0</v>
      </c>
      <c r="AR169" s="76">
        <v>0</v>
      </c>
      <c r="AS169" s="76">
        <f t="shared" si="61"/>
        <v>1290</v>
      </c>
      <c r="AT169" s="69" t="str">
        <f t="shared" si="62"/>
        <v>OK</v>
      </c>
      <c r="AU169" s="77">
        <f t="shared" si="63"/>
        <v>4</v>
      </c>
      <c r="AV169" s="61" t="str">
        <f t="shared" si="64"/>
        <v>Sem mapa/sem consumo automático</v>
      </c>
      <c r="AW169" s="70"/>
      <c r="AX169" s="70">
        <v>0</v>
      </c>
      <c r="AY169" s="71" t="str">
        <f t="shared" si="65"/>
        <v>NÃO MAPEADO</v>
      </c>
      <c r="AZ169" s="70"/>
      <c r="BA169" s="71" t="str">
        <f t="shared" si="66"/>
        <v/>
      </c>
      <c r="BB169" s="70" t="str">
        <f t="shared" si="67"/>
        <v>Verificar cadastro</v>
      </c>
      <c r="BC169" s="78">
        <v>0</v>
      </c>
      <c r="BD169" s="78">
        <f t="shared" si="68"/>
        <v>0</v>
      </c>
      <c r="BE169" s="78">
        <v>0</v>
      </c>
      <c r="BF169">
        <v>0</v>
      </c>
      <c r="BG169">
        <v>0</v>
      </c>
      <c r="BH169">
        <v>0</v>
      </c>
      <c r="BJ169">
        <v>0</v>
      </c>
      <c r="BK169" s="103"/>
    </row>
    <row r="170" spans="1:63" ht="20.100000000000001" customHeight="1" x14ac:dyDescent="0.25">
      <c r="A170" s="8" t="s">
        <v>405</v>
      </c>
      <c r="B170" s="8">
        <v>0</v>
      </c>
      <c r="C170" s="8">
        <v>0</v>
      </c>
      <c r="D170" s="8"/>
      <c r="E170" s="8" t="s">
        <v>378</v>
      </c>
      <c r="F170" s="8" t="s">
        <v>404</v>
      </c>
      <c r="G170" s="8" t="s">
        <v>405</v>
      </c>
      <c r="H170" s="8">
        <v>2280</v>
      </c>
      <c r="I170" s="9">
        <v>0</v>
      </c>
      <c r="J170" s="10">
        <f>IFERROR(SUMIF(REMESSAS!$C:$C,$A170,REMESSAS!$W:$W),0)</f>
        <v>2290</v>
      </c>
      <c r="K170" s="11">
        <f t="shared" si="47"/>
        <v>0</v>
      </c>
      <c r="L170" s="11">
        <f t="shared" si="48"/>
        <v>10</v>
      </c>
      <c r="M170" s="11">
        <f t="shared" si="49"/>
        <v>10</v>
      </c>
      <c r="N170" s="11">
        <v>0</v>
      </c>
      <c r="O170" s="76">
        <f>IF($A170="","",IFERROR(SUMIF(Consumo_Joists!$A:$A,$A170,Consumo_Joists!$P:$P),0)+IFERROR(SUMIF(Consumo_Quadrantes!$A:$A,$A170,Consumo_Quadrantes!$F:$F),0))</f>
        <v>0</v>
      </c>
      <c r="P170" s="76">
        <v>2290</v>
      </c>
      <c r="Q170" s="76"/>
      <c r="R170" s="76">
        <f t="shared" si="69"/>
        <v>-2290</v>
      </c>
      <c r="S170" s="3">
        <f t="shared" si="50"/>
        <v>1.0043859649122806</v>
      </c>
      <c r="T170" s="1" t="str">
        <f t="shared" si="51"/>
        <v>Excedente</v>
      </c>
      <c r="U170" s="1" t="s">
        <v>370</v>
      </c>
      <c r="V170" s="1" t="s">
        <v>80</v>
      </c>
      <c r="W170" s="1" t="s">
        <v>505</v>
      </c>
      <c r="X170" s="2">
        <f t="shared" si="52"/>
        <v>0</v>
      </c>
      <c r="Y170" s="1" t="str">
        <f t="shared" si="53"/>
        <v>Monitorar</v>
      </c>
      <c r="Z170" s="1" t="str">
        <f t="shared" si="54"/>
        <v>OK</v>
      </c>
      <c r="AA170" s="11">
        <f t="shared" si="55"/>
        <v>456</v>
      </c>
      <c r="AB170" s="11">
        <f t="shared" si="56"/>
        <v>0</v>
      </c>
      <c r="AC170" s="1"/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76">
        <v>0</v>
      </c>
      <c r="AJ170" s="76">
        <f t="shared" si="57"/>
        <v>2290</v>
      </c>
      <c r="AK170" s="1">
        <v>0</v>
      </c>
      <c r="AL170" s="1">
        <v>0</v>
      </c>
      <c r="AM170" s="1" t="str">
        <f t="shared" si="58"/>
        <v/>
      </c>
      <c r="AN170" s="1">
        <f t="shared" si="59"/>
        <v>0</v>
      </c>
      <c r="AO170" s="1">
        <v>0</v>
      </c>
      <c r="AP170" s="61">
        <f t="shared" si="60"/>
        <v>0</v>
      </c>
      <c r="AQ170" s="61">
        <v>0</v>
      </c>
      <c r="AR170" s="76">
        <v>0</v>
      </c>
      <c r="AS170" s="76">
        <f t="shared" si="61"/>
        <v>2290</v>
      </c>
      <c r="AT170" s="69" t="str">
        <f t="shared" si="62"/>
        <v>OK</v>
      </c>
      <c r="AU170" s="77">
        <f t="shared" si="63"/>
        <v>0</v>
      </c>
      <c r="AV170" s="61" t="str">
        <f t="shared" si="64"/>
        <v>Sem mapa/sem consumo automático</v>
      </c>
      <c r="AW170" s="70"/>
      <c r="AX170" s="70">
        <v>0</v>
      </c>
      <c r="AY170" s="71" t="str">
        <f t="shared" si="65"/>
        <v>NÃO MAPEADO</v>
      </c>
      <c r="AZ170" s="70"/>
      <c r="BA170" s="71" t="str">
        <f t="shared" si="66"/>
        <v/>
      </c>
      <c r="BB170" s="70" t="str">
        <f t="shared" si="67"/>
        <v>Verificar cadastro</v>
      </c>
      <c r="BC170" s="78">
        <v>0</v>
      </c>
      <c r="BD170" s="78">
        <f t="shared" si="68"/>
        <v>0</v>
      </c>
      <c r="BE170" s="78">
        <v>0</v>
      </c>
      <c r="BF170">
        <v>0</v>
      </c>
      <c r="BG170">
        <v>0</v>
      </c>
      <c r="BH170">
        <v>0</v>
      </c>
      <c r="BJ170">
        <v>0</v>
      </c>
      <c r="BK170" s="103"/>
    </row>
    <row r="171" spans="1:63" ht="20.100000000000001" customHeight="1" x14ac:dyDescent="0.25">
      <c r="A171" s="8" t="s">
        <v>408</v>
      </c>
      <c r="B171" s="8">
        <v>0</v>
      </c>
      <c r="C171" s="8">
        <v>0</v>
      </c>
      <c r="D171" s="8"/>
      <c r="E171" s="8" t="s">
        <v>378</v>
      </c>
      <c r="F171" s="8" t="s">
        <v>407</v>
      </c>
      <c r="G171" s="8" t="s">
        <v>408</v>
      </c>
      <c r="H171" s="8">
        <v>6</v>
      </c>
      <c r="I171" s="12">
        <v>0</v>
      </c>
      <c r="J171" s="10">
        <f>IFERROR(SUMIF(REMESSAS!$C:$C,$A171,REMESSAS!$W:$W),0)</f>
        <v>10</v>
      </c>
      <c r="K171" s="11">
        <f t="shared" si="47"/>
        <v>0</v>
      </c>
      <c r="L171" s="11">
        <f t="shared" si="48"/>
        <v>4</v>
      </c>
      <c r="M171" s="11">
        <f t="shared" si="49"/>
        <v>4</v>
      </c>
      <c r="N171" s="11">
        <v>0</v>
      </c>
      <c r="O171" s="76">
        <f>IF($A171="","",IFERROR(SUMIF(Consumo_Joists!$A:$A,$A171,Consumo_Joists!$P:$P),0)+IFERROR(SUMIF(Consumo_Quadrantes!$A:$A,$A171,Consumo_Quadrantes!$F:$F),0))</f>
        <v>0</v>
      </c>
      <c r="P171" s="76">
        <v>10</v>
      </c>
      <c r="Q171" s="76"/>
      <c r="R171" s="76">
        <f t="shared" si="69"/>
        <v>-10</v>
      </c>
      <c r="S171" s="3">
        <f t="shared" si="50"/>
        <v>1.6666666666666667</v>
      </c>
      <c r="T171" s="1" t="str">
        <f t="shared" si="51"/>
        <v>Excedente</v>
      </c>
      <c r="U171" s="1" t="s">
        <v>370</v>
      </c>
      <c r="V171" s="1" t="s">
        <v>80</v>
      </c>
      <c r="W171" s="1" t="s">
        <v>505</v>
      </c>
      <c r="X171" s="2">
        <f t="shared" si="52"/>
        <v>0</v>
      </c>
      <c r="Y171" s="1" t="str">
        <f t="shared" si="53"/>
        <v>Monitorar</v>
      </c>
      <c r="Z171" s="1" t="str">
        <f t="shared" si="54"/>
        <v>OK</v>
      </c>
      <c r="AA171" s="11">
        <f t="shared" si="55"/>
        <v>1.2</v>
      </c>
      <c r="AB171" s="11">
        <f t="shared" si="56"/>
        <v>0</v>
      </c>
      <c r="AC171" s="1"/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76">
        <v>0</v>
      </c>
      <c r="AJ171" s="76">
        <f t="shared" si="57"/>
        <v>10</v>
      </c>
      <c r="AK171" s="1">
        <v>0</v>
      </c>
      <c r="AL171" s="1">
        <v>0</v>
      </c>
      <c r="AM171" s="1" t="str">
        <f t="shared" si="58"/>
        <v/>
      </c>
      <c r="AN171" s="1">
        <f t="shared" si="59"/>
        <v>0</v>
      </c>
      <c r="AO171" s="1">
        <v>0</v>
      </c>
      <c r="AP171" s="61">
        <f t="shared" si="60"/>
        <v>0</v>
      </c>
      <c r="AQ171" s="61">
        <v>0</v>
      </c>
      <c r="AR171" s="76">
        <v>0</v>
      </c>
      <c r="AS171" s="76">
        <f t="shared" si="61"/>
        <v>10</v>
      </c>
      <c r="AT171" s="69" t="str">
        <f t="shared" si="62"/>
        <v>OK</v>
      </c>
      <c r="AU171" s="77">
        <f t="shared" si="63"/>
        <v>0</v>
      </c>
      <c r="AV171" s="61" t="str">
        <f t="shared" si="64"/>
        <v>Sem mapa/sem consumo automático</v>
      </c>
      <c r="AW171" s="70"/>
      <c r="AX171" s="70">
        <v>0</v>
      </c>
      <c r="AY171" s="71" t="str">
        <f t="shared" si="65"/>
        <v>NÃO MAPEADO</v>
      </c>
      <c r="AZ171" s="70"/>
      <c r="BA171" s="71" t="str">
        <f t="shared" si="66"/>
        <v/>
      </c>
      <c r="BB171" s="70" t="str">
        <f t="shared" si="67"/>
        <v>Verificar cadastro</v>
      </c>
      <c r="BC171" s="78">
        <v>0</v>
      </c>
      <c r="BD171" s="78">
        <f t="shared" si="68"/>
        <v>0</v>
      </c>
      <c r="BE171" s="78">
        <v>0</v>
      </c>
      <c r="BF171">
        <v>0</v>
      </c>
      <c r="BG171">
        <v>0</v>
      </c>
      <c r="BH171">
        <v>0</v>
      </c>
      <c r="BJ171">
        <v>0</v>
      </c>
      <c r="BK171" s="103"/>
    </row>
    <row r="172" spans="1:63" ht="20.100000000000001" customHeight="1" x14ac:dyDescent="0.25">
      <c r="A172" s="8" t="s">
        <v>411</v>
      </c>
      <c r="B172" s="8">
        <v>0</v>
      </c>
      <c r="C172" s="8">
        <v>0</v>
      </c>
      <c r="D172" s="8"/>
      <c r="E172" s="8" t="s">
        <v>378</v>
      </c>
      <c r="F172" s="8" t="s">
        <v>410</v>
      </c>
      <c r="G172" s="8" t="s">
        <v>411</v>
      </c>
      <c r="H172" s="8">
        <v>888</v>
      </c>
      <c r="I172" s="9">
        <v>0</v>
      </c>
      <c r="J172" s="10">
        <f>IFERROR(SUMIF(REMESSAS!$C:$C,$A172,REMESSAS!$W:$W),0)</f>
        <v>864</v>
      </c>
      <c r="K172" s="11">
        <f t="shared" si="47"/>
        <v>24</v>
      </c>
      <c r="L172" s="11">
        <f t="shared" si="48"/>
        <v>0</v>
      </c>
      <c r="M172" s="11">
        <f t="shared" si="49"/>
        <v>-24</v>
      </c>
      <c r="N172" s="11">
        <v>0</v>
      </c>
      <c r="O172" s="76">
        <f>IF($A172="","",IFERROR(SUMIF(Consumo_Joists!$A:$A,$A172,Consumo_Joists!$P:$P),0)+IFERROR(SUMIF(Consumo_Quadrantes!$A:$A,$A172,Consumo_Quadrantes!$F:$F),0))</f>
        <v>0</v>
      </c>
      <c r="P172" s="76">
        <v>864</v>
      </c>
      <c r="Q172" s="76">
        <v>200</v>
      </c>
      <c r="R172" s="76">
        <f t="shared" si="69"/>
        <v>-664</v>
      </c>
      <c r="S172" s="3">
        <f t="shared" si="50"/>
        <v>0.97297297297297303</v>
      </c>
      <c r="T172" s="1" t="str">
        <f t="shared" si="51"/>
        <v>Recebimento Parcial</v>
      </c>
      <c r="U172" s="1" t="s">
        <v>370</v>
      </c>
      <c r="V172" s="1" t="s">
        <v>80</v>
      </c>
      <c r="W172" s="1" t="s">
        <v>505</v>
      </c>
      <c r="X172" s="2">
        <f t="shared" si="52"/>
        <v>0</v>
      </c>
      <c r="Y172" s="1" t="str">
        <f t="shared" si="53"/>
        <v>Monitorar</v>
      </c>
      <c r="Z172" s="1" t="str">
        <f t="shared" si="54"/>
        <v>OK</v>
      </c>
      <c r="AA172" s="11">
        <f t="shared" si="55"/>
        <v>177.6</v>
      </c>
      <c r="AB172" s="11">
        <f t="shared" si="56"/>
        <v>4.8</v>
      </c>
      <c r="AC172" s="1"/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76">
        <v>0</v>
      </c>
      <c r="AJ172" s="76">
        <f t="shared" si="57"/>
        <v>864</v>
      </c>
      <c r="AK172" s="1">
        <v>0</v>
      </c>
      <c r="AL172" s="1">
        <v>0</v>
      </c>
      <c r="AM172" s="1" t="str">
        <f t="shared" si="58"/>
        <v/>
      </c>
      <c r="AN172" s="1">
        <f t="shared" si="59"/>
        <v>0</v>
      </c>
      <c r="AO172" s="1">
        <v>0</v>
      </c>
      <c r="AP172" s="61">
        <f t="shared" si="60"/>
        <v>0</v>
      </c>
      <c r="AQ172" s="61">
        <v>0</v>
      </c>
      <c r="AR172" s="76">
        <v>0</v>
      </c>
      <c r="AS172" s="76">
        <f t="shared" si="61"/>
        <v>864</v>
      </c>
      <c r="AT172" s="69" t="str">
        <f t="shared" si="62"/>
        <v>OK</v>
      </c>
      <c r="AU172" s="77">
        <f t="shared" si="63"/>
        <v>24</v>
      </c>
      <c r="AV172" s="61" t="str">
        <f t="shared" si="64"/>
        <v>Sem mapa/sem consumo automático</v>
      </c>
      <c r="AW172" s="70"/>
      <c r="AX172" s="70">
        <v>0</v>
      </c>
      <c r="AY172" s="71" t="str">
        <f t="shared" si="65"/>
        <v>NÃO MAPEADO</v>
      </c>
      <c r="AZ172" s="70"/>
      <c r="BA172" s="71" t="str">
        <f t="shared" si="66"/>
        <v/>
      </c>
      <c r="BB172" s="70" t="str">
        <f t="shared" si="67"/>
        <v>Verificar cadastro</v>
      </c>
      <c r="BC172" s="78">
        <v>0</v>
      </c>
      <c r="BD172" s="78">
        <f t="shared" si="68"/>
        <v>0</v>
      </c>
      <c r="BE172" s="78">
        <v>0</v>
      </c>
      <c r="BF172">
        <v>0</v>
      </c>
      <c r="BG172">
        <v>0</v>
      </c>
      <c r="BH172">
        <v>0</v>
      </c>
      <c r="BJ172">
        <v>0</v>
      </c>
      <c r="BK172" s="103"/>
    </row>
    <row r="173" spans="1:63" ht="20.100000000000001" customHeight="1" x14ac:dyDescent="0.25">
      <c r="A173" s="8" t="s">
        <v>417</v>
      </c>
      <c r="B173" s="8">
        <v>0</v>
      </c>
      <c r="C173" s="8">
        <v>0</v>
      </c>
      <c r="D173" s="8"/>
      <c r="E173" s="8" t="s">
        <v>395</v>
      </c>
      <c r="F173" s="8" t="s">
        <v>416</v>
      </c>
      <c r="G173" s="8" t="s">
        <v>417</v>
      </c>
      <c r="H173" s="8">
        <v>1224</v>
      </c>
      <c r="I173" s="12">
        <v>0</v>
      </c>
      <c r="J173" s="10">
        <f>IFERROR(SUMIF(REMESSAS!$C:$C,$A173,REMESSAS!$W:$W),0)</f>
        <v>1285</v>
      </c>
      <c r="K173" s="11">
        <f t="shared" si="47"/>
        <v>0</v>
      </c>
      <c r="L173" s="11">
        <f t="shared" si="48"/>
        <v>61</v>
      </c>
      <c r="M173" s="11">
        <f t="shared" si="49"/>
        <v>61</v>
      </c>
      <c r="N173" s="11">
        <v>0</v>
      </c>
      <c r="O173" s="76">
        <v>120</v>
      </c>
      <c r="P173" s="76">
        <v>1165</v>
      </c>
      <c r="Q173" s="76">
        <v>383</v>
      </c>
      <c r="R173" s="76">
        <f t="shared" si="69"/>
        <v>-782</v>
      </c>
      <c r="S173" s="3">
        <f t="shared" si="50"/>
        <v>1.0498366013071896</v>
      </c>
      <c r="T173" s="1" t="str">
        <f t="shared" si="51"/>
        <v>Excedente</v>
      </c>
      <c r="U173" s="1" t="s">
        <v>370</v>
      </c>
      <c r="V173" s="1" t="s">
        <v>80</v>
      </c>
      <c r="W173" s="1" t="s">
        <v>505</v>
      </c>
      <c r="X173" s="2">
        <f t="shared" si="52"/>
        <v>0</v>
      </c>
      <c r="Y173" s="1" t="str">
        <f t="shared" si="53"/>
        <v>Monitorar</v>
      </c>
      <c r="Z173" s="1" t="str">
        <f t="shared" si="54"/>
        <v>OK</v>
      </c>
      <c r="AA173" s="11">
        <f t="shared" si="55"/>
        <v>244.8</v>
      </c>
      <c r="AB173" s="11">
        <f t="shared" si="56"/>
        <v>0</v>
      </c>
      <c r="AC173" s="1"/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76">
        <v>0</v>
      </c>
      <c r="AJ173" s="76">
        <f t="shared" si="57"/>
        <v>1285</v>
      </c>
      <c r="AK173" s="1">
        <v>0</v>
      </c>
      <c r="AL173" s="1">
        <v>0</v>
      </c>
      <c r="AM173" s="1" t="str">
        <f t="shared" si="58"/>
        <v/>
      </c>
      <c r="AN173" s="1">
        <f t="shared" si="59"/>
        <v>0</v>
      </c>
      <c r="AO173" s="1">
        <v>0</v>
      </c>
      <c r="AP173" s="61">
        <f t="shared" si="60"/>
        <v>0</v>
      </c>
      <c r="AQ173" s="61">
        <v>0</v>
      </c>
      <c r="AR173" s="76">
        <v>0</v>
      </c>
      <c r="AS173" s="76">
        <f t="shared" si="61"/>
        <v>1165</v>
      </c>
      <c r="AT173" s="69" t="str">
        <f t="shared" si="62"/>
        <v>OK</v>
      </c>
      <c r="AU173" s="77">
        <f t="shared" si="63"/>
        <v>59</v>
      </c>
      <c r="AV173" s="61" t="str">
        <f t="shared" si="64"/>
        <v>Sem mapa/sem consumo automático</v>
      </c>
      <c r="AW173" s="70"/>
      <c r="AX173" s="70">
        <v>0</v>
      </c>
      <c r="AY173" s="71" t="str">
        <f t="shared" si="65"/>
        <v>NÃO MAPEADO</v>
      </c>
      <c r="AZ173" s="70"/>
      <c r="BA173" s="71" t="str">
        <f t="shared" si="66"/>
        <v/>
      </c>
      <c r="BB173" s="70" t="str">
        <f t="shared" si="67"/>
        <v>Verificar cadastro</v>
      </c>
      <c r="BC173" s="78">
        <v>0</v>
      </c>
      <c r="BD173" s="78">
        <f t="shared" si="68"/>
        <v>0</v>
      </c>
      <c r="BE173" s="78">
        <v>0</v>
      </c>
      <c r="BF173">
        <v>0</v>
      </c>
      <c r="BG173">
        <v>0</v>
      </c>
      <c r="BH173">
        <v>0</v>
      </c>
      <c r="BJ173">
        <v>0</v>
      </c>
      <c r="BK173" s="103"/>
    </row>
    <row r="174" spans="1:63" ht="20.100000000000001" customHeight="1" x14ac:dyDescent="0.25">
      <c r="A174" s="8" t="s">
        <v>420</v>
      </c>
      <c r="B174" s="8">
        <v>0</v>
      </c>
      <c r="C174" s="8">
        <v>0</v>
      </c>
      <c r="D174" s="8"/>
      <c r="E174" s="8" t="s">
        <v>395</v>
      </c>
      <c r="F174" s="8" t="s">
        <v>419</v>
      </c>
      <c r="G174" s="8" t="s">
        <v>420</v>
      </c>
      <c r="H174" s="8">
        <v>72</v>
      </c>
      <c r="I174" s="9">
        <v>0</v>
      </c>
      <c r="J174" s="10">
        <f>IFERROR(SUMIF(REMESSAS!$C:$C,$A174,REMESSAS!$W:$W),0)</f>
        <v>72</v>
      </c>
      <c r="K174" s="11">
        <f t="shared" si="47"/>
        <v>0</v>
      </c>
      <c r="L174" s="11">
        <f t="shared" si="48"/>
        <v>0</v>
      </c>
      <c r="M174" s="11">
        <f t="shared" si="49"/>
        <v>0</v>
      </c>
      <c r="N174" s="11">
        <v>0</v>
      </c>
      <c r="O174" s="76">
        <f>IF($A174="","",IFERROR(SUMIF(Consumo_Joists!$A:$A,$A174,Consumo_Joists!$P:$P),0)+IFERROR(SUMIF(Consumo_Quadrantes!$A:$A,$A174,Consumo_Quadrantes!$F:$F),0))</f>
        <v>0</v>
      </c>
      <c r="P174" s="76">
        <v>72</v>
      </c>
      <c r="Q174" s="76">
        <v>0</v>
      </c>
      <c r="R174" s="76">
        <f t="shared" si="69"/>
        <v>-72</v>
      </c>
      <c r="S174" s="3">
        <f t="shared" si="50"/>
        <v>1</v>
      </c>
      <c r="T174" s="1" t="str">
        <f t="shared" si="51"/>
        <v>Atendido</v>
      </c>
      <c r="U174" s="1" t="s">
        <v>370</v>
      </c>
      <c r="V174" s="1" t="s">
        <v>80</v>
      </c>
      <c r="W174" s="1" t="s">
        <v>505</v>
      </c>
      <c r="X174" s="2">
        <f t="shared" si="52"/>
        <v>0</v>
      </c>
      <c r="Y174" s="1" t="str">
        <f t="shared" si="53"/>
        <v>Monitorar</v>
      </c>
      <c r="Z174" s="1" t="str">
        <f t="shared" si="54"/>
        <v>OK</v>
      </c>
      <c r="AA174" s="11">
        <f t="shared" si="55"/>
        <v>14.4</v>
      </c>
      <c r="AB174" s="11">
        <f t="shared" si="56"/>
        <v>0</v>
      </c>
      <c r="AC174" s="1"/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76">
        <v>0</v>
      </c>
      <c r="AJ174" s="76">
        <f t="shared" si="57"/>
        <v>72</v>
      </c>
      <c r="AK174" s="1">
        <v>0</v>
      </c>
      <c r="AL174" s="1">
        <v>0</v>
      </c>
      <c r="AM174" s="1" t="str">
        <f t="shared" si="58"/>
        <v/>
      </c>
      <c r="AN174" s="1">
        <f t="shared" si="59"/>
        <v>0</v>
      </c>
      <c r="AO174" s="1">
        <v>0</v>
      </c>
      <c r="AP174" s="61">
        <f t="shared" si="60"/>
        <v>0</v>
      </c>
      <c r="AQ174" s="61">
        <v>0</v>
      </c>
      <c r="AR174" s="76">
        <v>0</v>
      </c>
      <c r="AS174" s="76">
        <f t="shared" si="61"/>
        <v>72</v>
      </c>
      <c r="AT174" s="69" t="str">
        <f t="shared" si="62"/>
        <v>OK</v>
      </c>
      <c r="AU174" s="77">
        <f t="shared" si="63"/>
        <v>0</v>
      </c>
      <c r="AV174" s="61" t="str">
        <f t="shared" si="64"/>
        <v>Sem mapa/sem consumo automático</v>
      </c>
      <c r="AW174" s="70"/>
      <c r="AX174" s="70">
        <v>0</v>
      </c>
      <c r="AY174" s="71" t="str">
        <f t="shared" si="65"/>
        <v>NÃO MAPEADO</v>
      </c>
      <c r="AZ174" s="70"/>
      <c r="BA174" s="71" t="str">
        <f t="shared" si="66"/>
        <v/>
      </c>
      <c r="BB174" s="70" t="str">
        <f t="shared" si="67"/>
        <v>Verificar cadastro</v>
      </c>
      <c r="BC174" s="78">
        <v>0</v>
      </c>
      <c r="BD174" s="78">
        <f t="shared" si="68"/>
        <v>0</v>
      </c>
      <c r="BE174" s="78">
        <v>0</v>
      </c>
      <c r="BF174">
        <v>0</v>
      </c>
      <c r="BG174">
        <v>0</v>
      </c>
      <c r="BH174">
        <v>0</v>
      </c>
      <c r="BJ174">
        <v>0</v>
      </c>
      <c r="BK174" s="103"/>
    </row>
    <row r="175" spans="1:63" ht="20.100000000000001" customHeight="1" x14ac:dyDescent="0.25">
      <c r="A175" s="8" t="s">
        <v>422</v>
      </c>
      <c r="B175" s="8">
        <v>0</v>
      </c>
      <c r="C175" s="8">
        <v>0</v>
      </c>
      <c r="D175" s="8"/>
      <c r="E175" s="8" t="s">
        <v>395</v>
      </c>
      <c r="F175" s="8" t="s">
        <v>421</v>
      </c>
      <c r="G175" s="8" t="s">
        <v>422</v>
      </c>
      <c r="H175" s="8">
        <v>2</v>
      </c>
      <c r="I175" s="12">
        <v>0</v>
      </c>
      <c r="J175" s="10">
        <f>IFERROR(SUMIF(REMESSAS!$C:$C,$A175,REMESSAS!$W:$W),0)</f>
        <v>0</v>
      </c>
      <c r="K175" s="11">
        <f t="shared" si="47"/>
        <v>2</v>
      </c>
      <c r="L175" s="11">
        <f t="shared" si="48"/>
        <v>0</v>
      </c>
      <c r="M175" s="11">
        <f t="shared" si="49"/>
        <v>-2</v>
      </c>
      <c r="N175" s="11">
        <v>0</v>
      </c>
      <c r="O175" s="76">
        <f>IF($A175="","",IFERROR(SUMIF(Consumo_Joists!$A:$A,$A175,Consumo_Joists!$P:$P),0)+IFERROR(SUMIF(Consumo_Quadrantes!$A:$A,$A175,Consumo_Quadrantes!$F:$F),0))</f>
        <v>0</v>
      </c>
      <c r="P175" s="76">
        <v>0</v>
      </c>
      <c r="Q175" s="76">
        <v>0</v>
      </c>
      <c r="R175" s="76">
        <f t="shared" si="69"/>
        <v>0</v>
      </c>
      <c r="S175" s="3">
        <f t="shared" si="50"/>
        <v>0</v>
      </c>
      <c r="T175" s="1" t="str">
        <f t="shared" si="51"/>
        <v>Crítico</v>
      </c>
      <c r="U175" s="1" t="s">
        <v>370</v>
      </c>
      <c r="V175" s="1" t="s">
        <v>80</v>
      </c>
      <c r="W175" s="1" t="s">
        <v>505</v>
      </c>
      <c r="X175" s="2">
        <f t="shared" si="52"/>
        <v>1</v>
      </c>
      <c r="Y175" s="1" t="str">
        <f t="shared" si="53"/>
        <v>Enviar se houver espaço</v>
      </c>
      <c r="Z175" s="1" t="str">
        <f t="shared" si="54"/>
        <v>OK</v>
      </c>
      <c r="AA175" s="11">
        <f t="shared" si="55"/>
        <v>0.4</v>
      </c>
      <c r="AB175" s="11">
        <f t="shared" si="56"/>
        <v>0.4</v>
      </c>
      <c r="AC175" s="1"/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76">
        <v>0</v>
      </c>
      <c r="AJ175" s="76">
        <f t="shared" si="57"/>
        <v>0</v>
      </c>
      <c r="AK175" s="1">
        <v>0</v>
      </c>
      <c r="AL175" s="1">
        <v>0</v>
      </c>
      <c r="AM175" s="1" t="str">
        <f t="shared" si="58"/>
        <v/>
      </c>
      <c r="AN175" s="1">
        <f t="shared" si="59"/>
        <v>0</v>
      </c>
      <c r="AO175" s="1">
        <v>0</v>
      </c>
      <c r="AP175" s="61">
        <f t="shared" si="60"/>
        <v>0</v>
      </c>
      <c r="AQ175" s="61">
        <v>0</v>
      </c>
      <c r="AR175" s="76">
        <v>0</v>
      </c>
      <c r="AS175" s="76">
        <f t="shared" si="61"/>
        <v>0</v>
      </c>
      <c r="AT175" s="69" t="str">
        <f t="shared" si="62"/>
        <v>OK</v>
      </c>
      <c r="AU175" s="77">
        <f t="shared" si="63"/>
        <v>2</v>
      </c>
      <c r="AV175" s="61" t="str">
        <f t="shared" si="64"/>
        <v>Sem mapa/sem consumo automático</v>
      </c>
      <c r="AW175" s="70"/>
      <c r="AX175" s="70">
        <v>0</v>
      </c>
      <c r="AY175" s="71" t="str">
        <f t="shared" si="65"/>
        <v>NÃO MAPEADO</v>
      </c>
      <c r="AZ175" s="70"/>
      <c r="BA175" s="71" t="str">
        <f t="shared" si="66"/>
        <v/>
      </c>
      <c r="BB175" s="70" t="str">
        <f t="shared" si="67"/>
        <v>Verificar cadastro</v>
      </c>
      <c r="BC175" s="78">
        <v>0</v>
      </c>
      <c r="BD175" s="78">
        <f t="shared" si="68"/>
        <v>0</v>
      </c>
      <c r="BE175" s="78">
        <v>0</v>
      </c>
      <c r="BF175">
        <v>0</v>
      </c>
      <c r="BG175">
        <v>0</v>
      </c>
      <c r="BH175">
        <v>0</v>
      </c>
      <c r="BJ175">
        <v>0</v>
      </c>
      <c r="BK175" s="103"/>
    </row>
    <row r="176" spans="1:63" ht="20.100000000000001" customHeight="1" x14ac:dyDescent="0.25">
      <c r="A176" s="8" t="s">
        <v>427</v>
      </c>
      <c r="B176" s="8">
        <v>0</v>
      </c>
      <c r="C176" s="8">
        <v>0</v>
      </c>
      <c r="D176" s="8"/>
      <c r="E176" s="8" t="s">
        <v>378</v>
      </c>
      <c r="F176" s="8" t="s">
        <v>426</v>
      </c>
      <c r="G176" s="8" t="s">
        <v>427</v>
      </c>
      <c r="H176" s="8">
        <v>8215</v>
      </c>
      <c r="I176" s="9">
        <v>0</v>
      </c>
      <c r="J176" s="10">
        <f>IFERROR(SUMIF(REMESSAS!$C:$C,$A176,REMESSAS!$W:$W),0)</f>
        <v>3850</v>
      </c>
      <c r="K176" s="11">
        <f t="shared" si="47"/>
        <v>4365</v>
      </c>
      <c r="L176" s="11">
        <f t="shared" si="48"/>
        <v>0</v>
      </c>
      <c r="M176" s="11">
        <f t="shared" si="49"/>
        <v>-4365</v>
      </c>
      <c r="N176" s="11">
        <v>0</v>
      </c>
      <c r="O176" s="76">
        <v>1067</v>
      </c>
      <c r="P176" s="76">
        <v>2783</v>
      </c>
      <c r="Q176" s="76">
        <v>1477</v>
      </c>
      <c r="R176" s="76">
        <f>Q176-P176</f>
        <v>-1306</v>
      </c>
      <c r="S176" s="3">
        <f t="shared" si="50"/>
        <v>0.46865489957395007</v>
      </c>
      <c r="T176" s="1" t="str">
        <f t="shared" si="51"/>
        <v>Recebimento Parcial</v>
      </c>
      <c r="U176" s="1" t="s">
        <v>370</v>
      </c>
      <c r="V176" s="1" t="s">
        <v>80</v>
      </c>
      <c r="W176" s="1" t="s">
        <v>505</v>
      </c>
      <c r="X176" s="2">
        <f t="shared" si="52"/>
        <v>2183</v>
      </c>
      <c r="Y176" s="1" t="str">
        <f t="shared" si="53"/>
        <v>Enviar se houver espaço</v>
      </c>
      <c r="Z176" s="1" t="str">
        <f t="shared" si="54"/>
        <v>OK</v>
      </c>
      <c r="AA176" s="11">
        <f t="shared" si="55"/>
        <v>1643</v>
      </c>
      <c r="AB176" s="11">
        <f t="shared" si="56"/>
        <v>873</v>
      </c>
      <c r="AC176" s="1"/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76">
        <v>0</v>
      </c>
      <c r="AJ176" s="76">
        <f t="shared" si="57"/>
        <v>3850</v>
      </c>
      <c r="AK176" s="1">
        <v>0</v>
      </c>
      <c r="AL176" s="1">
        <v>0</v>
      </c>
      <c r="AM176" s="1" t="str">
        <f t="shared" si="58"/>
        <v/>
      </c>
      <c r="AN176" s="1">
        <f t="shared" si="59"/>
        <v>0</v>
      </c>
      <c r="AO176" s="1">
        <v>0</v>
      </c>
      <c r="AP176" s="61">
        <f t="shared" si="60"/>
        <v>0</v>
      </c>
      <c r="AQ176" s="61">
        <v>0</v>
      </c>
      <c r="AR176" s="76">
        <v>0</v>
      </c>
      <c r="AS176" s="76">
        <f t="shared" si="61"/>
        <v>2783</v>
      </c>
      <c r="AT176" s="69" t="str">
        <f t="shared" si="62"/>
        <v>OK</v>
      </c>
      <c r="AU176" s="77">
        <f t="shared" si="63"/>
        <v>5432</v>
      </c>
      <c r="AV176" s="61" t="str">
        <f t="shared" si="64"/>
        <v>Sem mapa/sem consumo automático</v>
      </c>
      <c r="AW176" s="70"/>
      <c r="AX176" s="70">
        <v>0</v>
      </c>
      <c r="AY176" s="71" t="str">
        <f t="shared" si="65"/>
        <v>NÃO MAPEADO</v>
      </c>
      <c r="AZ176" s="70"/>
      <c r="BA176" s="71" t="str">
        <f t="shared" si="66"/>
        <v/>
      </c>
      <c r="BB176" s="70" t="str">
        <f t="shared" si="67"/>
        <v>Verificar cadastro</v>
      </c>
      <c r="BC176" s="78">
        <v>0</v>
      </c>
      <c r="BD176" s="78">
        <f t="shared" si="68"/>
        <v>0</v>
      </c>
      <c r="BE176" s="78">
        <v>0</v>
      </c>
      <c r="BF176">
        <v>0</v>
      </c>
      <c r="BG176">
        <v>0</v>
      </c>
      <c r="BH176">
        <v>0</v>
      </c>
      <c r="BJ176">
        <v>0</v>
      </c>
      <c r="BK176" s="103"/>
    </row>
    <row r="177" spans="1:63" ht="20.100000000000001" customHeight="1" x14ac:dyDescent="0.25">
      <c r="A177" s="8" t="s">
        <v>434</v>
      </c>
      <c r="B177" s="8">
        <v>0</v>
      </c>
      <c r="C177" s="8">
        <v>0</v>
      </c>
      <c r="D177" s="8"/>
      <c r="E177" s="8" t="s">
        <v>395</v>
      </c>
      <c r="F177" s="8" t="s">
        <v>433</v>
      </c>
      <c r="G177" s="8" t="s">
        <v>434</v>
      </c>
      <c r="H177" s="8">
        <v>1298</v>
      </c>
      <c r="I177" s="9">
        <v>0</v>
      </c>
      <c r="J177" s="10">
        <f>IFERROR(SUMIF(REMESSAS!$C:$C,$A177,REMESSAS!$W:$W),0)</f>
        <v>1219</v>
      </c>
      <c r="K177" s="11">
        <f t="shared" si="47"/>
        <v>79</v>
      </c>
      <c r="L177" s="11">
        <f t="shared" si="48"/>
        <v>0</v>
      </c>
      <c r="M177" s="11">
        <f t="shared" si="49"/>
        <v>-79</v>
      </c>
      <c r="N177" s="11">
        <v>0</v>
      </c>
      <c r="O177" s="76">
        <v>120</v>
      </c>
      <c r="P177" s="76">
        <v>1099</v>
      </c>
      <c r="Q177" s="76">
        <v>383</v>
      </c>
      <c r="R177" s="76">
        <f>Q177-P177</f>
        <v>-716</v>
      </c>
      <c r="S177" s="3">
        <f t="shared" si="50"/>
        <v>0.9391371340523883</v>
      </c>
      <c r="T177" s="1" t="str">
        <f t="shared" si="51"/>
        <v>Recebimento Parcial</v>
      </c>
      <c r="U177" s="1" t="s">
        <v>370</v>
      </c>
      <c r="V177" s="1" t="s">
        <v>80</v>
      </c>
      <c r="W177" s="1" t="s">
        <v>505</v>
      </c>
      <c r="X177" s="2">
        <f t="shared" si="52"/>
        <v>0</v>
      </c>
      <c r="Y177" s="1" t="str">
        <f t="shared" si="53"/>
        <v>Monitorar</v>
      </c>
      <c r="Z177" s="1" t="str">
        <f t="shared" si="54"/>
        <v>OK</v>
      </c>
      <c r="AA177" s="11">
        <f t="shared" si="55"/>
        <v>259.60000000000002</v>
      </c>
      <c r="AB177" s="11">
        <f t="shared" si="56"/>
        <v>15.8</v>
      </c>
      <c r="AC177" s="1"/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76">
        <v>0</v>
      </c>
      <c r="AJ177" s="76">
        <f t="shared" si="57"/>
        <v>1219</v>
      </c>
      <c r="AK177" s="1">
        <v>0</v>
      </c>
      <c r="AL177" s="1">
        <v>0</v>
      </c>
      <c r="AM177" s="1" t="str">
        <f t="shared" si="58"/>
        <v/>
      </c>
      <c r="AN177" s="1">
        <f t="shared" si="59"/>
        <v>0</v>
      </c>
      <c r="AO177" s="1">
        <v>0</v>
      </c>
      <c r="AP177" s="61">
        <f t="shared" si="60"/>
        <v>0</v>
      </c>
      <c r="AQ177" s="61">
        <v>0</v>
      </c>
      <c r="AR177" s="76">
        <v>0</v>
      </c>
      <c r="AS177" s="76">
        <f t="shared" si="61"/>
        <v>1099</v>
      </c>
      <c r="AT177" s="69" t="str">
        <f t="shared" si="62"/>
        <v>OK</v>
      </c>
      <c r="AU177" s="77">
        <f t="shared" si="63"/>
        <v>199</v>
      </c>
      <c r="AV177" s="61" t="str">
        <f t="shared" si="64"/>
        <v>Sem mapa/sem consumo automático</v>
      </c>
      <c r="AW177" s="70"/>
      <c r="AX177" s="70">
        <v>0</v>
      </c>
      <c r="AY177" s="71" t="str">
        <f t="shared" si="65"/>
        <v>NÃO MAPEADO</v>
      </c>
      <c r="AZ177" s="70"/>
      <c r="BA177" s="71" t="str">
        <f t="shared" si="66"/>
        <v/>
      </c>
      <c r="BB177" s="70" t="str">
        <f t="shared" si="67"/>
        <v>Verificar cadastro</v>
      </c>
      <c r="BC177" s="78">
        <v>0</v>
      </c>
      <c r="BD177" s="78">
        <f t="shared" si="68"/>
        <v>0</v>
      </c>
      <c r="BE177" s="78">
        <v>0</v>
      </c>
      <c r="BF177">
        <v>0</v>
      </c>
      <c r="BG177">
        <v>0</v>
      </c>
      <c r="BH177">
        <v>0</v>
      </c>
      <c r="BJ177">
        <v>0</v>
      </c>
      <c r="BK177" s="103"/>
    </row>
    <row r="178" spans="1:63" ht="20.100000000000001" customHeight="1" x14ac:dyDescent="0.25">
      <c r="A178" s="8" t="s">
        <v>373</v>
      </c>
      <c r="B178" s="8">
        <v>0</v>
      </c>
      <c r="C178" s="8">
        <v>0</v>
      </c>
      <c r="D178" s="8"/>
      <c r="E178" s="8" t="s">
        <v>406</v>
      </c>
      <c r="F178" s="8" t="s">
        <v>372</v>
      </c>
      <c r="G178" s="8" t="s">
        <v>373</v>
      </c>
      <c r="H178" s="8">
        <v>8135</v>
      </c>
      <c r="I178" s="12">
        <v>0</v>
      </c>
      <c r="J178" s="10">
        <f>IFERROR(SUMIF(REMESSAS!$C:$C,$A178,REMESSAS!$W:$W),0)</f>
        <v>2800</v>
      </c>
      <c r="K178" s="11">
        <f t="shared" si="47"/>
        <v>5335</v>
      </c>
      <c r="L178" s="11">
        <f t="shared" si="48"/>
        <v>0</v>
      </c>
      <c r="M178" s="11">
        <f t="shared" si="49"/>
        <v>-5335</v>
      </c>
      <c r="N178" s="11">
        <v>0</v>
      </c>
      <c r="O178" s="76">
        <v>1067</v>
      </c>
      <c r="P178" s="76">
        <v>1733</v>
      </c>
      <c r="Q178" s="76">
        <v>1491</v>
      </c>
      <c r="R178" s="76">
        <f t="shared" ref="R178:R180" si="70">Q178-P178</f>
        <v>-242</v>
      </c>
      <c r="S178" s="3">
        <f t="shared" si="50"/>
        <v>0.34419176398279039</v>
      </c>
      <c r="T178" s="1" t="str">
        <f t="shared" si="51"/>
        <v>Recebimento Parcial</v>
      </c>
      <c r="U178" s="1" t="s">
        <v>370</v>
      </c>
      <c r="V178" s="1" t="s">
        <v>80</v>
      </c>
      <c r="W178" s="1" t="s">
        <v>505</v>
      </c>
      <c r="X178" s="2">
        <f t="shared" si="52"/>
        <v>2668</v>
      </c>
      <c r="Y178" s="1" t="str">
        <f t="shared" si="53"/>
        <v>Enviar se houver espaço</v>
      </c>
      <c r="Z178" s="1" t="str">
        <f t="shared" si="54"/>
        <v>OK</v>
      </c>
      <c r="AA178" s="11">
        <f t="shared" si="55"/>
        <v>1627</v>
      </c>
      <c r="AB178" s="11">
        <f t="shared" si="56"/>
        <v>1067</v>
      </c>
      <c r="AC178" s="1"/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76">
        <v>0</v>
      </c>
      <c r="AJ178" s="76">
        <f t="shared" si="57"/>
        <v>2800</v>
      </c>
      <c r="AK178" s="1">
        <v>0</v>
      </c>
      <c r="AL178" s="1">
        <v>0</v>
      </c>
      <c r="AM178" s="1" t="str">
        <f t="shared" si="58"/>
        <v/>
      </c>
      <c r="AN178" s="1">
        <f t="shared" si="59"/>
        <v>0</v>
      </c>
      <c r="AO178" s="1">
        <v>0</v>
      </c>
      <c r="AP178" s="61">
        <f t="shared" si="60"/>
        <v>0</v>
      </c>
      <c r="AQ178" s="61">
        <v>0</v>
      </c>
      <c r="AR178" s="76">
        <v>0</v>
      </c>
      <c r="AS178" s="76">
        <f t="shared" si="61"/>
        <v>1733</v>
      </c>
      <c r="AT178" s="69" t="str">
        <f t="shared" si="62"/>
        <v>OK</v>
      </c>
      <c r="AU178" s="77">
        <f t="shared" si="63"/>
        <v>6402</v>
      </c>
      <c r="AV178" s="61" t="str">
        <f t="shared" si="64"/>
        <v>Sem mapa/sem consumo automático</v>
      </c>
      <c r="AW178" s="70"/>
      <c r="AX178" s="70">
        <v>0</v>
      </c>
      <c r="AY178" s="71" t="str">
        <f t="shared" si="65"/>
        <v>NÃO MAPEADO</v>
      </c>
      <c r="AZ178" s="70"/>
      <c r="BA178" s="71" t="str">
        <f t="shared" si="66"/>
        <v/>
      </c>
      <c r="BB178" s="70" t="str">
        <f t="shared" si="67"/>
        <v>Verificar cadastro</v>
      </c>
      <c r="BC178" s="78">
        <v>0</v>
      </c>
      <c r="BD178" s="78">
        <f t="shared" si="68"/>
        <v>0</v>
      </c>
      <c r="BE178" s="78">
        <v>0</v>
      </c>
      <c r="BF178">
        <v>0</v>
      </c>
      <c r="BG178">
        <v>0</v>
      </c>
      <c r="BH178">
        <v>0</v>
      </c>
      <c r="BJ178">
        <v>0</v>
      </c>
      <c r="BK178" s="103"/>
    </row>
    <row r="179" spans="1:63" ht="20.100000000000001" customHeight="1" x14ac:dyDescent="0.25">
      <c r="A179" s="8" t="s">
        <v>394</v>
      </c>
      <c r="B179" s="8">
        <v>0</v>
      </c>
      <c r="C179" s="8">
        <v>0</v>
      </c>
      <c r="D179" s="8"/>
      <c r="E179" s="184" t="s">
        <v>395</v>
      </c>
      <c r="F179" s="184" t="s">
        <v>393</v>
      </c>
      <c r="G179" s="8" t="s">
        <v>394</v>
      </c>
      <c r="H179" s="8">
        <v>568</v>
      </c>
      <c r="I179" s="12">
        <v>0</v>
      </c>
      <c r="J179" s="10">
        <f>IFERROR(SUMIF(REMESSAS!$C:$C,$A179,REMESSAS!$W:$W),0)</f>
        <v>367</v>
      </c>
      <c r="K179" s="11">
        <f t="shared" si="47"/>
        <v>201</v>
      </c>
      <c r="L179" s="11">
        <f t="shared" si="48"/>
        <v>0</v>
      </c>
      <c r="M179" s="11">
        <f t="shared" si="49"/>
        <v>-201</v>
      </c>
      <c r="N179" s="11">
        <v>0</v>
      </c>
      <c r="O179" s="76">
        <f>IF($A179="","",IFERROR(SUMIF(Consumo_Joists!$A:$A,$A179,Consumo_Joists!$P:$P),0)+IFERROR(SUMIF(Consumo_Quadrantes!$A:$A,$A179,Consumo_Quadrantes!$F:$F),0))</f>
        <v>579</v>
      </c>
      <c r="P179" s="76">
        <v>0</v>
      </c>
      <c r="Q179" s="76">
        <v>367</v>
      </c>
      <c r="R179" s="76">
        <f t="shared" si="70"/>
        <v>367</v>
      </c>
      <c r="S179" s="3">
        <f t="shared" si="50"/>
        <v>0.64612676056338025</v>
      </c>
      <c r="T179" s="1" t="str">
        <f t="shared" si="51"/>
        <v>Recebimento Parcial</v>
      </c>
      <c r="U179" s="1" t="s">
        <v>370</v>
      </c>
      <c r="V179" s="1" t="s">
        <v>80</v>
      </c>
      <c r="W179" s="1" t="s">
        <v>505</v>
      </c>
      <c r="X179" s="2">
        <f t="shared" si="52"/>
        <v>0</v>
      </c>
      <c r="Y179" s="1" t="str">
        <f t="shared" si="53"/>
        <v>Monitorar</v>
      </c>
      <c r="Z179" s="1" t="str">
        <f t="shared" si="54"/>
        <v>OK</v>
      </c>
      <c r="AA179" s="11">
        <f t="shared" si="55"/>
        <v>113.6</v>
      </c>
      <c r="AB179" s="11">
        <f t="shared" si="56"/>
        <v>40.200000000000003</v>
      </c>
      <c r="AC179" s="1"/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76">
        <v>0</v>
      </c>
      <c r="AJ179" s="76">
        <f t="shared" si="57"/>
        <v>367</v>
      </c>
      <c r="AK179" s="1">
        <v>0</v>
      </c>
      <c r="AL179" s="1">
        <v>0</v>
      </c>
      <c r="AM179" s="1" t="str">
        <f t="shared" si="58"/>
        <v/>
      </c>
      <c r="AN179" s="1">
        <f t="shared" si="59"/>
        <v>0</v>
      </c>
      <c r="AO179" s="1">
        <v>0</v>
      </c>
      <c r="AP179" s="61">
        <f t="shared" si="60"/>
        <v>0</v>
      </c>
      <c r="AQ179" s="61">
        <v>0</v>
      </c>
      <c r="AR179" s="76">
        <v>0</v>
      </c>
      <c r="AS179" s="76">
        <f t="shared" si="61"/>
        <v>0</v>
      </c>
      <c r="AT179" s="69" t="str">
        <f t="shared" si="62"/>
        <v>CRÍTICO</v>
      </c>
      <c r="AU179" s="77">
        <f t="shared" si="63"/>
        <v>780</v>
      </c>
      <c r="AV179" s="61" t="str">
        <f t="shared" si="64"/>
        <v>Sem mapa/sem consumo automático</v>
      </c>
      <c r="AW179" s="70"/>
      <c r="AX179" s="70">
        <v>0</v>
      </c>
      <c r="AY179" s="71" t="str">
        <f t="shared" si="65"/>
        <v>NÃO MAPEADO</v>
      </c>
      <c r="AZ179" s="70"/>
      <c r="BA179" s="71" t="str">
        <f t="shared" si="66"/>
        <v/>
      </c>
      <c r="BB179" s="70" t="str">
        <f t="shared" si="67"/>
        <v>Verificar cadastro</v>
      </c>
      <c r="BC179" s="78">
        <v>0</v>
      </c>
      <c r="BD179" s="78">
        <f t="shared" si="68"/>
        <v>0</v>
      </c>
      <c r="BE179" s="78">
        <v>0</v>
      </c>
      <c r="BF179">
        <v>0</v>
      </c>
      <c r="BG179">
        <v>0</v>
      </c>
      <c r="BH179">
        <v>0</v>
      </c>
      <c r="BJ179">
        <v>0</v>
      </c>
      <c r="BK179" s="103"/>
    </row>
    <row r="180" spans="1:63" ht="20.100000000000001" customHeight="1" x14ac:dyDescent="0.25">
      <c r="A180" s="8" t="s">
        <v>380</v>
      </c>
      <c r="B180" s="8">
        <v>0</v>
      </c>
      <c r="C180" s="8">
        <v>0</v>
      </c>
      <c r="D180" s="8"/>
      <c r="E180" s="8" t="s">
        <v>406</v>
      </c>
      <c r="F180" s="8" t="s">
        <v>379</v>
      </c>
      <c r="G180" s="8" t="s">
        <v>380</v>
      </c>
      <c r="H180" s="8">
        <v>1298</v>
      </c>
      <c r="I180" s="12">
        <v>0</v>
      </c>
      <c r="J180" s="10">
        <f>IFERROR(SUMIF(REMESSAS!$C:$C,$A180,REMESSAS!$W:$W),0)</f>
        <v>1305</v>
      </c>
      <c r="K180" s="11">
        <f t="shared" si="47"/>
        <v>0</v>
      </c>
      <c r="L180" s="11">
        <f t="shared" si="48"/>
        <v>7</v>
      </c>
      <c r="M180" s="11">
        <f t="shared" si="49"/>
        <v>7</v>
      </c>
      <c r="N180" s="11">
        <v>0</v>
      </c>
      <c r="O180" s="76">
        <v>120</v>
      </c>
      <c r="P180" s="76">
        <v>1185</v>
      </c>
      <c r="Q180" s="76">
        <v>239</v>
      </c>
      <c r="R180" s="76">
        <f t="shared" si="70"/>
        <v>-946</v>
      </c>
      <c r="S180" s="3">
        <f t="shared" si="50"/>
        <v>1.0053929121725731</v>
      </c>
      <c r="T180" s="1" t="str">
        <f t="shared" si="51"/>
        <v>Excedente</v>
      </c>
      <c r="U180" s="1" t="s">
        <v>370</v>
      </c>
      <c r="V180" s="1" t="s">
        <v>80</v>
      </c>
      <c r="W180" s="1" t="s">
        <v>505</v>
      </c>
      <c r="X180" s="2">
        <f t="shared" si="52"/>
        <v>0</v>
      </c>
      <c r="Y180" s="1" t="str">
        <f t="shared" si="53"/>
        <v>Monitorar</v>
      </c>
      <c r="Z180" s="1" t="str">
        <f t="shared" si="54"/>
        <v>OK</v>
      </c>
      <c r="AA180" s="11">
        <f t="shared" si="55"/>
        <v>259.60000000000002</v>
      </c>
      <c r="AB180" s="11">
        <f t="shared" si="56"/>
        <v>0</v>
      </c>
      <c r="AC180" s="1"/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76">
        <v>0</v>
      </c>
      <c r="AJ180" s="76">
        <f t="shared" si="57"/>
        <v>1305</v>
      </c>
      <c r="AK180" s="1">
        <v>0</v>
      </c>
      <c r="AL180" s="1">
        <v>0</v>
      </c>
      <c r="AM180" s="1" t="str">
        <f t="shared" si="58"/>
        <v/>
      </c>
      <c r="AN180" s="1">
        <f t="shared" si="59"/>
        <v>0</v>
      </c>
      <c r="AO180" s="1">
        <v>0</v>
      </c>
      <c r="AP180" s="61">
        <f t="shared" si="60"/>
        <v>0</v>
      </c>
      <c r="AQ180" s="61">
        <v>0</v>
      </c>
      <c r="AR180" s="76">
        <v>0</v>
      </c>
      <c r="AS180" s="76">
        <f t="shared" si="61"/>
        <v>1185</v>
      </c>
      <c r="AT180" s="69" t="str">
        <f t="shared" si="62"/>
        <v>OK</v>
      </c>
      <c r="AU180" s="77">
        <f t="shared" si="63"/>
        <v>113</v>
      </c>
      <c r="AV180" s="61" t="str">
        <f t="shared" si="64"/>
        <v>Sem mapa/sem consumo automático</v>
      </c>
      <c r="AW180" s="70"/>
      <c r="AX180" s="70">
        <v>0</v>
      </c>
      <c r="AY180" s="71" t="str">
        <f t="shared" si="65"/>
        <v>NÃO MAPEADO</v>
      </c>
      <c r="AZ180" s="70"/>
      <c r="BA180" s="71" t="str">
        <f t="shared" si="66"/>
        <v/>
      </c>
      <c r="BB180" s="70" t="str">
        <f t="shared" si="67"/>
        <v>Verificar cadastro</v>
      </c>
      <c r="BC180" s="78">
        <v>0</v>
      </c>
      <c r="BD180" s="78">
        <f t="shared" si="68"/>
        <v>0</v>
      </c>
      <c r="BE180" s="78">
        <v>0</v>
      </c>
      <c r="BF180">
        <v>0</v>
      </c>
      <c r="BG180">
        <v>0</v>
      </c>
      <c r="BH180">
        <v>0</v>
      </c>
      <c r="BJ180">
        <v>0</v>
      </c>
      <c r="BK180" s="103"/>
    </row>
    <row r="181" spans="1:63" ht="20.100000000000001" customHeight="1" x14ac:dyDescent="0.25">
      <c r="A181" s="8" t="s">
        <v>425</v>
      </c>
      <c r="B181" s="8">
        <v>0</v>
      </c>
      <c r="C181" s="8">
        <v>0</v>
      </c>
      <c r="D181" s="8"/>
      <c r="E181" s="8" t="s">
        <v>413</v>
      </c>
      <c r="F181" s="8" t="s">
        <v>424</v>
      </c>
      <c r="G181" s="8" t="s">
        <v>425</v>
      </c>
      <c r="H181" s="8">
        <v>1302</v>
      </c>
      <c r="I181" s="12">
        <v>0</v>
      </c>
      <c r="J181" s="10">
        <f>IFERROR(SUMIF(REMESSAS!$C:$C,$A181,REMESSAS!$W:$W),0)</f>
        <v>890</v>
      </c>
      <c r="K181" s="11">
        <f t="shared" si="47"/>
        <v>412</v>
      </c>
      <c r="L181" s="11">
        <f t="shared" si="48"/>
        <v>0</v>
      </c>
      <c r="M181" s="11">
        <f t="shared" si="49"/>
        <v>-412</v>
      </c>
      <c r="N181" s="11">
        <v>0</v>
      </c>
      <c r="O181" s="76">
        <v>180</v>
      </c>
      <c r="P181" s="76">
        <v>710</v>
      </c>
      <c r="Q181" s="76">
        <v>414</v>
      </c>
      <c r="R181" s="76">
        <f t="shared" ref="R181:R186" si="71">Q181-P181</f>
        <v>-296</v>
      </c>
      <c r="S181" s="3">
        <f t="shared" si="50"/>
        <v>0.68356374807987708</v>
      </c>
      <c r="T181" s="1" t="str">
        <f t="shared" si="51"/>
        <v>Recebimento Parcial</v>
      </c>
      <c r="U181" s="1" t="s">
        <v>370</v>
      </c>
      <c r="V181" s="1" t="s">
        <v>80</v>
      </c>
      <c r="W181" s="1" t="s">
        <v>505</v>
      </c>
      <c r="X181" s="2">
        <f t="shared" si="52"/>
        <v>0</v>
      </c>
      <c r="Y181" s="1" t="str">
        <f t="shared" si="53"/>
        <v>Monitorar</v>
      </c>
      <c r="Z181" s="1" t="str">
        <f t="shared" si="54"/>
        <v>OK</v>
      </c>
      <c r="AA181" s="11">
        <f t="shared" si="55"/>
        <v>260.39999999999998</v>
      </c>
      <c r="AB181" s="11">
        <f t="shared" si="56"/>
        <v>82.4</v>
      </c>
      <c r="AC181" s="1"/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76">
        <v>0</v>
      </c>
      <c r="AJ181" s="76">
        <f t="shared" si="57"/>
        <v>890</v>
      </c>
      <c r="AK181" s="1">
        <v>0</v>
      </c>
      <c r="AL181" s="1">
        <v>0</v>
      </c>
      <c r="AM181" s="1" t="str">
        <f t="shared" si="58"/>
        <v/>
      </c>
      <c r="AN181" s="1">
        <f t="shared" si="59"/>
        <v>0</v>
      </c>
      <c r="AO181" s="1">
        <v>0</v>
      </c>
      <c r="AP181" s="61">
        <f t="shared" si="60"/>
        <v>0</v>
      </c>
      <c r="AQ181" s="61">
        <v>0</v>
      </c>
      <c r="AR181" s="76">
        <v>0</v>
      </c>
      <c r="AS181" s="76">
        <f t="shared" si="61"/>
        <v>710</v>
      </c>
      <c r="AT181" s="69" t="str">
        <f t="shared" si="62"/>
        <v>OK</v>
      </c>
      <c r="AU181" s="77">
        <f t="shared" si="63"/>
        <v>592</v>
      </c>
      <c r="AV181" s="61" t="str">
        <f t="shared" si="64"/>
        <v>Sem mapa/sem consumo automático</v>
      </c>
      <c r="AW181" s="70"/>
      <c r="AX181" s="70">
        <v>0</v>
      </c>
      <c r="AY181" s="71" t="str">
        <f t="shared" si="65"/>
        <v>NÃO MAPEADO</v>
      </c>
      <c r="AZ181" s="70"/>
      <c r="BA181" s="71" t="str">
        <f t="shared" si="66"/>
        <v/>
      </c>
      <c r="BB181" s="70" t="str">
        <f t="shared" si="67"/>
        <v>Verificar cadastro</v>
      </c>
      <c r="BC181" s="78">
        <v>0</v>
      </c>
      <c r="BD181" s="78">
        <f t="shared" si="68"/>
        <v>0</v>
      </c>
      <c r="BE181" s="78">
        <v>0</v>
      </c>
      <c r="BF181">
        <v>0</v>
      </c>
      <c r="BG181">
        <v>0</v>
      </c>
      <c r="BH181">
        <v>0</v>
      </c>
      <c r="BJ181">
        <v>0</v>
      </c>
      <c r="BK181" s="103"/>
    </row>
    <row r="182" spans="1:63" ht="20.100000000000001" customHeight="1" x14ac:dyDescent="0.25">
      <c r="A182" s="8" t="s">
        <v>429</v>
      </c>
      <c r="B182" s="8">
        <v>0</v>
      </c>
      <c r="C182" s="8">
        <v>0</v>
      </c>
      <c r="D182" s="8"/>
      <c r="E182" s="8" t="s">
        <v>413</v>
      </c>
      <c r="F182" s="8" t="s">
        <v>428</v>
      </c>
      <c r="G182" s="8" t="s">
        <v>429</v>
      </c>
      <c r="H182" s="8">
        <v>736</v>
      </c>
      <c r="I182" s="12">
        <v>0</v>
      </c>
      <c r="J182" s="10">
        <f>IFERROR(SUMIF(REMESSAS!$C:$C,$A182,REMESSAS!$W:$W),0)</f>
        <v>560</v>
      </c>
      <c r="K182" s="11">
        <f t="shared" si="47"/>
        <v>176</v>
      </c>
      <c r="L182" s="11">
        <f t="shared" si="48"/>
        <v>0</v>
      </c>
      <c r="M182" s="11">
        <f t="shared" si="49"/>
        <v>-176</v>
      </c>
      <c r="N182" s="11">
        <v>0</v>
      </c>
      <c r="O182" s="76">
        <f>IF($A182="","",IFERROR(SUMIF(Consumo_Joists!$A:$A,$A182,Consumo_Joists!$P:$P),0)+IFERROR(SUMIF(Consumo_Quadrantes!$A:$A,$A182,Consumo_Quadrantes!$F:$F),0))</f>
        <v>0</v>
      </c>
      <c r="P182" s="76">
        <v>560</v>
      </c>
      <c r="Q182" s="76">
        <v>200</v>
      </c>
      <c r="R182" s="76">
        <f t="shared" si="71"/>
        <v>-360</v>
      </c>
      <c r="S182" s="3">
        <f t="shared" si="50"/>
        <v>0.76086956521739135</v>
      </c>
      <c r="T182" s="1" t="str">
        <f t="shared" si="51"/>
        <v>Recebimento Parcial</v>
      </c>
      <c r="U182" s="1" t="s">
        <v>370</v>
      </c>
      <c r="V182" s="1" t="s">
        <v>80</v>
      </c>
      <c r="W182" s="1" t="s">
        <v>505</v>
      </c>
      <c r="X182" s="2">
        <f t="shared" si="52"/>
        <v>0</v>
      </c>
      <c r="Y182" s="1" t="str">
        <f t="shared" si="53"/>
        <v>Monitorar</v>
      </c>
      <c r="Z182" s="1" t="str">
        <f t="shared" si="54"/>
        <v>OK</v>
      </c>
      <c r="AA182" s="11">
        <f t="shared" si="55"/>
        <v>147.19999999999999</v>
      </c>
      <c r="AB182" s="11">
        <f t="shared" si="56"/>
        <v>35.200000000000003</v>
      </c>
      <c r="AC182" s="1"/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76">
        <v>0</v>
      </c>
      <c r="AJ182" s="76">
        <f t="shared" si="57"/>
        <v>560</v>
      </c>
      <c r="AK182" s="1">
        <v>0</v>
      </c>
      <c r="AL182" s="1">
        <v>0</v>
      </c>
      <c r="AM182" s="1" t="str">
        <f t="shared" si="58"/>
        <v/>
      </c>
      <c r="AN182" s="1">
        <f t="shared" si="59"/>
        <v>0</v>
      </c>
      <c r="AO182" s="1">
        <v>0</v>
      </c>
      <c r="AP182" s="61">
        <f t="shared" si="60"/>
        <v>0</v>
      </c>
      <c r="AQ182" s="61">
        <v>0</v>
      </c>
      <c r="AR182" s="76">
        <v>0</v>
      </c>
      <c r="AS182" s="76">
        <f t="shared" si="61"/>
        <v>560</v>
      </c>
      <c r="AT182" s="69" t="str">
        <f t="shared" si="62"/>
        <v>OK</v>
      </c>
      <c r="AU182" s="77">
        <f t="shared" si="63"/>
        <v>176</v>
      </c>
      <c r="AV182" s="61" t="str">
        <f t="shared" si="64"/>
        <v>Sem mapa/sem consumo automático</v>
      </c>
      <c r="AW182" s="70"/>
      <c r="AX182" s="70">
        <v>0</v>
      </c>
      <c r="AY182" s="71" t="str">
        <f t="shared" si="65"/>
        <v>NÃO MAPEADO</v>
      </c>
      <c r="AZ182" s="70"/>
      <c r="BA182" s="71" t="str">
        <f t="shared" si="66"/>
        <v/>
      </c>
      <c r="BB182" s="70" t="str">
        <f t="shared" si="67"/>
        <v>Verificar cadastro</v>
      </c>
      <c r="BC182" s="78">
        <v>0</v>
      </c>
      <c r="BD182" s="78">
        <f t="shared" si="68"/>
        <v>0</v>
      </c>
      <c r="BE182" s="78">
        <v>0</v>
      </c>
      <c r="BF182">
        <v>0</v>
      </c>
      <c r="BG182">
        <v>0</v>
      </c>
      <c r="BH182">
        <v>0</v>
      </c>
      <c r="BJ182">
        <v>0</v>
      </c>
      <c r="BK182" s="103"/>
    </row>
    <row r="183" spans="1:63" ht="20.100000000000001" customHeight="1" x14ac:dyDescent="0.25">
      <c r="A183" s="8" t="s">
        <v>369</v>
      </c>
      <c r="B183" s="8">
        <v>0</v>
      </c>
      <c r="C183" s="8">
        <v>0</v>
      </c>
      <c r="D183" s="8"/>
      <c r="E183" s="8" t="s">
        <v>418</v>
      </c>
      <c r="F183" s="8" t="s">
        <v>368</v>
      </c>
      <c r="G183" s="8" t="s">
        <v>369</v>
      </c>
      <c r="H183" s="8">
        <v>870</v>
      </c>
      <c r="I183" s="12">
        <v>0</v>
      </c>
      <c r="J183" s="10">
        <f>IFERROR(SUMIF(REMESSAS!$C:$C,$A183,REMESSAS!$W:$W),0)</f>
        <v>488</v>
      </c>
      <c r="K183" s="11">
        <f t="shared" si="47"/>
        <v>382</v>
      </c>
      <c r="L183" s="11">
        <f t="shared" si="48"/>
        <v>0</v>
      </c>
      <c r="M183" s="11">
        <f t="shared" si="49"/>
        <v>-382</v>
      </c>
      <c r="N183" s="11">
        <v>0</v>
      </c>
      <c r="O183" s="76">
        <v>180</v>
      </c>
      <c r="P183" s="76">
        <v>308</v>
      </c>
      <c r="Q183" s="76">
        <v>364</v>
      </c>
      <c r="R183" s="76">
        <f t="shared" si="71"/>
        <v>56</v>
      </c>
      <c r="S183" s="3">
        <f t="shared" si="50"/>
        <v>0.56091954022988511</v>
      </c>
      <c r="T183" s="1" t="str">
        <f t="shared" si="51"/>
        <v>Recebimento Parcial</v>
      </c>
      <c r="U183" s="1" t="s">
        <v>370</v>
      </c>
      <c r="V183" s="1" t="s">
        <v>80</v>
      </c>
      <c r="W183" s="1" t="s">
        <v>505</v>
      </c>
      <c r="X183" s="2">
        <f t="shared" si="52"/>
        <v>0</v>
      </c>
      <c r="Y183" s="1" t="str">
        <f t="shared" si="53"/>
        <v>Monitorar</v>
      </c>
      <c r="Z183" s="1" t="str">
        <f t="shared" si="54"/>
        <v>OK</v>
      </c>
      <c r="AA183" s="11">
        <f t="shared" si="55"/>
        <v>174</v>
      </c>
      <c r="AB183" s="11">
        <f t="shared" si="56"/>
        <v>76.400000000000006</v>
      </c>
      <c r="AC183" s="1"/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76">
        <v>0</v>
      </c>
      <c r="AJ183" s="76">
        <f t="shared" si="57"/>
        <v>488</v>
      </c>
      <c r="AK183" s="1">
        <v>0</v>
      </c>
      <c r="AL183" s="1">
        <v>0</v>
      </c>
      <c r="AM183" s="1" t="str">
        <f t="shared" si="58"/>
        <v/>
      </c>
      <c r="AN183" s="1">
        <f t="shared" si="59"/>
        <v>0</v>
      </c>
      <c r="AO183" s="1">
        <v>0</v>
      </c>
      <c r="AP183" s="61">
        <f t="shared" si="60"/>
        <v>0</v>
      </c>
      <c r="AQ183" s="61">
        <v>0</v>
      </c>
      <c r="AR183" s="76">
        <v>0</v>
      </c>
      <c r="AS183" s="76">
        <f t="shared" si="61"/>
        <v>308</v>
      </c>
      <c r="AT183" s="69" t="str">
        <f t="shared" si="62"/>
        <v>OK</v>
      </c>
      <c r="AU183" s="77">
        <f t="shared" si="63"/>
        <v>562</v>
      </c>
      <c r="AV183" s="61" t="str">
        <f t="shared" si="64"/>
        <v>Sem mapa/sem consumo automático</v>
      </c>
      <c r="AW183" s="70"/>
      <c r="AX183" s="70">
        <v>0</v>
      </c>
      <c r="AY183" s="71" t="str">
        <f t="shared" si="65"/>
        <v>NÃO MAPEADO</v>
      </c>
      <c r="AZ183" s="70"/>
      <c r="BA183" s="71" t="str">
        <f t="shared" si="66"/>
        <v/>
      </c>
      <c r="BB183" s="70" t="str">
        <f t="shared" si="67"/>
        <v>Verificar cadastro</v>
      </c>
      <c r="BC183" s="78">
        <v>0</v>
      </c>
      <c r="BD183" s="78">
        <f t="shared" si="68"/>
        <v>0</v>
      </c>
      <c r="BE183" s="78">
        <v>0</v>
      </c>
      <c r="BF183">
        <v>0</v>
      </c>
      <c r="BG183">
        <v>0</v>
      </c>
      <c r="BH183">
        <v>0</v>
      </c>
      <c r="BJ183">
        <v>0</v>
      </c>
      <c r="BK183" s="103"/>
    </row>
    <row r="184" spans="1:63" ht="20.100000000000001" customHeight="1" x14ac:dyDescent="0.25">
      <c r="A184" s="8" t="s">
        <v>375</v>
      </c>
      <c r="B184" s="8">
        <v>0</v>
      </c>
      <c r="C184" s="8">
        <v>0</v>
      </c>
      <c r="D184" s="8"/>
      <c r="E184" s="8" t="s">
        <v>418</v>
      </c>
      <c r="F184" s="8" t="s">
        <v>374</v>
      </c>
      <c r="G184" s="8" t="s">
        <v>375</v>
      </c>
      <c r="H184" s="8">
        <v>488</v>
      </c>
      <c r="I184" s="12">
        <v>0</v>
      </c>
      <c r="J184" s="10">
        <f>IFERROR(SUMIF(REMESSAS!$C:$C,$A184,REMESSAS!$W:$W),0)</f>
        <v>488</v>
      </c>
      <c r="K184" s="11">
        <f t="shared" si="47"/>
        <v>0</v>
      </c>
      <c r="L184" s="11">
        <f t="shared" si="48"/>
        <v>0</v>
      </c>
      <c r="M184" s="11">
        <f t="shared" si="49"/>
        <v>0</v>
      </c>
      <c r="N184" s="11">
        <v>0</v>
      </c>
      <c r="O184" s="76">
        <f>IF($A184="","",IFERROR(SUMIF(Consumo_Joists!$A:$A,$A184,Consumo_Joists!$P:$P),0)+IFERROR(SUMIF(Consumo_Quadrantes!$A:$A,$A184,Consumo_Quadrantes!$F:$F),0))</f>
        <v>0</v>
      </c>
      <c r="P184" s="76">
        <v>488</v>
      </c>
      <c r="Q184" s="76">
        <v>200</v>
      </c>
      <c r="R184" s="76">
        <f t="shared" si="71"/>
        <v>-288</v>
      </c>
      <c r="S184" s="3">
        <f t="shared" si="50"/>
        <v>1</v>
      </c>
      <c r="T184" s="1" t="str">
        <f t="shared" si="51"/>
        <v>Atendido</v>
      </c>
      <c r="U184" s="1" t="s">
        <v>370</v>
      </c>
      <c r="V184" s="1" t="s">
        <v>80</v>
      </c>
      <c r="W184" s="1" t="s">
        <v>505</v>
      </c>
      <c r="X184" s="2">
        <f t="shared" si="52"/>
        <v>0</v>
      </c>
      <c r="Y184" s="1" t="str">
        <f t="shared" si="53"/>
        <v>Monitorar</v>
      </c>
      <c r="Z184" s="1" t="str">
        <f t="shared" si="54"/>
        <v>OK</v>
      </c>
      <c r="AA184" s="11">
        <f t="shared" si="55"/>
        <v>97.6</v>
      </c>
      <c r="AB184" s="11">
        <f t="shared" si="56"/>
        <v>0</v>
      </c>
      <c r="AC184" s="1"/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76">
        <v>0</v>
      </c>
      <c r="AJ184" s="76">
        <f t="shared" si="57"/>
        <v>488</v>
      </c>
      <c r="AK184" s="1">
        <v>0</v>
      </c>
      <c r="AL184" s="1">
        <v>0</v>
      </c>
      <c r="AM184" s="1" t="str">
        <f t="shared" si="58"/>
        <v/>
      </c>
      <c r="AN184" s="1">
        <f t="shared" si="59"/>
        <v>0</v>
      </c>
      <c r="AO184" s="1">
        <v>0</v>
      </c>
      <c r="AP184" s="61">
        <f t="shared" si="60"/>
        <v>0</v>
      </c>
      <c r="AQ184" s="61">
        <v>0</v>
      </c>
      <c r="AR184" s="76">
        <v>0</v>
      </c>
      <c r="AS184" s="76">
        <f t="shared" si="61"/>
        <v>488</v>
      </c>
      <c r="AT184" s="69" t="str">
        <f t="shared" si="62"/>
        <v>OK</v>
      </c>
      <c r="AU184" s="77">
        <f t="shared" si="63"/>
        <v>0</v>
      </c>
      <c r="AV184" s="61" t="str">
        <f t="shared" si="64"/>
        <v>Sem mapa/sem consumo automático</v>
      </c>
      <c r="AW184" s="70"/>
      <c r="AX184" s="70">
        <v>0</v>
      </c>
      <c r="AY184" s="71" t="str">
        <f t="shared" si="65"/>
        <v>NÃO MAPEADO</v>
      </c>
      <c r="AZ184" s="70"/>
      <c r="BA184" s="71" t="str">
        <f t="shared" si="66"/>
        <v/>
      </c>
      <c r="BB184" s="70" t="str">
        <f t="shared" si="67"/>
        <v>Verificar cadastro</v>
      </c>
      <c r="BC184" s="78">
        <v>0</v>
      </c>
      <c r="BD184" s="78">
        <f t="shared" si="68"/>
        <v>0</v>
      </c>
      <c r="BE184" s="78">
        <v>0</v>
      </c>
      <c r="BF184">
        <v>0</v>
      </c>
      <c r="BG184">
        <v>0</v>
      </c>
      <c r="BH184">
        <v>0</v>
      </c>
      <c r="BJ184">
        <v>0</v>
      </c>
      <c r="BK184" s="103"/>
    </row>
    <row r="185" spans="1:63" ht="20.100000000000001" customHeight="1" x14ac:dyDescent="0.25">
      <c r="A185" s="8" t="s">
        <v>412</v>
      </c>
      <c r="B185" s="8">
        <v>0</v>
      </c>
      <c r="C185" s="8">
        <v>0</v>
      </c>
      <c r="D185" s="8"/>
      <c r="E185" s="8" t="s">
        <v>423</v>
      </c>
      <c r="F185" s="8" t="s">
        <v>410</v>
      </c>
      <c r="G185" s="8" t="s">
        <v>412</v>
      </c>
      <c r="H185" s="8">
        <v>13072</v>
      </c>
      <c r="I185" s="12">
        <v>0</v>
      </c>
      <c r="J185" s="10">
        <f>IFERROR(SUMIF(REMESSAS!$C:$C,$A185,REMESSAS!$W:$W),0)</f>
        <v>12400</v>
      </c>
      <c r="K185" s="11">
        <f t="shared" si="47"/>
        <v>672</v>
      </c>
      <c r="L185" s="11">
        <f t="shared" si="48"/>
        <v>0</v>
      </c>
      <c r="M185" s="11">
        <f t="shared" si="49"/>
        <v>-672</v>
      </c>
      <c r="N185" s="11">
        <v>0</v>
      </c>
      <c r="O185" s="76">
        <v>5024</v>
      </c>
      <c r="P185" s="76">
        <v>7376</v>
      </c>
      <c r="Q185" s="76">
        <v>1164</v>
      </c>
      <c r="R185" s="76">
        <f t="shared" si="71"/>
        <v>-6212</v>
      </c>
      <c r="S185" s="3">
        <f t="shared" si="50"/>
        <v>0.94859241126070992</v>
      </c>
      <c r="T185" s="1" t="str">
        <f t="shared" si="51"/>
        <v>Recebimento Parcial</v>
      </c>
      <c r="U185" s="1" t="s">
        <v>370</v>
      </c>
      <c r="V185" s="1" t="s">
        <v>80</v>
      </c>
      <c r="W185" s="1" t="s">
        <v>505</v>
      </c>
      <c r="X185" s="2">
        <f t="shared" si="52"/>
        <v>0</v>
      </c>
      <c r="Y185" s="1" t="str">
        <f t="shared" si="53"/>
        <v>Monitorar</v>
      </c>
      <c r="Z185" s="1" t="str">
        <f t="shared" si="54"/>
        <v>OK</v>
      </c>
      <c r="AA185" s="11">
        <f t="shared" si="55"/>
        <v>2614.4</v>
      </c>
      <c r="AB185" s="11">
        <f t="shared" si="56"/>
        <v>134.4</v>
      </c>
      <c r="AC185" s="1"/>
      <c r="AD185" s="1">
        <v>0</v>
      </c>
      <c r="AE185" s="1">
        <v>0</v>
      </c>
      <c r="AF185" s="1">
        <v>0</v>
      </c>
      <c r="AG185" s="1">
        <v>2470</v>
      </c>
      <c r="AH185" s="1">
        <v>0</v>
      </c>
      <c r="AI185" s="76">
        <v>1092</v>
      </c>
      <c r="AJ185" s="76">
        <f t="shared" si="57"/>
        <v>11308</v>
      </c>
      <c r="AK185" s="1">
        <v>0</v>
      </c>
      <c r="AL185" s="1">
        <v>0</v>
      </c>
      <c r="AM185" s="1" t="str">
        <f t="shared" si="58"/>
        <v>OK</v>
      </c>
      <c r="AN185" s="1">
        <f t="shared" si="59"/>
        <v>0</v>
      </c>
      <c r="AO185" s="1">
        <v>0</v>
      </c>
      <c r="AP185" s="61">
        <f t="shared" si="60"/>
        <v>0</v>
      </c>
      <c r="AQ185" s="61">
        <v>0</v>
      </c>
      <c r="AR185" s="76">
        <v>0</v>
      </c>
      <c r="AS185" s="76">
        <f t="shared" si="61"/>
        <v>7376</v>
      </c>
      <c r="AT185" s="69" t="str">
        <f t="shared" si="62"/>
        <v>OK</v>
      </c>
      <c r="AU185" s="77">
        <f t="shared" si="63"/>
        <v>5696</v>
      </c>
      <c r="AV185" s="61" t="str">
        <f t="shared" si="64"/>
        <v>Fluxo JOIST: apontamento x consumo por item</v>
      </c>
      <c r="AW185" s="70"/>
      <c r="AX185" s="70">
        <v>0</v>
      </c>
      <c r="AY185" s="71" t="str">
        <f t="shared" si="65"/>
        <v>BAIXA POR JOIST</v>
      </c>
      <c r="AZ185" s="70"/>
      <c r="BA185" s="71" t="str">
        <f t="shared" si="66"/>
        <v/>
      </c>
      <c r="BB185" s="70" t="str">
        <f t="shared" si="67"/>
        <v>Baixa por apontamento de JOIST</v>
      </c>
      <c r="BC185" s="78">
        <v>0</v>
      </c>
      <c r="BD185" s="78">
        <f t="shared" si="68"/>
        <v>0</v>
      </c>
      <c r="BE185" s="78">
        <v>2470</v>
      </c>
      <c r="BF185">
        <v>0</v>
      </c>
      <c r="BG185">
        <v>0</v>
      </c>
      <c r="BH185">
        <v>2470</v>
      </c>
      <c r="BI185" s="103">
        <v>46263.348506944443</v>
      </c>
      <c r="BJ185">
        <v>1092</v>
      </c>
      <c r="BK185" s="103">
        <v>46247.596365740741</v>
      </c>
    </row>
    <row r="186" spans="1:63" ht="20.100000000000001" customHeight="1" x14ac:dyDescent="0.25">
      <c r="A186" s="8" t="s">
        <v>415</v>
      </c>
      <c r="B186" s="8">
        <v>0</v>
      </c>
      <c r="C186" s="8">
        <v>0</v>
      </c>
      <c r="D186" s="8"/>
      <c r="E186" s="8" t="s">
        <v>378</v>
      </c>
      <c r="F186" s="8" t="s">
        <v>414</v>
      </c>
      <c r="G186" s="8" t="s">
        <v>415</v>
      </c>
      <c r="H186" s="8">
        <v>307192</v>
      </c>
      <c r="I186" s="12">
        <v>0</v>
      </c>
      <c r="J186" s="10">
        <f>IFERROR(SUMIF(REMESSAS!$C:$C,$A186,REMESSAS!$W:$W),0)</f>
        <v>156400</v>
      </c>
      <c r="K186" s="11">
        <f t="shared" si="47"/>
        <v>150792</v>
      </c>
      <c r="L186" s="11">
        <f t="shared" si="48"/>
        <v>0</v>
      </c>
      <c r="M186" s="11">
        <f t="shared" si="49"/>
        <v>-150792</v>
      </c>
      <c r="N186" s="11">
        <v>0</v>
      </c>
      <c r="O186" s="76">
        <v>118046</v>
      </c>
      <c r="P186" s="76">
        <v>38354</v>
      </c>
      <c r="Q186" s="76">
        <v>33480</v>
      </c>
      <c r="R186" s="76">
        <f t="shared" si="71"/>
        <v>-4874</v>
      </c>
      <c r="S186" s="3">
        <f t="shared" si="50"/>
        <v>0.509127841870882</v>
      </c>
      <c r="T186" s="1" t="str">
        <f t="shared" si="51"/>
        <v>Recebimento Parcial</v>
      </c>
      <c r="U186" s="1" t="s">
        <v>370</v>
      </c>
      <c r="V186" s="1" t="s">
        <v>80</v>
      </c>
      <c r="W186" s="1" t="s">
        <v>505</v>
      </c>
      <c r="X186" s="2">
        <f t="shared" si="52"/>
        <v>0</v>
      </c>
      <c r="Y186" s="1" t="str">
        <f t="shared" si="53"/>
        <v>Monitorar</v>
      </c>
      <c r="Z186" s="1" t="str">
        <f t="shared" si="54"/>
        <v>OK</v>
      </c>
      <c r="AA186" s="11">
        <f t="shared" si="55"/>
        <v>61438.400000000001</v>
      </c>
      <c r="AB186" s="11">
        <f t="shared" si="56"/>
        <v>30158.400000000001</v>
      </c>
      <c r="AC186" s="1"/>
      <c r="AD186" s="1">
        <v>0</v>
      </c>
      <c r="AE186" s="1">
        <v>0</v>
      </c>
      <c r="AF186" s="1">
        <v>0</v>
      </c>
      <c r="AG186" s="1">
        <v>58036</v>
      </c>
      <c r="AH186" s="1">
        <v>0</v>
      </c>
      <c r="AI186" s="76">
        <v>25662</v>
      </c>
      <c r="AJ186" s="76">
        <f t="shared" si="57"/>
        <v>130738</v>
      </c>
      <c r="AK186" s="1">
        <v>0</v>
      </c>
      <c r="AL186" s="1">
        <v>0</v>
      </c>
      <c r="AM186" s="1" t="str">
        <f t="shared" si="58"/>
        <v>OK</v>
      </c>
      <c r="AN186" s="1">
        <f t="shared" si="59"/>
        <v>0</v>
      </c>
      <c r="AO186" s="1">
        <v>0</v>
      </c>
      <c r="AP186" s="61">
        <f t="shared" si="60"/>
        <v>0</v>
      </c>
      <c r="AQ186" s="61">
        <v>0</v>
      </c>
      <c r="AR186" s="76">
        <v>0</v>
      </c>
      <c r="AS186" s="76">
        <f t="shared" si="61"/>
        <v>38354</v>
      </c>
      <c r="AT186" s="69" t="str">
        <f t="shared" si="62"/>
        <v>OK</v>
      </c>
      <c r="AU186" s="77">
        <f t="shared" si="63"/>
        <v>268838</v>
      </c>
      <c r="AV186" s="61" t="str">
        <f t="shared" si="64"/>
        <v>Fluxo JOIST: apontamento x consumo por item</v>
      </c>
      <c r="AW186" s="70"/>
      <c r="AX186" s="70">
        <v>0</v>
      </c>
      <c r="AY186" s="71" t="str">
        <f t="shared" si="65"/>
        <v>BAIXA POR JOIST</v>
      </c>
      <c r="AZ186" s="70"/>
      <c r="BA186" s="71" t="str">
        <f t="shared" si="66"/>
        <v/>
      </c>
      <c r="BB186" s="70" t="str">
        <f t="shared" si="67"/>
        <v>Baixa por apontamento de JOIST</v>
      </c>
      <c r="BC186" s="78">
        <v>0</v>
      </c>
      <c r="BD186" s="78">
        <f t="shared" si="68"/>
        <v>0</v>
      </c>
      <c r="BE186" s="78">
        <v>58036</v>
      </c>
      <c r="BF186">
        <v>0</v>
      </c>
      <c r="BG186">
        <v>0</v>
      </c>
      <c r="BH186">
        <v>58036</v>
      </c>
      <c r="BI186" s="103">
        <v>46263.348506944443</v>
      </c>
      <c r="BJ186">
        <v>25662</v>
      </c>
      <c r="BK186" s="103">
        <v>46247.596365740741</v>
      </c>
    </row>
    <row r="187" spans="1:63" ht="20.100000000000001" customHeight="1" x14ac:dyDescent="0.25">
      <c r="A187" s="8" t="s">
        <v>431</v>
      </c>
      <c r="B187" s="8">
        <v>0</v>
      </c>
      <c r="C187" s="8">
        <v>0</v>
      </c>
      <c r="D187" s="8"/>
      <c r="E187" s="8" t="s">
        <v>378</v>
      </c>
      <c r="F187" s="8" t="s">
        <v>430</v>
      </c>
      <c r="G187" s="8" t="s">
        <v>431</v>
      </c>
      <c r="H187" s="8">
        <v>307192</v>
      </c>
      <c r="I187" s="12">
        <v>0</v>
      </c>
      <c r="J187" s="10">
        <f>IFERROR(SUMIF(REMESSAS!$C:$C,$A187,REMESSAS!$W:$W),0)</f>
        <v>158900</v>
      </c>
      <c r="K187" s="11">
        <f t="shared" si="47"/>
        <v>148292</v>
      </c>
      <c r="L187" s="11">
        <f t="shared" si="48"/>
        <v>0</v>
      </c>
      <c r="M187" s="11">
        <f t="shared" si="49"/>
        <v>-148292</v>
      </c>
      <c r="N187" s="11">
        <v>0</v>
      </c>
      <c r="O187" s="76">
        <v>123069</v>
      </c>
      <c r="P187" s="76">
        <v>35831</v>
      </c>
      <c r="Q187" s="76">
        <v>32280</v>
      </c>
      <c r="R187" s="76">
        <f>Q187-P187</f>
        <v>-3551</v>
      </c>
      <c r="S187" s="3">
        <f t="shared" si="50"/>
        <v>0.5172660746373603</v>
      </c>
      <c r="T187" s="1" t="str">
        <f t="shared" si="51"/>
        <v>Recebimento Parcial</v>
      </c>
      <c r="U187" s="1" t="s">
        <v>370</v>
      </c>
      <c r="V187" s="1" t="s">
        <v>80</v>
      </c>
      <c r="W187" s="1" t="s">
        <v>505</v>
      </c>
      <c r="X187" s="2">
        <f t="shared" si="52"/>
        <v>0</v>
      </c>
      <c r="Y187" s="1" t="str">
        <f t="shared" si="53"/>
        <v>Monitorar</v>
      </c>
      <c r="Z187" s="1" t="str">
        <f t="shared" si="54"/>
        <v>OK</v>
      </c>
      <c r="AA187" s="11">
        <f t="shared" si="55"/>
        <v>61438.400000000001</v>
      </c>
      <c r="AB187" s="11">
        <f t="shared" si="56"/>
        <v>29658.400000000001</v>
      </c>
      <c r="AC187" s="1"/>
      <c r="AD187" s="1">
        <v>0</v>
      </c>
      <c r="AE187" s="1">
        <v>0</v>
      </c>
      <c r="AF187" s="1">
        <v>0</v>
      </c>
      <c r="AG187" s="1">
        <v>60506</v>
      </c>
      <c r="AH187" s="1">
        <v>0</v>
      </c>
      <c r="AI187" s="76">
        <v>26754</v>
      </c>
      <c r="AJ187" s="76">
        <f t="shared" si="57"/>
        <v>132146</v>
      </c>
      <c r="AK187" s="1">
        <v>0</v>
      </c>
      <c r="AL187" s="1">
        <v>0</v>
      </c>
      <c r="AM187" s="1" t="str">
        <f t="shared" si="58"/>
        <v>OK</v>
      </c>
      <c r="AN187" s="1">
        <f t="shared" si="59"/>
        <v>0</v>
      </c>
      <c r="AO187" s="1">
        <v>0</v>
      </c>
      <c r="AP187" s="61">
        <f t="shared" si="60"/>
        <v>0</v>
      </c>
      <c r="AQ187" s="61">
        <v>0</v>
      </c>
      <c r="AR187" s="76">
        <v>0</v>
      </c>
      <c r="AS187" s="76">
        <f t="shared" si="61"/>
        <v>35831</v>
      </c>
      <c r="AT187" s="69" t="str">
        <f t="shared" si="62"/>
        <v>OK</v>
      </c>
      <c r="AU187" s="77">
        <f t="shared" si="63"/>
        <v>271361</v>
      </c>
      <c r="AV187" s="61" t="str">
        <f t="shared" si="64"/>
        <v>Fluxo JOIST: apontamento x consumo por item</v>
      </c>
      <c r="AW187" s="70"/>
      <c r="AX187" s="70">
        <v>0</v>
      </c>
      <c r="AY187" s="71" t="str">
        <f t="shared" si="65"/>
        <v>BAIXA POR JOIST</v>
      </c>
      <c r="AZ187" s="70"/>
      <c r="BA187" s="71" t="str">
        <f t="shared" si="66"/>
        <v/>
      </c>
      <c r="BB187" s="70" t="str">
        <f t="shared" si="67"/>
        <v>Baixa por apontamento de JOIST</v>
      </c>
      <c r="BC187" s="78">
        <v>0</v>
      </c>
      <c r="BD187" s="78">
        <f t="shared" si="68"/>
        <v>0</v>
      </c>
      <c r="BE187" s="78">
        <v>60506</v>
      </c>
      <c r="BF187">
        <v>0</v>
      </c>
      <c r="BG187">
        <v>0</v>
      </c>
      <c r="BH187">
        <v>60506</v>
      </c>
      <c r="BI187" s="103">
        <v>46263.348506944443</v>
      </c>
      <c r="BJ187">
        <v>26754</v>
      </c>
      <c r="BK187" s="103">
        <v>46247.596365740741</v>
      </c>
    </row>
    <row r="188" spans="1:63" ht="20.100000000000001" customHeight="1" x14ac:dyDescent="0.25">
      <c r="A188" s="8" t="s">
        <v>377</v>
      </c>
      <c r="B188" s="8">
        <v>0</v>
      </c>
      <c r="C188" s="8">
        <v>0</v>
      </c>
      <c r="D188" s="8"/>
      <c r="E188" s="8" t="s">
        <v>406</v>
      </c>
      <c r="F188" s="8" t="s">
        <v>376</v>
      </c>
      <c r="G188" s="8" t="s">
        <v>377</v>
      </c>
      <c r="H188" s="8">
        <v>320264</v>
      </c>
      <c r="I188" s="12">
        <v>0</v>
      </c>
      <c r="J188" s="10">
        <f>IFERROR(SUMIF(REMESSAS!$C:$C,$A188,REMESSAS!$W:$W),0)</f>
        <v>158900</v>
      </c>
      <c r="K188" s="11">
        <f t="shared" si="47"/>
        <v>161364</v>
      </c>
      <c r="L188" s="11">
        <f t="shared" si="48"/>
        <v>0</v>
      </c>
      <c r="M188" s="11">
        <f t="shared" si="49"/>
        <v>-161364</v>
      </c>
      <c r="N188" s="11">
        <v>0</v>
      </c>
      <c r="O188" s="76">
        <v>123069</v>
      </c>
      <c r="P188" s="76">
        <v>35831</v>
      </c>
      <c r="Q188" s="76">
        <v>33200</v>
      </c>
      <c r="R188" s="76">
        <f t="shared" ref="R188:R189" si="72">Q188-P188</f>
        <v>-2631</v>
      </c>
      <c r="S188" s="3">
        <f t="shared" si="50"/>
        <v>0.49615317363175382</v>
      </c>
      <c r="T188" s="1" t="str">
        <f t="shared" si="51"/>
        <v>Recebimento Parcial</v>
      </c>
      <c r="U188" s="1" t="s">
        <v>370</v>
      </c>
      <c r="V188" s="1" t="s">
        <v>80</v>
      </c>
      <c r="W188" s="1" t="s">
        <v>505</v>
      </c>
      <c r="X188" s="2">
        <f t="shared" si="52"/>
        <v>80682</v>
      </c>
      <c r="Y188" s="1" t="str">
        <f t="shared" si="53"/>
        <v>Enviar se houver espaço</v>
      </c>
      <c r="Z188" s="1" t="str">
        <f t="shared" si="54"/>
        <v>OK</v>
      </c>
      <c r="AA188" s="11">
        <f t="shared" si="55"/>
        <v>64052.800000000003</v>
      </c>
      <c r="AB188" s="11">
        <f t="shared" si="56"/>
        <v>32272.799999999999</v>
      </c>
      <c r="AC188" s="1"/>
      <c r="AD188" s="1">
        <v>0</v>
      </c>
      <c r="AE188" s="1">
        <v>0</v>
      </c>
      <c r="AF188" s="1">
        <v>0</v>
      </c>
      <c r="AG188" s="1">
        <v>60506</v>
      </c>
      <c r="AH188" s="1">
        <v>0</v>
      </c>
      <c r="AI188" s="76">
        <v>26754</v>
      </c>
      <c r="AJ188" s="76">
        <f t="shared" si="57"/>
        <v>132146</v>
      </c>
      <c r="AK188" s="1">
        <v>0</v>
      </c>
      <c r="AL188" s="1">
        <v>0</v>
      </c>
      <c r="AM188" s="1" t="str">
        <f t="shared" si="58"/>
        <v>OK</v>
      </c>
      <c r="AN188" s="1">
        <f t="shared" si="59"/>
        <v>0</v>
      </c>
      <c r="AO188" s="1">
        <v>0</v>
      </c>
      <c r="AP188" s="61">
        <f t="shared" si="60"/>
        <v>0</v>
      </c>
      <c r="AQ188" s="61">
        <v>0</v>
      </c>
      <c r="AR188" s="76">
        <v>0</v>
      </c>
      <c r="AS188" s="76">
        <f t="shared" si="61"/>
        <v>35831</v>
      </c>
      <c r="AT188" s="69" t="str">
        <f t="shared" si="62"/>
        <v>OK</v>
      </c>
      <c r="AU188" s="77">
        <f t="shared" si="63"/>
        <v>284433</v>
      </c>
      <c r="AV188" s="61" t="str">
        <f t="shared" si="64"/>
        <v>Fluxo JOIST: apontamento x consumo por item</v>
      </c>
      <c r="AW188" s="70"/>
      <c r="AX188" s="70">
        <v>0</v>
      </c>
      <c r="AY188" s="71" t="str">
        <f t="shared" si="65"/>
        <v>BAIXA POR JOIST</v>
      </c>
      <c r="AZ188" s="70"/>
      <c r="BA188" s="71" t="str">
        <f t="shared" si="66"/>
        <v/>
      </c>
      <c r="BB188" s="70" t="str">
        <f t="shared" si="67"/>
        <v>Baixa por apontamento de JOIST</v>
      </c>
      <c r="BC188" s="78">
        <v>0</v>
      </c>
      <c r="BD188" s="78">
        <f t="shared" si="68"/>
        <v>0</v>
      </c>
      <c r="BE188" s="78">
        <v>60506</v>
      </c>
      <c r="BF188">
        <v>0</v>
      </c>
      <c r="BG188">
        <v>0</v>
      </c>
      <c r="BH188">
        <v>60506</v>
      </c>
      <c r="BI188" s="103">
        <v>46263.348506944443</v>
      </c>
      <c r="BJ188">
        <v>26754</v>
      </c>
      <c r="BK188" s="103">
        <v>46247.596365740741</v>
      </c>
    </row>
    <row r="189" spans="1:63" ht="20.100000000000001" customHeight="1" x14ac:dyDescent="0.25">
      <c r="A189" s="8" t="s">
        <v>382</v>
      </c>
      <c r="B189" s="8">
        <v>0</v>
      </c>
      <c r="C189" s="8">
        <v>0</v>
      </c>
      <c r="D189" s="8"/>
      <c r="E189" s="8" t="s">
        <v>432</v>
      </c>
      <c r="F189" s="8" t="s">
        <v>506</v>
      </c>
      <c r="G189" s="8" t="s">
        <v>382</v>
      </c>
      <c r="H189" s="8">
        <v>209152</v>
      </c>
      <c r="I189" s="12">
        <v>0</v>
      </c>
      <c r="J189" s="10">
        <f>IFERROR(SUMIF(REMESSAS!$C:$C,$A189,REMESSAS!$W:$W),0)</f>
        <v>138400</v>
      </c>
      <c r="K189" s="11">
        <f t="shared" si="47"/>
        <v>70752</v>
      </c>
      <c r="L189" s="11">
        <f t="shared" si="48"/>
        <v>0</v>
      </c>
      <c r="M189" s="11">
        <f t="shared" si="49"/>
        <v>-70752</v>
      </c>
      <c r="N189" s="11">
        <v>0</v>
      </c>
      <c r="O189" s="76">
        <v>80372</v>
      </c>
      <c r="P189" s="76">
        <v>58028</v>
      </c>
      <c r="Q189" s="76">
        <v>19940</v>
      </c>
      <c r="R189" s="76">
        <f t="shared" si="72"/>
        <v>-38088</v>
      </c>
      <c r="S189" s="3">
        <f t="shared" si="50"/>
        <v>0.6617197062423501</v>
      </c>
      <c r="T189" s="1" t="str">
        <f t="shared" si="51"/>
        <v>Recebimento Parcial</v>
      </c>
      <c r="U189" s="1" t="s">
        <v>370</v>
      </c>
      <c r="V189" s="1" t="s">
        <v>80</v>
      </c>
      <c r="W189" s="1" t="s">
        <v>505</v>
      </c>
      <c r="X189" s="2">
        <f t="shared" si="52"/>
        <v>0</v>
      </c>
      <c r="Y189" s="1" t="str">
        <f t="shared" si="53"/>
        <v>Monitorar</v>
      </c>
      <c r="Z189" s="1" t="str">
        <f t="shared" si="54"/>
        <v>OK</v>
      </c>
      <c r="AA189" s="11">
        <f t="shared" si="55"/>
        <v>41830.400000000001</v>
      </c>
      <c r="AB189" s="11">
        <f t="shared" si="56"/>
        <v>14150.4</v>
      </c>
      <c r="AC189" s="1"/>
      <c r="AD189" s="1">
        <v>0</v>
      </c>
      <c r="AE189" s="1">
        <v>0</v>
      </c>
      <c r="AF189" s="1">
        <v>0</v>
      </c>
      <c r="AG189" s="1">
        <v>39514</v>
      </c>
      <c r="AH189" s="1">
        <v>0</v>
      </c>
      <c r="AI189" s="76">
        <v>17472</v>
      </c>
      <c r="AJ189" s="76">
        <f t="shared" si="57"/>
        <v>120928</v>
      </c>
      <c r="AK189" s="1">
        <v>0</v>
      </c>
      <c r="AL189" s="1">
        <v>0</v>
      </c>
      <c r="AM189" s="1" t="str">
        <f t="shared" si="58"/>
        <v>OK</v>
      </c>
      <c r="AN189" s="1">
        <f t="shared" si="59"/>
        <v>0</v>
      </c>
      <c r="AO189" s="1">
        <v>0</v>
      </c>
      <c r="AP189" s="61">
        <f t="shared" si="60"/>
        <v>0</v>
      </c>
      <c r="AQ189" s="61">
        <v>0</v>
      </c>
      <c r="AR189" s="76">
        <v>0</v>
      </c>
      <c r="AS189" s="76">
        <f t="shared" si="61"/>
        <v>58028</v>
      </c>
      <c r="AT189" s="69" t="str">
        <f t="shared" si="62"/>
        <v>OK</v>
      </c>
      <c r="AU189" s="77">
        <f t="shared" si="63"/>
        <v>151124</v>
      </c>
      <c r="AV189" s="61" t="str">
        <f t="shared" si="64"/>
        <v>Fluxo JOIST: apontamento x consumo por item</v>
      </c>
      <c r="AW189" s="70"/>
      <c r="AX189" s="70">
        <v>0</v>
      </c>
      <c r="AY189" s="71" t="str">
        <f t="shared" si="65"/>
        <v>BAIXA POR JOIST</v>
      </c>
      <c r="AZ189" s="70"/>
      <c r="BA189" s="71" t="str">
        <f t="shared" si="66"/>
        <v/>
      </c>
      <c r="BB189" s="70" t="str">
        <f t="shared" si="67"/>
        <v>Baixa por apontamento de JOIST</v>
      </c>
      <c r="BC189" s="78">
        <v>0</v>
      </c>
      <c r="BD189" s="78">
        <f t="shared" si="68"/>
        <v>0</v>
      </c>
      <c r="BE189" s="78">
        <v>39514</v>
      </c>
      <c r="BF189">
        <v>0</v>
      </c>
      <c r="BG189">
        <v>0</v>
      </c>
      <c r="BH189">
        <v>39514</v>
      </c>
      <c r="BI189" s="103">
        <v>46263.348506944443</v>
      </c>
      <c r="BJ189">
        <v>17472</v>
      </c>
      <c r="BK189" s="103">
        <v>46247.596365740741</v>
      </c>
    </row>
    <row r="190" spans="1:63" ht="20.100000000000001" customHeight="1" x14ac:dyDescent="0.25">
      <c r="A190" s="8" t="s">
        <v>2074</v>
      </c>
      <c r="B190" s="8"/>
      <c r="C190" s="8"/>
      <c r="D190" s="8"/>
      <c r="E190" s="8" t="s">
        <v>2130</v>
      </c>
      <c r="F190" s="8" t="s">
        <v>1276</v>
      </c>
      <c r="G190" s="8" t="s">
        <v>2074</v>
      </c>
      <c r="H190" s="8">
        <v>1920</v>
      </c>
      <c r="I190" s="12">
        <v>0</v>
      </c>
      <c r="J190" s="10">
        <f>IFERROR(SUMIF(REMESSAS!$C:$C,$A190,REMESSAS!$W:$W),0)</f>
        <v>0</v>
      </c>
      <c r="K190" s="11">
        <f t="shared" ref="K190:K191" si="73">MAX(H190-J190,0)</f>
        <v>1920</v>
      </c>
      <c r="L190" s="11">
        <f t="shared" ref="L190:L191" si="74">MAX(J190-H190,0)</f>
        <v>0</v>
      </c>
      <c r="M190" s="11">
        <f t="shared" ref="M190:M191" si="75">J190-H190</f>
        <v>-1920</v>
      </c>
      <c r="N190" s="11">
        <v>0</v>
      </c>
      <c r="O190" s="76">
        <v>0</v>
      </c>
      <c r="P190" s="76">
        <v>0</v>
      </c>
      <c r="Q190" s="76"/>
      <c r="R190" s="76"/>
      <c r="S190" s="3">
        <f t="shared" ref="S190:S191" si="76">IFERROR(J190/H190,0)</f>
        <v>0</v>
      </c>
      <c r="T190" s="1" t="str">
        <f t="shared" ref="T190:T191" si="77">IF(H190=0,"Sem planejamento",IF(J190=0,"Crítico",IF(J190&lt;H190,"Recebimento Parcial",IF(J190=H190,"Atendido","Excedente"))))</f>
        <v>Crítico</v>
      </c>
      <c r="U190" s="1" t="s">
        <v>370</v>
      </c>
      <c r="V190" s="1" t="s">
        <v>82</v>
      </c>
      <c r="W190" s="1" t="s">
        <v>505</v>
      </c>
      <c r="X190" s="2">
        <f t="shared" ref="X190:X191" si="78">IF(K190&lt;=0,0,IF(V190="P1 - Estrutural",ROUNDUP(K190,0),IF(V190="P2 - Pré-montagem",ROUNDUP(K190,0),IF(S190&lt;0.5,ROUNDUP(K190*0.5,0),0))))</f>
        <v>960</v>
      </c>
      <c r="Y190" s="1" t="str">
        <f t="shared" ref="Y190:Y191" si="79">IF(X190=0,"Monitorar",IF(V190="P1 - Estrutural","Enviar nesta semana",IF(V190="P2 - Pré-montagem","Programar pré-montagem/embarque","Enviar se houver espaço")))</f>
        <v>Enviar se houver espaço</v>
      </c>
      <c r="Z190" s="1" t="str">
        <f t="shared" ref="Z190:Z191" si="80">IF(AND(V190="P1 - Estrutural",K190&gt;0),"🔴 ALERTA P1",IF(AND(V190="P2 - Pré-montagem",K190&gt;0),"🟡 ALERTA P2",IF(AND(V190="P3 - Complementar",X190&gt;0),"🟢 PLANEJAR","OK")))</f>
        <v>OK</v>
      </c>
      <c r="AA190" s="11">
        <f t="shared" ref="AA190:AA191" si="81">IFERROR(H190/5,0)</f>
        <v>384</v>
      </c>
      <c r="AB190" s="11">
        <f t="shared" ref="AB190:AB191" si="82">IFERROR(MAX(K190/5,0),0)</f>
        <v>384</v>
      </c>
      <c r="AC190" s="1"/>
      <c r="AD190" s="1">
        <v>0</v>
      </c>
      <c r="AE190" s="1">
        <v>0</v>
      </c>
      <c r="AF190" s="1">
        <v>0</v>
      </c>
      <c r="AG190" s="1">
        <v>39514</v>
      </c>
      <c r="AH190" s="1">
        <v>0</v>
      </c>
      <c r="AI190" s="76">
        <v>17472</v>
      </c>
      <c r="AJ190" s="76">
        <f t="shared" si="57"/>
        <v>0</v>
      </c>
      <c r="AK190" s="1">
        <v>0</v>
      </c>
      <c r="AL190" s="1">
        <v>0</v>
      </c>
      <c r="AM190" s="1" t="str">
        <f t="shared" si="58"/>
        <v>ATENÇÃO</v>
      </c>
      <c r="AN190" s="1">
        <f t="shared" si="59"/>
        <v>0</v>
      </c>
      <c r="AO190" s="1">
        <v>1</v>
      </c>
      <c r="AP190" s="61">
        <f t="shared" si="60"/>
        <v>0</v>
      </c>
      <c r="AQ190" s="61">
        <v>1</v>
      </c>
      <c r="AR190" s="76"/>
      <c r="AS190" s="76"/>
      <c r="AT190" s="69"/>
      <c r="AU190" s="77"/>
      <c r="AV190" s="61"/>
      <c r="AW190" s="70"/>
      <c r="AX190" s="70"/>
      <c r="AY190" s="71"/>
      <c r="AZ190" s="70"/>
      <c r="BA190" s="71"/>
      <c r="BB190" s="70"/>
      <c r="BC190" s="78"/>
      <c r="BD190" s="78"/>
      <c r="BE190" s="78">
        <f t="shared" ref="BE190:BE193" si="83">MAX($BC190-$BD190,0)</f>
        <v>0</v>
      </c>
      <c r="BF190" t="str">
        <f t="shared" ref="BF190:BF193" si="84">IF($AX190=0,"",IF($AX190=1,$AW190,"MULTIRUA / VER MAPA"))</f>
        <v/>
      </c>
      <c r="BI190" s="103"/>
      <c r="BK190" s="103"/>
    </row>
    <row r="191" spans="1:63" ht="20.100000000000001" customHeight="1" x14ac:dyDescent="0.25">
      <c r="A191" s="8" t="s">
        <v>2076</v>
      </c>
      <c r="B191" s="8"/>
      <c r="C191" s="8"/>
      <c r="D191" s="8"/>
      <c r="E191" s="8" t="s">
        <v>378</v>
      </c>
      <c r="F191" s="8" t="s">
        <v>1350</v>
      </c>
      <c r="G191" s="8" t="s">
        <v>2076</v>
      </c>
      <c r="H191" s="8">
        <v>320</v>
      </c>
      <c r="I191" s="12">
        <v>0</v>
      </c>
      <c r="J191" s="10">
        <f>IFERROR(SUMIF(REMESSAS!$C:$C,$A191,REMESSAS!$W:$W),0)</f>
        <v>0</v>
      </c>
      <c r="K191" s="11">
        <f t="shared" si="73"/>
        <v>320</v>
      </c>
      <c r="L191" s="11">
        <f t="shared" si="74"/>
        <v>0</v>
      </c>
      <c r="M191" s="11">
        <f t="shared" si="75"/>
        <v>-320</v>
      </c>
      <c r="N191" s="11">
        <v>0</v>
      </c>
      <c r="O191" s="76">
        <v>0</v>
      </c>
      <c r="P191" s="76">
        <v>0</v>
      </c>
      <c r="Q191" s="76"/>
      <c r="R191" s="76"/>
      <c r="S191" s="3">
        <f t="shared" si="76"/>
        <v>0</v>
      </c>
      <c r="T191" s="1" t="str">
        <f t="shared" si="77"/>
        <v>Crítico</v>
      </c>
      <c r="U191" s="1" t="s">
        <v>370</v>
      </c>
      <c r="V191" s="1" t="s">
        <v>84</v>
      </c>
      <c r="W191" s="1" t="s">
        <v>505</v>
      </c>
      <c r="X191" s="2">
        <f t="shared" si="78"/>
        <v>160</v>
      </c>
      <c r="Y191" s="1" t="str">
        <f t="shared" si="79"/>
        <v>Enviar se houver espaço</v>
      </c>
      <c r="Z191" s="1" t="str">
        <f t="shared" si="80"/>
        <v>OK</v>
      </c>
      <c r="AA191" s="11">
        <f t="shared" si="81"/>
        <v>64</v>
      </c>
      <c r="AB191" s="11">
        <f t="shared" si="82"/>
        <v>64</v>
      </c>
      <c r="AC191" s="1"/>
      <c r="AD191" s="1">
        <v>0</v>
      </c>
      <c r="AE191" s="1">
        <v>0</v>
      </c>
      <c r="AF191" s="1">
        <v>0</v>
      </c>
      <c r="AG191" s="1">
        <v>39514</v>
      </c>
      <c r="AH191" s="1">
        <v>0</v>
      </c>
      <c r="AI191" s="76">
        <v>17472</v>
      </c>
      <c r="AJ191" s="76">
        <f t="shared" si="57"/>
        <v>0</v>
      </c>
      <c r="AK191" s="1">
        <v>0</v>
      </c>
      <c r="AL191" s="1">
        <v>0</v>
      </c>
      <c r="AM191" s="1" t="str">
        <f t="shared" si="58"/>
        <v>ATENÇÃO</v>
      </c>
      <c r="AN191" s="1">
        <f t="shared" si="59"/>
        <v>0</v>
      </c>
      <c r="AO191" s="1">
        <v>2</v>
      </c>
      <c r="AP191" s="61">
        <f t="shared" si="60"/>
        <v>0</v>
      </c>
      <c r="AQ191" s="61">
        <v>2</v>
      </c>
      <c r="AR191" s="76"/>
      <c r="AS191" s="76"/>
      <c r="AT191" s="69"/>
      <c r="AU191" s="77"/>
      <c r="AV191" s="61"/>
      <c r="AW191" s="70"/>
      <c r="AX191" s="70"/>
      <c r="AY191" s="71"/>
      <c r="AZ191" s="70"/>
      <c r="BA191" s="71"/>
      <c r="BB191" s="70"/>
      <c r="BC191" s="78"/>
      <c r="BD191" s="78"/>
      <c r="BE191" s="78">
        <f t="shared" si="83"/>
        <v>0</v>
      </c>
      <c r="BF191" t="str">
        <f t="shared" si="84"/>
        <v/>
      </c>
      <c r="BI191" s="103"/>
      <c r="BK191" s="103"/>
    </row>
    <row r="192" spans="1:63" ht="15.75" hidden="1" x14ac:dyDescent="0.25">
      <c r="A192" s="8" t="s">
        <v>2131</v>
      </c>
      <c r="B192" s="8"/>
      <c r="C192" s="8"/>
      <c r="D192" s="8"/>
      <c r="E192" s="8" t="s">
        <v>195</v>
      </c>
      <c r="F192" s="8" t="s">
        <v>2132</v>
      </c>
      <c r="G192" s="8" t="s">
        <v>2131</v>
      </c>
      <c r="H192" s="8" t="s">
        <v>2133</v>
      </c>
      <c r="I192" s="12"/>
      <c r="J192" s="10"/>
      <c r="K192" s="11"/>
      <c r="L192" s="11"/>
      <c r="M192" s="11"/>
      <c r="N192" s="11"/>
      <c r="O192" s="76"/>
      <c r="P192" s="76">
        <v>0</v>
      </c>
      <c r="Q192" s="76"/>
      <c r="R192" s="76"/>
      <c r="S192" s="3"/>
      <c r="T192" s="1"/>
      <c r="U192" s="1"/>
      <c r="V192" s="1"/>
      <c r="W192" s="1"/>
      <c r="X192" s="2"/>
      <c r="Y192" s="1"/>
      <c r="Z192" s="1"/>
      <c r="AA192" s="11"/>
      <c r="AB192" s="11"/>
      <c r="AC192" s="1"/>
      <c r="AD192" s="1"/>
      <c r="AE192" s="1"/>
      <c r="AF192" s="1"/>
      <c r="AG192" s="1"/>
      <c r="AH192" s="1"/>
      <c r="AI192" s="76"/>
      <c r="AJ192" s="76"/>
      <c r="AK192" s="1"/>
      <c r="AL192" s="1"/>
      <c r="AM192" s="1"/>
      <c r="AN192" s="1"/>
      <c r="AO192" s="1"/>
      <c r="AP192" s="61"/>
      <c r="AQ192" s="61"/>
      <c r="AR192" s="76"/>
      <c r="AS192" s="76"/>
      <c r="AT192" s="69"/>
      <c r="AU192" s="77"/>
      <c r="AV192" s="61"/>
      <c r="AW192" s="70"/>
      <c r="AX192" s="70"/>
      <c r="AY192" s="71"/>
      <c r="AZ192" s="70"/>
      <c r="BA192" s="71"/>
      <c r="BB192" s="70"/>
      <c r="BC192" s="78"/>
      <c r="BD192" s="78"/>
      <c r="BE192" s="78">
        <f t="shared" si="83"/>
        <v>0</v>
      </c>
      <c r="BF192" t="str">
        <f t="shared" si="84"/>
        <v/>
      </c>
      <c r="BK192" s="103"/>
    </row>
    <row r="193" spans="1:63" ht="15.75" hidden="1" x14ac:dyDescent="0.25">
      <c r="A193" s="8" t="s">
        <v>2134</v>
      </c>
      <c r="B193" s="8"/>
      <c r="C193" s="8"/>
      <c r="D193" s="8"/>
      <c r="E193" s="8" t="s">
        <v>195</v>
      </c>
      <c r="F193" s="8" t="s">
        <v>2132</v>
      </c>
      <c r="G193" s="8" t="s">
        <v>2134</v>
      </c>
      <c r="H193" s="8" t="s">
        <v>2133</v>
      </c>
      <c r="I193" s="12"/>
      <c r="J193" s="10"/>
      <c r="K193" s="11"/>
      <c r="L193" s="11"/>
      <c r="M193" s="11"/>
      <c r="N193" s="11"/>
      <c r="O193" s="76"/>
      <c r="P193" s="76">
        <v>0</v>
      </c>
      <c r="Q193" s="76"/>
      <c r="R193" s="76"/>
      <c r="S193" s="3"/>
      <c r="T193" s="1"/>
      <c r="U193" s="1"/>
      <c r="V193" s="1"/>
      <c r="W193" s="1"/>
      <c r="X193" s="2"/>
      <c r="Y193" s="1"/>
      <c r="Z193" s="1"/>
      <c r="AA193" s="11"/>
      <c r="AB193" s="11"/>
      <c r="AC193" s="1"/>
      <c r="AD193" s="1"/>
      <c r="AE193" s="1"/>
      <c r="AF193" s="1"/>
      <c r="AG193" s="1"/>
      <c r="AH193" s="1"/>
      <c r="AI193" s="76"/>
      <c r="AJ193" s="76"/>
      <c r="AK193" s="1"/>
      <c r="AL193" s="1"/>
      <c r="AM193" s="1"/>
      <c r="AN193" s="1"/>
      <c r="AO193" s="1"/>
      <c r="AP193" s="61"/>
      <c r="AQ193" s="61"/>
      <c r="AR193" s="76"/>
      <c r="AS193" s="76"/>
      <c r="AT193" s="69"/>
      <c r="AU193" s="77"/>
      <c r="AV193" s="61"/>
      <c r="AW193" s="70"/>
      <c r="AX193" s="70"/>
      <c r="AY193" s="71"/>
      <c r="AZ193" s="70"/>
      <c r="BA193" s="71"/>
      <c r="BB193" s="70"/>
      <c r="BC193" s="78"/>
      <c r="BD193" s="78"/>
      <c r="BE193" s="78">
        <f t="shared" si="83"/>
        <v>0</v>
      </c>
      <c r="BF193" t="str">
        <f t="shared" si="84"/>
        <v/>
      </c>
      <c r="BK193" s="103"/>
    </row>
    <row r="194" spans="1:63" ht="28.5" hidden="1" x14ac:dyDescent="0.25">
      <c r="A194" s="8" t="s">
        <v>2135</v>
      </c>
      <c r="B194" s="8"/>
      <c r="C194" s="8"/>
      <c r="D194" s="8"/>
      <c r="E194" s="8" t="s">
        <v>2136</v>
      </c>
      <c r="F194" s="8" t="s">
        <v>2137</v>
      </c>
      <c r="G194" s="8" t="s">
        <v>2135</v>
      </c>
      <c r="H194" s="8" t="s">
        <v>2133</v>
      </c>
      <c r="I194" s="12"/>
      <c r="J194" s="10"/>
      <c r="K194" s="11"/>
      <c r="L194" s="11"/>
      <c r="M194" s="11"/>
      <c r="N194" s="11"/>
      <c r="O194" s="76"/>
      <c r="P194" s="76">
        <v>0</v>
      </c>
      <c r="Q194" s="76"/>
      <c r="R194" s="76"/>
      <c r="S194" s="3"/>
      <c r="T194" s="1"/>
      <c r="U194" s="1"/>
      <c r="V194" s="1"/>
      <c r="W194" s="1"/>
      <c r="X194" s="2"/>
      <c r="Y194" s="1"/>
      <c r="Z194" s="1"/>
      <c r="AA194" s="11"/>
      <c r="AB194" s="11"/>
      <c r="AC194" s="1"/>
      <c r="AD194" s="1"/>
      <c r="AE194" s="1"/>
      <c r="AF194" s="1"/>
      <c r="AG194" s="1"/>
      <c r="AH194" s="1"/>
      <c r="AI194" s="76"/>
      <c r="AJ194" s="76"/>
      <c r="AK194" s="1"/>
      <c r="AL194" s="1"/>
      <c r="AM194" s="1"/>
      <c r="AN194" s="1"/>
      <c r="AO194" s="1"/>
      <c r="AP194" s="61"/>
      <c r="AQ194" s="61"/>
      <c r="AR194" s="76"/>
      <c r="AS194" s="76"/>
      <c r="AT194" s="69"/>
      <c r="AU194" s="77"/>
      <c r="AV194" s="61"/>
      <c r="AW194" s="70"/>
      <c r="AX194" s="70"/>
      <c r="AY194" s="71"/>
      <c r="AZ194" s="70"/>
      <c r="BA194" s="71"/>
      <c r="BB194" s="70"/>
      <c r="BC194" s="78"/>
      <c r="BD194" s="78"/>
      <c r="BE194" s="78">
        <f t="shared" ref="BE194:BE257" si="85">MAX($BC194-$BD194,0)</f>
        <v>0</v>
      </c>
      <c r="BF194" t="str">
        <f t="shared" ref="BF194:BF257" si="86">IF($AX194=0,"",IF($AX194=1,$AW194,"MULTIRUA / VER MAPA"))</f>
        <v/>
      </c>
      <c r="BK194" s="103"/>
    </row>
    <row r="195" spans="1:63" ht="28.5" hidden="1" x14ac:dyDescent="0.25">
      <c r="A195" s="8" t="s">
        <v>2138</v>
      </c>
      <c r="B195" s="8"/>
      <c r="C195" s="8"/>
      <c r="D195" s="8"/>
      <c r="E195" s="8" t="s">
        <v>2136</v>
      </c>
      <c r="F195" s="8" t="s">
        <v>2139</v>
      </c>
      <c r="G195" s="8" t="s">
        <v>2138</v>
      </c>
      <c r="H195" s="8" t="s">
        <v>2133</v>
      </c>
      <c r="I195" s="12"/>
      <c r="J195" s="10"/>
      <c r="K195" s="11"/>
      <c r="L195" s="11"/>
      <c r="M195" s="11"/>
      <c r="N195" s="11"/>
      <c r="O195" s="76"/>
      <c r="P195" s="76">
        <v>0</v>
      </c>
      <c r="Q195" s="76"/>
      <c r="R195" s="76"/>
      <c r="S195" s="3"/>
      <c r="T195" s="1"/>
      <c r="U195" s="1"/>
      <c r="V195" s="1"/>
      <c r="W195" s="1"/>
      <c r="X195" s="2"/>
      <c r="Y195" s="1"/>
      <c r="Z195" s="1"/>
      <c r="AA195" s="11"/>
      <c r="AB195" s="11"/>
      <c r="AC195" s="1"/>
      <c r="AD195" s="1"/>
      <c r="AE195" s="1"/>
      <c r="AF195" s="1"/>
      <c r="AG195" s="1"/>
      <c r="AH195" s="1"/>
      <c r="AI195" s="76"/>
      <c r="AJ195" s="76"/>
      <c r="AK195" s="1"/>
      <c r="AL195" s="1"/>
      <c r="AM195" s="1"/>
      <c r="AN195" s="1"/>
      <c r="AO195" s="1"/>
      <c r="AP195" s="61"/>
      <c r="AQ195" s="61"/>
      <c r="AR195" s="76"/>
      <c r="AS195" s="76"/>
      <c r="AT195" s="69"/>
      <c r="AU195" s="77"/>
      <c r="AV195" s="61"/>
      <c r="AW195" s="70"/>
      <c r="AX195" s="70"/>
      <c r="AY195" s="71"/>
      <c r="AZ195" s="70"/>
      <c r="BA195" s="71"/>
      <c r="BB195" s="70"/>
      <c r="BC195" s="78"/>
      <c r="BD195" s="78"/>
      <c r="BE195" s="78">
        <f t="shared" si="85"/>
        <v>0</v>
      </c>
      <c r="BF195" t="str">
        <f t="shared" si="86"/>
        <v/>
      </c>
      <c r="BK195" s="103"/>
    </row>
    <row r="196" spans="1:63" ht="15.75" hidden="1" customHeight="1" x14ac:dyDescent="0.25">
      <c r="A196" s="8" t="s">
        <v>2140</v>
      </c>
      <c r="B196" s="8"/>
      <c r="C196" s="8"/>
      <c r="D196" s="8"/>
      <c r="E196" s="8" t="s">
        <v>2136</v>
      </c>
      <c r="F196" s="8" t="s">
        <v>2141</v>
      </c>
      <c r="G196" s="8" t="s">
        <v>2140</v>
      </c>
      <c r="H196" s="8" t="s">
        <v>2133</v>
      </c>
      <c r="I196" s="12"/>
      <c r="J196" s="10"/>
      <c r="K196" s="11"/>
      <c r="L196" s="11"/>
      <c r="M196" s="11"/>
      <c r="N196" s="11"/>
      <c r="O196" s="76"/>
      <c r="P196" s="76">
        <v>0</v>
      </c>
      <c r="Q196" s="76"/>
      <c r="R196" s="76"/>
      <c r="S196" s="3"/>
      <c r="T196" s="1"/>
      <c r="U196" s="1"/>
      <c r="V196" s="1"/>
      <c r="W196" s="1"/>
      <c r="X196" s="2"/>
      <c r="Y196" s="1"/>
      <c r="Z196" s="1"/>
      <c r="AA196" s="11"/>
      <c r="AB196" s="11"/>
      <c r="AC196" s="1"/>
      <c r="AD196" s="1"/>
      <c r="AE196" s="1"/>
      <c r="AF196" s="1"/>
      <c r="AG196" s="1"/>
      <c r="AH196" s="1"/>
      <c r="AI196" s="76"/>
      <c r="AJ196" s="76"/>
      <c r="AK196" s="1"/>
      <c r="AL196" s="1"/>
      <c r="AM196" s="1"/>
      <c r="AN196" s="1"/>
      <c r="AO196" s="1"/>
      <c r="AP196" s="61"/>
      <c r="AQ196" s="61"/>
      <c r="AR196" s="76"/>
      <c r="AS196" s="76"/>
      <c r="AT196" s="69"/>
      <c r="AU196" s="77"/>
      <c r="AV196" s="61"/>
      <c r="AW196" s="70"/>
      <c r="AX196" s="70"/>
      <c r="AY196" s="71"/>
      <c r="AZ196" s="70"/>
      <c r="BA196" s="71"/>
      <c r="BB196" s="70"/>
      <c r="BC196" s="78"/>
      <c r="BD196" s="78"/>
      <c r="BE196" s="78">
        <f t="shared" si="85"/>
        <v>0</v>
      </c>
      <c r="BF196" t="str">
        <f t="shared" si="86"/>
        <v/>
      </c>
      <c r="BK196" s="103"/>
    </row>
    <row r="197" spans="1:63" ht="15.75" hidden="1" customHeight="1" x14ac:dyDescent="0.25">
      <c r="A197" s="8" t="s">
        <v>2142</v>
      </c>
      <c r="B197" s="8"/>
      <c r="C197" s="8"/>
      <c r="D197" s="8"/>
      <c r="E197" s="8" t="s">
        <v>2136</v>
      </c>
      <c r="F197" s="8" t="s">
        <v>2141</v>
      </c>
      <c r="G197" s="8" t="s">
        <v>2142</v>
      </c>
      <c r="H197" s="8" t="s">
        <v>2133</v>
      </c>
      <c r="I197" s="12"/>
      <c r="J197" s="10"/>
      <c r="K197" s="11"/>
      <c r="L197" s="11"/>
      <c r="M197" s="11"/>
      <c r="N197" s="11"/>
      <c r="O197" s="76"/>
      <c r="P197" s="76">
        <v>0</v>
      </c>
      <c r="Q197" s="76"/>
      <c r="R197" s="76"/>
      <c r="S197" s="3"/>
      <c r="T197" s="1"/>
      <c r="U197" s="1"/>
      <c r="V197" s="1"/>
      <c r="W197" s="1"/>
      <c r="X197" s="2"/>
      <c r="Y197" s="1"/>
      <c r="Z197" s="1"/>
      <c r="AA197" s="11"/>
      <c r="AB197" s="11"/>
      <c r="AC197" s="1"/>
      <c r="AD197" s="1"/>
      <c r="AE197" s="1"/>
      <c r="AF197" s="1"/>
      <c r="AG197" s="1"/>
      <c r="AH197" s="1"/>
      <c r="AI197" s="76"/>
      <c r="AJ197" s="76"/>
      <c r="AK197" s="1"/>
      <c r="AL197" s="1"/>
      <c r="AM197" s="1"/>
      <c r="AN197" s="1"/>
      <c r="AO197" s="1"/>
      <c r="AP197" s="61"/>
      <c r="AQ197" s="61"/>
      <c r="AR197" s="76"/>
      <c r="AS197" s="76"/>
      <c r="AT197" s="69"/>
      <c r="AU197" s="77"/>
      <c r="AV197" s="61"/>
      <c r="AW197" s="70"/>
      <c r="AX197" s="70"/>
      <c r="AY197" s="71"/>
      <c r="AZ197" s="70"/>
      <c r="BA197" s="71"/>
      <c r="BB197" s="70"/>
      <c r="BC197" s="78"/>
      <c r="BD197" s="78"/>
      <c r="BE197" s="78">
        <f t="shared" si="85"/>
        <v>0</v>
      </c>
      <c r="BF197" t="str">
        <f t="shared" si="86"/>
        <v/>
      </c>
      <c r="BK197" s="103"/>
    </row>
    <row r="198" spans="1:63" ht="15.75" hidden="1" customHeight="1" x14ac:dyDescent="0.25">
      <c r="A198" s="8" t="s">
        <v>2143</v>
      </c>
      <c r="B198" s="8"/>
      <c r="C198" s="8"/>
      <c r="D198" s="8"/>
      <c r="E198" s="8" t="s">
        <v>2136</v>
      </c>
      <c r="F198" s="8" t="s">
        <v>2141</v>
      </c>
      <c r="G198" s="8" t="s">
        <v>2143</v>
      </c>
      <c r="H198" s="8" t="s">
        <v>2133</v>
      </c>
      <c r="I198" s="12"/>
      <c r="J198" s="10"/>
      <c r="K198" s="11"/>
      <c r="L198" s="11"/>
      <c r="M198" s="11"/>
      <c r="N198" s="11"/>
      <c r="O198" s="76"/>
      <c r="P198" s="76">
        <v>0</v>
      </c>
      <c r="Q198" s="76"/>
      <c r="R198" s="76"/>
      <c r="S198" s="3"/>
      <c r="T198" s="1"/>
      <c r="U198" s="1"/>
      <c r="V198" s="1"/>
      <c r="W198" s="1"/>
      <c r="X198" s="2"/>
      <c r="Y198" s="1"/>
      <c r="Z198" s="1"/>
      <c r="AA198" s="11"/>
      <c r="AB198" s="11"/>
      <c r="AC198" s="1"/>
      <c r="AD198" s="1"/>
      <c r="AE198" s="1"/>
      <c r="AF198" s="1"/>
      <c r="AG198" s="1"/>
      <c r="AH198" s="1"/>
      <c r="AI198" s="76"/>
      <c r="AJ198" s="76"/>
      <c r="AK198" s="1"/>
      <c r="AL198" s="1"/>
      <c r="AM198" s="1"/>
      <c r="AN198" s="1"/>
      <c r="AO198" s="1"/>
      <c r="AP198" s="61"/>
      <c r="AQ198" s="61"/>
      <c r="AR198" s="76"/>
      <c r="AS198" s="76"/>
      <c r="AT198" s="69"/>
      <c r="AU198" s="77"/>
      <c r="AV198" s="61"/>
      <c r="AW198" s="70"/>
      <c r="AX198" s="70"/>
      <c r="AY198" s="71"/>
      <c r="AZ198" s="70"/>
      <c r="BA198" s="71"/>
      <c r="BB198" s="70"/>
      <c r="BC198" s="78"/>
      <c r="BD198" s="78"/>
      <c r="BE198" s="78">
        <f t="shared" si="85"/>
        <v>0</v>
      </c>
      <c r="BF198" t="str">
        <f t="shared" si="86"/>
        <v/>
      </c>
      <c r="BK198" s="103"/>
    </row>
    <row r="199" spans="1:63" ht="15.75" hidden="1" customHeight="1" x14ac:dyDescent="0.25">
      <c r="A199" s="8" t="s">
        <v>2144</v>
      </c>
      <c r="B199" s="8"/>
      <c r="C199" s="8"/>
      <c r="D199" s="8"/>
      <c r="E199" s="8" t="s">
        <v>2136</v>
      </c>
      <c r="F199" s="8" t="s">
        <v>2145</v>
      </c>
      <c r="G199" s="8" t="s">
        <v>2144</v>
      </c>
      <c r="H199" s="8" t="s">
        <v>2133</v>
      </c>
      <c r="I199" s="12"/>
      <c r="J199" s="10"/>
      <c r="K199" s="11"/>
      <c r="L199" s="11"/>
      <c r="M199" s="11"/>
      <c r="N199" s="11"/>
      <c r="O199" s="76"/>
      <c r="P199" s="76">
        <v>0</v>
      </c>
      <c r="Q199" s="76"/>
      <c r="R199" s="76"/>
      <c r="S199" s="3"/>
      <c r="T199" s="1"/>
      <c r="U199" s="1"/>
      <c r="V199" s="1"/>
      <c r="W199" s="1"/>
      <c r="X199" s="2"/>
      <c r="Y199" s="1"/>
      <c r="Z199" s="1"/>
      <c r="AA199" s="11"/>
      <c r="AB199" s="11"/>
      <c r="AC199" s="1"/>
      <c r="AD199" s="1"/>
      <c r="AE199" s="1"/>
      <c r="AF199" s="1"/>
      <c r="AG199" s="1"/>
      <c r="AH199" s="1"/>
      <c r="AI199" s="76"/>
      <c r="AJ199" s="76"/>
      <c r="AK199" s="1"/>
      <c r="AL199" s="1"/>
      <c r="AM199" s="1"/>
      <c r="AN199" s="1"/>
      <c r="AO199" s="1"/>
      <c r="AP199" s="61"/>
      <c r="AQ199" s="61"/>
      <c r="AR199" s="76"/>
      <c r="AS199" s="76"/>
      <c r="AT199" s="69"/>
      <c r="AU199" s="77"/>
      <c r="AV199" s="61"/>
      <c r="AW199" s="70"/>
      <c r="AX199" s="70"/>
      <c r="AY199" s="71"/>
      <c r="AZ199" s="70"/>
      <c r="BA199" s="71"/>
      <c r="BB199" s="70"/>
      <c r="BC199" s="78"/>
      <c r="BD199" s="78"/>
      <c r="BE199" s="78">
        <f t="shared" si="85"/>
        <v>0</v>
      </c>
      <c r="BF199" t="str">
        <f t="shared" si="86"/>
        <v/>
      </c>
    </row>
    <row r="200" spans="1:63" ht="29.25" hidden="1" customHeight="1" x14ac:dyDescent="0.25">
      <c r="A200" s="8" t="s">
        <v>2146</v>
      </c>
      <c r="B200" s="8"/>
      <c r="C200" s="8"/>
      <c r="D200" s="8"/>
      <c r="E200" s="8" t="s">
        <v>2136</v>
      </c>
      <c r="F200" s="8" t="s">
        <v>2145</v>
      </c>
      <c r="G200" s="8" t="s">
        <v>2146</v>
      </c>
      <c r="H200" s="8" t="s">
        <v>2133</v>
      </c>
      <c r="I200" s="12"/>
      <c r="J200" s="10"/>
      <c r="K200" s="11"/>
      <c r="L200" s="11"/>
      <c r="M200" s="11"/>
      <c r="N200" s="11"/>
      <c r="O200" s="76"/>
      <c r="P200" s="76">
        <v>0</v>
      </c>
      <c r="Q200" s="76"/>
      <c r="R200" s="76"/>
      <c r="S200" s="3"/>
      <c r="T200" s="1"/>
      <c r="U200" s="1"/>
      <c r="V200" s="1"/>
      <c r="W200" s="1"/>
      <c r="X200" s="2"/>
      <c r="Y200" s="1"/>
      <c r="Z200" s="1"/>
      <c r="AA200" s="11"/>
      <c r="AB200" s="11"/>
      <c r="AC200" s="1"/>
      <c r="AD200" s="1"/>
      <c r="AE200" s="1"/>
      <c r="AF200" s="1"/>
      <c r="AG200" s="1"/>
      <c r="AH200" s="1"/>
      <c r="AI200" s="76"/>
      <c r="AJ200" s="76"/>
      <c r="AK200" s="1"/>
      <c r="AL200" s="1"/>
      <c r="AM200" s="1"/>
      <c r="AN200" s="1"/>
      <c r="AO200" s="1"/>
      <c r="AP200" s="61"/>
      <c r="AQ200" s="61"/>
      <c r="AR200" s="76"/>
      <c r="AS200" s="76"/>
      <c r="AT200" s="69"/>
      <c r="AU200" s="77"/>
      <c r="AV200" s="61"/>
      <c r="AW200" s="70"/>
      <c r="AX200" s="70"/>
      <c r="AY200" s="71"/>
      <c r="AZ200" s="70"/>
      <c r="BA200" s="71"/>
      <c r="BB200" s="70"/>
      <c r="BC200" s="78"/>
      <c r="BD200" s="78"/>
      <c r="BE200" s="78">
        <f t="shared" si="85"/>
        <v>0</v>
      </c>
      <c r="BF200" t="str">
        <f t="shared" si="86"/>
        <v/>
      </c>
      <c r="BK200" s="103"/>
    </row>
    <row r="201" spans="1:63" ht="28.5" hidden="1" x14ac:dyDescent="0.25">
      <c r="A201" s="8" t="s">
        <v>2147</v>
      </c>
      <c r="B201" s="8"/>
      <c r="C201" s="8"/>
      <c r="D201" s="8"/>
      <c r="E201" s="8" t="s">
        <v>2136</v>
      </c>
      <c r="F201" s="8" t="s">
        <v>2145</v>
      </c>
      <c r="G201" s="8" t="s">
        <v>2147</v>
      </c>
      <c r="H201" s="8" t="s">
        <v>2133</v>
      </c>
      <c r="I201" s="12"/>
      <c r="J201" s="10"/>
      <c r="K201" s="11"/>
      <c r="L201" s="11"/>
      <c r="M201" s="11"/>
      <c r="N201" s="11"/>
      <c r="O201" s="76"/>
      <c r="P201" s="76">
        <v>0</v>
      </c>
      <c r="Q201" s="76"/>
      <c r="R201" s="76"/>
      <c r="S201" s="3"/>
      <c r="T201" s="1"/>
      <c r="U201" s="1"/>
      <c r="V201" s="1"/>
      <c r="W201" s="1"/>
      <c r="X201" s="2"/>
      <c r="Y201" s="1"/>
      <c r="Z201" s="1"/>
      <c r="AA201" s="11"/>
      <c r="AB201" s="11"/>
      <c r="AC201" s="1"/>
      <c r="AD201" s="1"/>
      <c r="AE201" s="1"/>
      <c r="AF201" s="1"/>
      <c r="AG201" s="1"/>
      <c r="AH201" s="1"/>
      <c r="AI201" s="76"/>
      <c r="AJ201" s="76"/>
      <c r="AK201" s="1"/>
      <c r="AL201" s="1"/>
      <c r="AM201" s="1"/>
      <c r="AN201" s="1"/>
      <c r="AO201" s="1"/>
      <c r="AP201" s="61"/>
      <c r="AQ201" s="61"/>
      <c r="AR201" s="76"/>
      <c r="AS201" s="76"/>
      <c r="AT201" s="69"/>
      <c r="AU201" s="77"/>
      <c r="AV201" s="61"/>
      <c r="AW201" s="70"/>
      <c r="AX201" s="70"/>
      <c r="AY201" s="71"/>
      <c r="AZ201" s="70"/>
      <c r="BA201" s="71"/>
      <c r="BB201" s="70"/>
      <c r="BC201" s="78"/>
      <c r="BD201" s="78"/>
      <c r="BE201" s="78">
        <f t="shared" si="85"/>
        <v>0</v>
      </c>
      <c r="BF201" t="str">
        <f t="shared" si="86"/>
        <v/>
      </c>
      <c r="BK201" s="103"/>
    </row>
    <row r="202" spans="1:63" ht="28.5" hidden="1" x14ac:dyDescent="0.25">
      <c r="A202" s="8" t="s">
        <v>2148</v>
      </c>
      <c r="B202" s="8"/>
      <c r="C202" s="8"/>
      <c r="D202" s="8"/>
      <c r="E202" s="8" t="s">
        <v>2136</v>
      </c>
      <c r="F202" s="8" t="s">
        <v>2149</v>
      </c>
      <c r="G202" s="8" t="s">
        <v>2148</v>
      </c>
      <c r="H202" s="8" t="s">
        <v>2133</v>
      </c>
      <c r="I202" s="12"/>
      <c r="J202" s="10"/>
      <c r="K202" s="11"/>
      <c r="L202" s="11"/>
      <c r="M202" s="11"/>
      <c r="N202" s="11"/>
      <c r="O202" s="76"/>
      <c r="P202" s="76">
        <v>0</v>
      </c>
      <c r="Q202" s="76"/>
      <c r="R202" s="76"/>
      <c r="S202" s="3"/>
      <c r="T202" s="1"/>
      <c r="U202" s="1"/>
      <c r="V202" s="1"/>
      <c r="W202" s="1"/>
      <c r="X202" s="2"/>
      <c r="Y202" s="1"/>
      <c r="Z202" s="1"/>
      <c r="AA202" s="11"/>
      <c r="AB202" s="11"/>
      <c r="AC202" s="1"/>
      <c r="AD202" s="1"/>
      <c r="AE202" s="1"/>
      <c r="AF202" s="1"/>
      <c r="AG202" s="1"/>
      <c r="AH202" s="1"/>
      <c r="AI202" s="76"/>
      <c r="AJ202" s="76"/>
      <c r="AK202" s="1"/>
      <c r="AL202" s="1"/>
      <c r="AM202" s="1"/>
      <c r="AN202" s="1"/>
      <c r="AO202" s="1"/>
      <c r="AP202" s="61"/>
      <c r="AQ202" s="61"/>
      <c r="AR202" s="76"/>
      <c r="AS202" s="76"/>
      <c r="AT202" s="69"/>
      <c r="AU202" s="77"/>
      <c r="AV202" s="61"/>
      <c r="AW202" s="70"/>
      <c r="AX202" s="70"/>
      <c r="AY202" s="71"/>
      <c r="AZ202" s="70"/>
      <c r="BA202" s="71"/>
      <c r="BB202" s="70"/>
      <c r="BC202" s="78"/>
      <c r="BD202" s="78"/>
      <c r="BE202" s="78">
        <f t="shared" si="85"/>
        <v>0</v>
      </c>
      <c r="BF202" t="str">
        <f t="shared" si="86"/>
        <v/>
      </c>
      <c r="BK202" s="103"/>
    </row>
    <row r="203" spans="1:63" ht="28.5" hidden="1" x14ac:dyDescent="0.25">
      <c r="A203" s="8" t="s">
        <v>2150</v>
      </c>
      <c r="B203" s="8"/>
      <c r="C203" s="8"/>
      <c r="D203" s="8"/>
      <c r="E203" s="8" t="s">
        <v>2136</v>
      </c>
      <c r="F203" s="8" t="s">
        <v>2149</v>
      </c>
      <c r="G203" s="8" t="s">
        <v>2150</v>
      </c>
      <c r="H203" s="8" t="s">
        <v>2133</v>
      </c>
      <c r="I203" s="12"/>
      <c r="J203" s="10"/>
      <c r="K203" s="11"/>
      <c r="L203" s="11"/>
      <c r="M203" s="11"/>
      <c r="N203" s="11"/>
      <c r="O203" s="76"/>
      <c r="P203" s="76">
        <v>0</v>
      </c>
      <c r="Q203" s="76"/>
      <c r="R203" s="76"/>
      <c r="S203" s="3"/>
      <c r="T203" s="1"/>
      <c r="U203" s="1"/>
      <c r="V203" s="1"/>
      <c r="W203" s="1"/>
      <c r="X203" s="2"/>
      <c r="Y203" s="1"/>
      <c r="Z203" s="1"/>
      <c r="AA203" s="11"/>
      <c r="AB203" s="11"/>
      <c r="AC203" s="1"/>
      <c r="AD203" s="1"/>
      <c r="AE203" s="1"/>
      <c r="AF203" s="1"/>
      <c r="AG203" s="1"/>
      <c r="AH203" s="1"/>
      <c r="AI203" s="76"/>
      <c r="AJ203" s="76"/>
      <c r="AK203" s="1"/>
      <c r="AL203" s="1"/>
      <c r="AM203" s="1"/>
      <c r="AN203" s="1"/>
      <c r="AO203" s="1"/>
      <c r="AP203" s="61"/>
      <c r="AQ203" s="61"/>
      <c r="AR203" s="76"/>
      <c r="AS203" s="76"/>
      <c r="AT203" s="69"/>
      <c r="AU203" s="77"/>
      <c r="AV203" s="61"/>
      <c r="AW203" s="70"/>
      <c r="AX203" s="70"/>
      <c r="AY203" s="71"/>
      <c r="AZ203" s="70"/>
      <c r="BA203" s="71"/>
      <c r="BB203" s="70"/>
      <c r="BC203" s="78"/>
      <c r="BD203" s="78"/>
      <c r="BE203" s="78">
        <f t="shared" si="85"/>
        <v>0</v>
      </c>
      <c r="BF203" t="str">
        <f t="shared" si="86"/>
        <v/>
      </c>
      <c r="BK203" s="103"/>
    </row>
    <row r="204" spans="1:63" ht="28.5" hidden="1" x14ac:dyDescent="0.25">
      <c r="A204" s="8" t="s">
        <v>2151</v>
      </c>
      <c r="B204" s="8"/>
      <c r="C204" s="8"/>
      <c r="D204" s="8"/>
      <c r="E204" s="8" t="s">
        <v>2136</v>
      </c>
      <c r="F204" s="8" t="s">
        <v>2152</v>
      </c>
      <c r="G204" s="8" t="s">
        <v>2151</v>
      </c>
      <c r="H204" s="8" t="s">
        <v>2133</v>
      </c>
      <c r="I204" s="12"/>
      <c r="J204" s="10"/>
      <c r="K204" s="11"/>
      <c r="L204" s="11"/>
      <c r="M204" s="11"/>
      <c r="N204" s="11"/>
      <c r="O204" s="76"/>
      <c r="P204" s="76">
        <v>0</v>
      </c>
      <c r="Q204" s="76"/>
      <c r="R204" s="76"/>
      <c r="S204" s="3"/>
      <c r="T204" s="1"/>
      <c r="U204" s="1"/>
      <c r="V204" s="1"/>
      <c r="W204" s="1"/>
      <c r="X204" s="2"/>
      <c r="Y204" s="1"/>
      <c r="Z204" s="1"/>
      <c r="AA204" s="11"/>
      <c r="AB204" s="11"/>
      <c r="AC204" s="1"/>
      <c r="AD204" s="1"/>
      <c r="AE204" s="1"/>
      <c r="AF204" s="1"/>
      <c r="AG204" s="1"/>
      <c r="AH204" s="1"/>
      <c r="AI204" s="76"/>
      <c r="AJ204" s="76"/>
      <c r="AK204" s="1"/>
      <c r="AL204" s="1"/>
      <c r="AM204" s="1"/>
      <c r="AN204" s="1"/>
      <c r="AO204" s="1"/>
      <c r="AP204" s="61"/>
      <c r="AQ204" s="61"/>
      <c r="AR204" s="76"/>
      <c r="AS204" s="76"/>
      <c r="AT204" s="69"/>
      <c r="AU204" s="77"/>
      <c r="AV204" s="61"/>
      <c r="AW204" s="70"/>
      <c r="AX204" s="70"/>
      <c r="AY204" s="71"/>
      <c r="AZ204" s="70"/>
      <c r="BA204" s="71"/>
      <c r="BB204" s="70"/>
      <c r="BC204" s="78"/>
      <c r="BD204" s="78"/>
      <c r="BE204" s="78">
        <f t="shared" si="85"/>
        <v>0</v>
      </c>
      <c r="BF204" t="str">
        <f t="shared" si="86"/>
        <v/>
      </c>
      <c r="BK204" s="103"/>
    </row>
    <row r="205" spans="1:63" ht="28.5" hidden="1" x14ac:dyDescent="0.25">
      <c r="A205" s="8" t="s">
        <v>2153</v>
      </c>
      <c r="B205" s="8"/>
      <c r="C205" s="8"/>
      <c r="D205" s="8"/>
      <c r="E205" s="8" t="s">
        <v>2136</v>
      </c>
      <c r="F205" s="8" t="s">
        <v>2154</v>
      </c>
      <c r="G205" s="8" t="s">
        <v>2153</v>
      </c>
      <c r="H205" s="8" t="s">
        <v>2133</v>
      </c>
      <c r="I205" s="12"/>
      <c r="J205" s="10"/>
      <c r="K205" s="11"/>
      <c r="L205" s="11"/>
      <c r="M205" s="11"/>
      <c r="N205" s="11"/>
      <c r="O205" s="76"/>
      <c r="P205" s="76">
        <v>0</v>
      </c>
      <c r="Q205" s="76"/>
      <c r="R205" s="76"/>
      <c r="S205" s="3"/>
      <c r="T205" s="1"/>
      <c r="U205" s="1"/>
      <c r="V205" s="1"/>
      <c r="W205" s="1"/>
      <c r="X205" s="2"/>
      <c r="Y205" s="1"/>
      <c r="Z205" s="1"/>
      <c r="AA205" s="11"/>
      <c r="AB205" s="11"/>
      <c r="AC205" s="1"/>
      <c r="AD205" s="1"/>
      <c r="AE205" s="1"/>
      <c r="AF205" s="1"/>
      <c r="AG205" s="1"/>
      <c r="AH205" s="1"/>
      <c r="AI205" s="76"/>
      <c r="AJ205" s="76"/>
      <c r="AK205" s="1"/>
      <c r="AL205" s="1"/>
      <c r="AM205" s="1"/>
      <c r="AN205" s="1"/>
      <c r="AO205" s="1"/>
      <c r="AP205" s="61"/>
      <c r="AQ205" s="61"/>
      <c r="AR205" s="76"/>
      <c r="AS205" s="76"/>
      <c r="AT205" s="69"/>
      <c r="AU205" s="77"/>
      <c r="AV205" s="61"/>
      <c r="AW205" s="70"/>
      <c r="AX205" s="70"/>
      <c r="AY205" s="71"/>
      <c r="AZ205" s="70"/>
      <c r="BA205" s="71"/>
      <c r="BB205" s="70"/>
      <c r="BC205" s="78"/>
      <c r="BD205" s="78"/>
      <c r="BE205" s="78">
        <f t="shared" si="85"/>
        <v>0</v>
      </c>
      <c r="BF205" t="str">
        <f t="shared" si="86"/>
        <v/>
      </c>
      <c r="BK205" s="103"/>
    </row>
    <row r="206" spans="1:63" ht="28.5" hidden="1" x14ac:dyDescent="0.25">
      <c r="A206" s="8" t="s">
        <v>2155</v>
      </c>
      <c r="B206" s="8"/>
      <c r="C206" s="8"/>
      <c r="D206" s="8"/>
      <c r="E206" s="8" t="s">
        <v>2136</v>
      </c>
      <c r="F206" s="8" t="s">
        <v>2154</v>
      </c>
      <c r="G206" s="8" t="s">
        <v>2155</v>
      </c>
      <c r="H206" s="8" t="s">
        <v>2133</v>
      </c>
      <c r="I206" s="12"/>
      <c r="J206" s="10"/>
      <c r="K206" s="11"/>
      <c r="L206" s="11"/>
      <c r="M206" s="11"/>
      <c r="N206" s="11"/>
      <c r="O206" s="76"/>
      <c r="P206" s="76">
        <v>0</v>
      </c>
      <c r="Q206" s="76"/>
      <c r="R206" s="76"/>
      <c r="S206" s="3"/>
      <c r="T206" s="1"/>
      <c r="U206" s="1"/>
      <c r="V206" s="1"/>
      <c r="W206" s="1"/>
      <c r="X206" s="2"/>
      <c r="Y206" s="1"/>
      <c r="Z206" s="1"/>
      <c r="AA206" s="11"/>
      <c r="AB206" s="11"/>
      <c r="AC206" s="1"/>
      <c r="AD206" s="1"/>
      <c r="AE206" s="1"/>
      <c r="AF206" s="1"/>
      <c r="AG206" s="1"/>
      <c r="AH206" s="1"/>
      <c r="AI206" s="76"/>
      <c r="AJ206" s="76"/>
      <c r="AK206" s="1"/>
      <c r="AL206" s="1"/>
      <c r="AM206" s="1"/>
      <c r="AN206" s="1"/>
      <c r="AO206" s="1"/>
      <c r="AP206" s="61"/>
      <c r="AQ206" s="61"/>
      <c r="AR206" s="76"/>
      <c r="AS206" s="76"/>
      <c r="AT206" s="69"/>
      <c r="AU206" s="77"/>
      <c r="AV206" s="61"/>
      <c r="AW206" s="70"/>
      <c r="AX206" s="70"/>
      <c r="AY206" s="71"/>
      <c r="AZ206" s="70"/>
      <c r="BA206" s="71"/>
      <c r="BB206" s="70"/>
      <c r="BC206" s="78"/>
      <c r="BD206" s="78"/>
      <c r="BE206" s="78">
        <f t="shared" si="85"/>
        <v>0</v>
      </c>
      <c r="BF206" t="str">
        <f t="shared" si="86"/>
        <v/>
      </c>
      <c r="BK206" s="103"/>
    </row>
    <row r="207" spans="1:63" ht="28.5" hidden="1" x14ac:dyDescent="0.25">
      <c r="A207" s="8" t="s">
        <v>2156</v>
      </c>
      <c r="B207" s="8"/>
      <c r="C207" s="8"/>
      <c r="D207" s="8"/>
      <c r="E207" s="8" t="s">
        <v>2136</v>
      </c>
      <c r="F207" s="8" t="s">
        <v>2157</v>
      </c>
      <c r="G207" s="8" t="s">
        <v>2156</v>
      </c>
      <c r="H207" s="8" t="s">
        <v>2133</v>
      </c>
      <c r="I207" s="12"/>
      <c r="J207" s="10"/>
      <c r="K207" s="11"/>
      <c r="L207" s="11"/>
      <c r="M207" s="11"/>
      <c r="N207" s="11"/>
      <c r="O207" s="76"/>
      <c r="P207" s="76">
        <v>0</v>
      </c>
      <c r="Q207" s="76"/>
      <c r="R207" s="76"/>
      <c r="S207" s="3"/>
      <c r="T207" s="1"/>
      <c r="U207" s="1"/>
      <c r="V207" s="1"/>
      <c r="W207" s="1"/>
      <c r="X207" s="2"/>
      <c r="Y207" s="1"/>
      <c r="Z207" s="1"/>
      <c r="AA207" s="11"/>
      <c r="AB207" s="11"/>
      <c r="AC207" s="1"/>
      <c r="AD207" s="1"/>
      <c r="AE207" s="1"/>
      <c r="AF207" s="1"/>
      <c r="AG207" s="1"/>
      <c r="AH207" s="1"/>
      <c r="AI207" s="76"/>
      <c r="AJ207" s="76"/>
      <c r="AK207" s="1"/>
      <c r="AL207" s="1"/>
      <c r="AM207" s="1"/>
      <c r="AN207" s="1"/>
      <c r="AO207" s="1"/>
      <c r="AP207" s="61"/>
      <c r="AQ207" s="61"/>
      <c r="AR207" s="76"/>
      <c r="AS207" s="76"/>
      <c r="AT207" s="69"/>
      <c r="AU207" s="77"/>
      <c r="AV207" s="61"/>
      <c r="AW207" s="70"/>
      <c r="AX207" s="70"/>
      <c r="AY207" s="71"/>
      <c r="AZ207" s="70"/>
      <c r="BA207" s="71"/>
      <c r="BB207" s="70"/>
      <c r="BC207" s="78"/>
      <c r="BD207" s="78"/>
      <c r="BE207" s="78">
        <f t="shared" si="85"/>
        <v>0</v>
      </c>
      <c r="BF207" t="str">
        <f t="shared" si="86"/>
        <v/>
      </c>
      <c r="BK207" s="103"/>
    </row>
    <row r="208" spans="1:63" ht="28.5" hidden="1" x14ac:dyDescent="0.25">
      <c r="A208" s="8" t="s">
        <v>2158</v>
      </c>
      <c r="B208" s="8"/>
      <c r="C208" s="8"/>
      <c r="D208" s="8"/>
      <c r="E208" s="8" t="s">
        <v>2136</v>
      </c>
      <c r="F208" s="8" t="s">
        <v>2157</v>
      </c>
      <c r="G208" s="8" t="s">
        <v>2158</v>
      </c>
      <c r="H208" s="8" t="s">
        <v>2133</v>
      </c>
      <c r="I208" s="12"/>
      <c r="J208" s="10"/>
      <c r="K208" s="11"/>
      <c r="L208" s="11"/>
      <c r="M208" s="11"/>
      <c r="N208" s="11"/>
      <c r="O208" s="76"/>
      <c r="P208" s="76">
        <v>0</v>
      </c>
      <c r="Q208" s="76"/>
      <c r="R208" s="76"/>
      <c r="S208" s="3"/>
      <c r="T208" s="1"/>
      <c r="U208" s="1"/>
      <c r="V208" s="1"/>
      <c r="W208" s="1"/>
      <c r="X208" s="2"/>
      <c r="Y208" s="1"/>
      <c r="Z208" s="1"/>
      <c r="AA208" s="11"/>
      <c r="AB208" s="11"/>
      <c r="AC208" s="1"/>
      <c r="AD208" s="1"/>
      <c r="AE208" s="1"/>
      <c r="AF208" s="1"/>
      <c r="AG208" s="1"/>
      <c r="AH208" s="1"/>
      <c r="AI208" s="76"/>
      <c r="AJ208" s="76"/>
      <c r="AK208" s="1"/>
      <c r="AL208" s="1"/>
      <c r="AM208" s="1"/>
      <c r="AN208" s="1"/>
      <c r="AO208" s="1"/>
      <c r="AP208" s="61"/>
      <c r="AQ208" s="61"/>
      <c r="AR208" s="76"/>
      <c r="AS208" s="76"/>
      <c r="AT208" s="69"/>
      <c r="AU208" s="77"/>
      <c r="AV208" s="61"/>
      <c r="AW208" s="70"/>
      <c r="AX208" s="70"/>
      <c r="AY208" s="71"/>
      <c r="AZ208" s="70"/>
      <c r="BA208" s="71"/>
      <c r="BB208" s="70"/>
      <c r="BC208" s="78"/>
      <c r="BD208" s="78"/>
      <c r="BE208" s="78">
        <f t="shared" si="85"/>
        <v>0</v>
      </c>
      <c r="BF208" t="str">
        <f t="shared" si="86"/>
        <v/>
      </c>
    </row>
    <row r="209" spans="1:63" ht="28.5" hidden="1" x14ac:dyDescent="0.25">
      <c r="A209" s="8" t="s">
        <v>2159</v>
      </c>
      <c r="B209" s="8"/>
      <c r="C209" s="8"/>
      <c r="D209" s="8"/>
      <c r="E209" s="8" t="s">
        <v>2136</v>
      </c>
      <c r="F209" s="8" t="s">
        <v>2160</v>
      </c>
      <c r="G209" s="8" t="s">
        <v>2159</v>
      </c>
      <c r="H209" s="8" t="s">
        <v>2133</v>
      </c>
      <c r="I209" s="12"/>
      <c r="J209" s="10"/>
      <c r="K209" s="11"/>
      <c r="L209" s="11"/>
      <c r="M209" s="11"/>
      <c r="N209" s="11"/>
      <c r="O209" s="76"/>
      <c r="P209" s="76">
        <v>0</v>
      </c>
      <c r="Q209" s="76"/>
      <c r="R209" s="76"/>
      <c r="S209" s="3"/>
      <c r="T209" s="1"/>
      <c r="U209" s="1"/>
      <c r="V209" s="1"/>
      <c r="W209" s="1"/>
      <c r="X209" s="2"/>
      <c r="Y209" s="1"/>
      <c r="Z209" s="1"/>
      <c r="AA209" s="11"/>
      <c r="AB209" s="11"/>
      <c r="AC209" s="1"/>
      <c r="AD209" s="1"/>
      <c r="AE209" s="1"/>
      <c r="AF209" s="1"/>
      <c r="AG209" s="1"/>
      <c r="AH209" s="1"/>
      <c r="AI209" s="76"/>
      <c r="AJ209" s="76"/>
      <c r="AK209" s="1"/>
      <c r="AL209" s="1"/>
      <c r="AM209" s="1"/>
      <c r="AN209" s="1"/>
      <c r="AO209" s="1"/>
      <c r="AP209" s="61"/>
      <c r="AQ209" s="61"/>
      <c r="AR209" s="76"/>
      <c r="AS209" s="76"/>
      <c r="AT209" s="69"/>
      <c r="AU209" s="77"/>
      <c r="AV209" s="61"/>
      <c r="AW209" s="70"/>
      <c r="AX209" s="70"/>
      <c r="AY209" s="71"/>
      <c r="AZ209" s="70"/>
      <c r="BA209" s="71"/>
      <c r="BB209" s="70"/>
      <c r="BC209" s="78"/>
      <c r="BD209" s="78"/>
      <c r="BE209" s="78">
        <f t="shared" si="85"/>
        <v>0</v>
      </c>
      <c r="BF209" t="str">
        <f t="shared" si="86"/>
        <v/>
      </c>
      <c r="BK209" s="103"/>
    </row>
    <row r="210" spans="1:63" ht="28.5" hidden="1" x14ac:dyDescent="0.25">
      <c r="A210" s="8" t="s">
        <v>2161</v>
      </c>
      <c r="B210" s="8"/>
      <c r="C210" s="8"/>
      <c r="D210" s="8"/>
      <c r="E210" s="8" t="s">
        <v>2136</v>
      </c>
      <c r="F210" s="8" t="s">
        <v>2162</v>
      </c>
      <c r="G210" s="8" t="s">
        <v>2161</v>
      </c>
      <c r="H210" s="8" t="s">
        <v>2133</v>
      </c>
      <c r="I210" s="12"/>
      <c r="J210" s="10"/>
      <c r="K210" s="11"/>
      <c r="L210" s="11"/>
      <c r="M210" s="11"/>
      <c r="N210" s="11"/>
      <c r="O210" s="76"/>
      <c r="P210" s="76">
        <v>0</v>
      </c>
      <c r="Q210" s="76"/>
      <c r="R210" s="76"/>
      <c r="S210" s="3"/>
      <c r="T210" s="1"/>
      <c r="U210" s="1"/>
      <c r="V210" s="1"/>
      <c r="W210" s="1"/>
      <c r="X210" s="2"/>
      <c r="Y210" s="1"/>
      <c r="Z210" s="1"/>
      <c r="AA210" s="11"/>
      <c r="AB210" s="11"/>
      <c r="AC210" s="1"/>
      <c r="AD210" s="1"/>
      <c r="AE210" s="1"/>
      <c r="AF210" s="1"/>
      <c r="AG210" s="1"/>
      <c r="AH210" s="1"/>
      <c r="AI210" s="76"/>
      <c r="AJ210" s="76"/>
      <c r="AK210" s="1"/>
      <c r="AL210" s="1"/>
      <c r="AM210" s="1"/>
      <c r="AN210" s="1"/>
      <c r="AO210" s="1"/>
      <c r="AP210" s="61"/>
      <c r="AQ210" s="61"/>
      <c r="AR210" s="76"/>
      <c r="AS210" s="76"/>
      <c r="AT210" s="69"/>
      <c r="AU210" s="77"/>
      <c r="AV210" s="61"/>
      <c r="AW210" s="70"/>
      <c r="AX210" s="70"/>
      <c r="AY210" s="71"/>
      <c r="AZ210" s="70"/>
      <c r="BA210" s="71"/>
      <c r="BB210" s="70"/>
      <c r="BC210" s="78"/>
      <c r="BD210" s="78"/>
      <c r="BE210" s="78">
        <f t="shared" si="85"/>
        <v>0</v>
      </c>
      <c r="BF210" t="str">
        <f t="shared" si="86"/>
        <v/>
      </c>
      <c r="BK210" s="103"/>
    </row>
    <row r="211" spans="1:63" ht="28.5" hidden="1" x14ac:dyDescent="0.25">
      <c r="A211" s="8" t="s">
        <v>2163</v>
      </c>
      <c r="B211" s="8"/>
      <c r="C211" s="8"/>
      <c r="D211" s="8"/>
      <c r="E211" s="8" t="s">
        <v>2136</v>
      </c>
      <c r="F211" s="8" t="s">
        <v>2164</v>
      </c>
      <c r="G211" s="8" t="s">
        <v>2163</v>
      </c>
      <c r="H211" s="8" t="s">
        <v>2133</v>
      </c>
      <c r="I211" s="12"/>
      <c r="J211" s="10"/>
      <c r="K211" s="11"/>
      <c r="L211" s="11"/>
      <c r="M211" s="11"/>
      <c r="N211" s="11"/>
      <c r="O211" s="76"/>
      <c r="P211" s="76">
        <v>0</v>
      </c>
      <c r="Q211" s="76"/>
      <c r="R211" s="76"/>
      <c r="S211" s="3"/>
      <c r="T211" s="1"/>
      <c r="U211" s="1"/>
      <c r="V211" s="1"/>
      <c r="W211" s="1"/>
      <c r="X211" s="2"/>
      <c r="Y211" s="1"/>
      <c r="Z211" s="1"/>
      <c r="AA211" s="11"/>
      <c r="AB211" s="11"/>
      <c r="AC211" s="1"/>
      <c r="AD211" s="1"/>
      <c r="AE211" s="1"/>
      <c r="AF211" s="1"/>
      <c r="AG211" s="1"/>
      <c r="AH211" s="1"/>
      <c r="AI211" s="76"/>
      <c r="AJ211" s="76"/>
      <c r="AK211" s="1"/>
      <c r="AL211" s="1"/>
      <c r="AM211" s="1"/>
      <c r="AN211" s="1"/>
      <c r="AO211" s="1"/>
      <c r="AP211" s="61"/>
      <c r="AQ211" s="61"/>
      <c r="AR211" s="76"/>
      <c r="AS211" s="76"/>
      <c r="AT211" s="69"/>
      <c r="AU211" s="77"/>
      <c r="AV211" s="61"/>
      <c r="AW211" s="70"/>
      <c r="AX211" s="70"/>
      <c r="AY211" s="71"/>
      <c r="AZ211" s="70"/>
      <c r="BA211" s="71"/>
      <c r="BB211" s="70"/>
      <c r="BC211" s="78"/>
      <c r="BD211" s="78"/>
      <c r="BE211" s="78">
        <f t="shared" si="85"/>
        <v>0</v>
      </c>
      <c r="BF211" t="str">
        <f t="shared" si="86"/>
        <v/>
      </c>
      <c r="BK211" s="103"/>
    </row>
    <row r="212" spans="1:63" ht="15.75" hidden="1" x14ac:dyDescent="0.25">
      <c r="A212" s="8" t="s">
        <v>2165</v>
      </c>
      <c r="B212" s="8"/>
      <c r="C212" s="8"/>
      <c r="D212" s="8"/>
      <c r="E212" s="8" t="s">
        <v>2166</v>
      </c>
      <c r="F212" s="8" t="s">
        <v>2167</v>
      </c>
      <c r="G212" s="8" t="s">
        <v>2165</v>
      </c>
      <c r="H212" s="8" t="s">
        <v>2133</v>
      </c>
      <c r="I212" s="12"/>
      <c r="J212" s="10"/>
      <c r="K212" s="11"/>
      <c r="L212" s="11"/>
      <c r="M212" s="11"/>
      <c r="N212" s="11"/>
      <c r="O212" s="76"/>
      <c r="P212" s="76">
        <v>0</v>
      </c>
      <c r="Q212" s="76"/>
      <c r="R212" s="76"/>
      <c r="S212" s="3"/>
      <c r="T212" s="1"/>
      <c r="U212" s="1"/>
      <c r="V212" s="1"/>
      <c r="W212" s="1"/>
      <c r="X212" s="2"/>
      <c r="Y212" s="1"/>
      <c r="Z212" s="1"/>
      <c r="AA212" s="11"/>
      <c r="AB212" s="11"/>
      <c r="AC212" s="1"/>
      <c r="AD212" s="1"/>
      <c r="AE212" s="1"/>
      <c r="AF212" s="1"/>
      <c r="AG212" s="1"/>
      <c r="AH212" s="1"/>
      <c r="AI212" s="76"/>
      <c r="AJ212" s="76"/>
      <c r="AK212" s="1"/>
      <c r="AL212" s="1"/>
      <c r="AM212" s="1"/>
      <c r="AN212" s="1"/>
      <c r="AO212" s="1"/>
      <c r="AP212" s="61"/>
      <c r="AQ212" s="61"/>
      <c r="AR212" s="76"/>
      <c r="AS212" s="76"/>
      <c r="AT212" s="69"/>
      <c r="AU212" s="77"/>
      <c r="AV212" s="61"/>
      <c r="AW212" s="70"/>
      <c r="AX212" s="70"/>
      <c r="AY212" s="71"/>
      <c r="AZ212" s="70"/>
      <c r="BA212" s="71"/>
      <c r="BB212" s="70"/>
      <c r="BC212" s="78"/>
      <c r="BD212" s="78"/>
      <c r="BE212" s="78">
        <f t="shared" si="85"/>
        <v>0</v>
      </c>
      <c r="BF212" t="str">
        <f t="shared" si="86"/>
        <v/>
      </c>
      <c r="BK212" s="103"/>
    </row>
    <row r="213" spans="1:63" ht="15.75" hidden="1" x14ac:dyDescent="0.25">
      <c r="A213" s="8" t="s">
        <v>2168</v>
      </c>
      <c r="B213" s="8"/>
      <c r="C213" s="8"/>
      <c r="D213" s="8"/>
      <c r="E213" s="8" t="s">
        <v>2166</v>
      </c>
      <c r="F213" s="8" t="s">
        <v>2169</v>
      </c>
      <c r="G213" s="8" t="s">
        <v>2168</v>
      </c>
      <c r="H213" s="8" t="s">
        <v>2133</v>
      </c>
      <c r="I213" s="12"/>
      <c r="J213" s="10"/>
      <c r="K213" s="11"/>
      <c r="L213" s="11"/>
      <c r="M213" s="11"/>
      <c r="N213" s="11"/>
      <c r="O213" s="76"/>
      <c r="P213" s="76">
        <v>0</v>
      </c>
      <c r="Q213" s="76"/>
      <c r="R213" s="76"/>
      <c r="S213" s="3"/>
      <c r="T213" s="1"/>
      <c r="U213" s="1"/>
      <c r="V213" s="1"/>
      <c r="W213" s="1"/>
      <c r="X213" s="2"/>
      <c r="Y213" s="1"/>
      <c r="Z213" s="1"/>
      <c r="AA213" s="11"/>
      <c r="AB213" s="11"/>
      <c r="AC213" s="1"/>
      <c r="AD213" s="1"/>
      <c r="AE213" s="1"/>
      <c r="AF213" s="1"/>
      <c r="AG213" s="1"/>
      <c r="AH213" s="1"/>
      <c r="AI213" s="76"/>
      <c r="AJ213" s="76"/>
      <c r="AK213" s="1"/>
      <c r="AL213" s="1"/>
      <c r="AM213" s="1"/>
      <c r="AN213" s="1"/>
      <c r="AO213" s="1"/>
      <c r="AP213" s="61"/>
      <c r="AQ213" s="61"/>
      <c r="AR213" s="76"/>
      <c r="AS213" s="76"/>
      <c r="AT213" s="69"/>
      <c r="AU213" s="77"/>
      <c r="AV213" s="61"/>
      <c r="AW213" s="70"/>
      <c r="AX213" s="70"/>
      <c r="AY213" s="71"/>
      <c r="AZ213" s="70"/>
      <c r="BA213" s="71"/>
      <c r="BB213" s="70"/>
      <c r="BC213" s="78"/>
      <c r="BD213" s="78"/>
      <c r="BE213" s="78">
        <f t="shared" si="85"/>
        <v>0</v>
      </c>
      <c r="BF213" t="str">
        <f t="shared" si="86"/>
        <v/>
      </c>
      <c r="BK213" s="103"/>
    </row>
    <row r="214" spans="1:63" ht="15.75" hidden="1" x14ac:dyDescent="0.25">
      <c r="A214" s="8" t="s">
        <v>2170</v>
      </c>
      <c r="B214" s="8"/>
      <c r="C214" s="8"/>
      <c r="D214" s="8"/>
      <c r="E214" s="8" t="s">
        <v>2171</v>
      </c>
      <c r="F214" s="8" t="s">
        <v>2172</v>
      </c>
      <c r="G214" s="8" t="s">
        <v>2170</v>
      </c>
      <c r="H214" s="8" t="s">
        <v>2133</v>
      </c>
      <c r="I214" s="12"/>
      <c r="J214" s="10"/>
      <c r="K214" s="11"/>
      <c r="L214" s="11"/>
      <c r="M214" s="11"/>
      <c r="N214" s="11"/>
      <c r="O214" s="76"/>
      <c r="P214" s="76">
        <v>0</v>
      </c>
      <c r="Q214" s="76"/>
      <c r="R214" s="76"/>
      <c r="S214" s="3"/>
      <c r="T214" s="1"/>
      <c r="U214" s="1"/>
      <c r="V214" s="1"/>
      <c r="W214" s="1"/>
      <c r="X214" s="2"/>
      <c r="Y214" s="1"/>
      <c r="Z214" s="1"/>
      <c r="AA214" s="11"/>
      <c r="AB214" s="11"/>
      <c r="AC214" s="1"/>
      <c r="AD214" s="1"/>
      <c r="AE214" s="1"/>
      <c r="AF214" s="1"/>
      <c r="AG214" s="1"/>
      <c r="AH214" s="1"/>
      <c r="AI214" s="76"/>
      <c r="AJ214" s="76"/>
      <c r="AK214" s="1"/>
      <c r="AL214" s="1"/>
      <c r="AM214" s="1"/>
      <c r="AN214" s="1"/>
      <c r="AO214" s="1"/>
      <c r="AP214" s="61"/>
      <c r="AQ214" s="61"/>
      <c r="AR214" s="76"/>
      <c r="AS214" s="76"/>
      <c r="AT214" s="69"/>
      <c r="AU214" s="77"/>
      <c r="AV214" s="61"/>
      <c r="AW214" s="70"/>
      <c r="AX214" s="70"/>
      <c r="AY214" s="71"/>
      <c r="AZ214" s="70"/>
      <c r="BA214" s="71"/>
      <c r="BB214" s="70"/>
      <c r="BC214" s="78"/>
      <c r="BD214" s="78"/>
      <c r="BE214" s="78">
        <f t="shared" si="85"/>
        <v>0</v>
      </c>
      <c r="BF214" t="str">
        <f t="shared" si="86"/>
        <v/>
      </c>
      <c r="BK214" s="103"/>
    </row>
    <row r="215" spans="1:63" ht="15.75" hidden="1" x14ac:dyDescent="0.25">
      <c r="A215" s="8"/>
      <c r="B215" s="8"/>
      <c r="C215" s="8"/>
      <c r="D215" s="8"/>
      <c r="E215" s="8"/>
      <c r="F215" s="8"/>
      <c r="G215" s="8"/>
      <c r="H215" s="8"/>
      <c r="I215" s="12"/>
      <c r="J215" s="10"/>
      <c r="K215" s="11"/>
      <c r="L215" s="11"/>
      <c r="M215" s="11"/>
      <c r="N215" s="11"/>
      <c r="O215" s="76"/>
      <c r="P215" s="76"/>
      <c r="Q215" s="76"/>
      <c r="R215" s="76"/>
      <c r="S215" s="3"/>
      <c r="T215" s="1"/>
      <c r="U215" s="1"/>
      <c r="V215" s="1"/>
      <c r="W215" s="1"/>
      <c r="X215" s="2"/>
      <c r="Y215" s="1"/>
      <c r="Z215" s="1"/>
      <c r="AA215" s="11"/>
      <c r="AB215" s="11"/>
      <c r="AC215" s="1"/>
      <c r="AD215" s="1"/>
      <c r="AE215" s="1"/>
      <c r="AF215" s="1"/>
      <c r="AG215" s="1"/>
      <c r="AH215" s="1"/>
      <c r="AI215" s="76"/>
      <c r="AJ215" s="76"/>
      <c r="AK215" s="1"/>
      <c r="AL215" s="1"/>
      <c r="AM215" s="1"/>
      <c r="AN215" s="1"/>
      <c r="AO215" s="1"/>
      <c r="AP215" s="61"/>
      <c r="AQ215" s="61"/>
      <c r="AR215" s="76"/>
      <c r="AS215" s="76"/>
      <c r="AT215" s="69"/>
      <c r="AU215" s="77"/>
      <c r="AV215" s="61"/>
      <c r="AW215" s="70"/>
      <c r="AX215" s="70"/>
      <c r="AY215" s="71"/>
      <c r="AZ215" s="70"/>
      <c r="BA215" s="71"/>
      <c r="BB215" s="70"/>
      <c r="BC215" s="78"/>
      <c r="BD215" s="78"/>
      <c r="BE215" s="78">
        <f t="shared" si="85"/>
        <v>0</v>
      </c>
      <c r="BF215" t="str">
        <f t="shared" si="86"/>
        <v/>
      </c>
      <c r="BK215" s="103"/>
    </row>
    <row r="216" spans="1:63" ht="15.75" hidden="1" x14ac:dyDescent="0.25">
      <c r="A216" s="8"/>
      <c r="B216" s="8"/>
      <c r="C216" s="8"/>
      <c r="D216" s="8"/>
      <c r="E216" s="8"/>
      <c r="F216" s="8"/>
      <c r="G216" s="8"/>
      <c r="H216" s="8"/>
      <c r="I216" s="12"/>
      <c r="J216" s="10"/>
      <c r="K216" s="11"/>
      <c r="L216" s="11"/>
      <c r="M216" s="11"/>
      <c r="N216" s="11"/>
      <c r="O216" s="76"/>
      <c r="P216" s="76"/>
      <c r="Q216" s="76"/>
      <c r="R216" s="76"/>
      <c r="S216" s="3"/>
      <c r="T216" s="1"/>
      <c r="U216" s="1"/>
      <c r="V216" s="1"/>
      <c r="W216" s="1"/>
      <c r="X216" s="2"/>
      <c r="Y216" s="1"/>
      <c r="Z216" s="1"/>
      <c r="AA216" s="11"/>
      <c r="AB216" s="11"/>
      <c r="AC216" s="1"/>
      <c r="AD216" s="1"/>
      <c r="AE216" s="1"/>
      <c r="AF216" s="1"/>
      <c r="AG216" s="1"/>
      <c r="AH216" s="1"/>
      <c r="AI216" s="76"/>
      <c r="AJ216" s="76"/>
      <c r="AK216" s="1"/>
      <c r="AL216" s="1"/>
      <c r="AM216" s="1"/>
      <c r="AN216" s="1"/>
      <c r="AO216" s="1"/>
      <c r="AP216" s="61"/>
      <c r="AQ216" s="61"/>
      <c r="AR216" s="76"/>
      <c r="AS216" s="76"/>
      <c r="AT216" s="69"/>
      <c r="AU216" s="77"/>
      <c r="AV216" s="61"/>
      <c r="AW216" s="70"/>
      <c r="AX216" s="70"/>
      <c r="AY216" s="71"/>
      <c r="AZ216" s="70"/>
      <c r="BA216" s="71"/>
      <c r="BB216" s="70"/>
      <c r="BC216" s="78"/>
      <c r="BD216" s="78"/>
      <c r="BE216" s="78">
        <f t="shared" si="85"/>
        <v>0</v>
      </c>
      <c r="BF216" t="str">
        <f t="shared" si="86"/>
        <v/>
      </c>
      <c r="BK216" s="103"/>
    </row>
    <row r="217" spans="1:63" ht="15.75" hidden="1" x14ac:dyDescent="0.25">
      <c r="A217" s="8"/>
      <c r="B217" s="8"/>
      <c r="C217" s="8"/>
      <c r="D217" s="8"/>
      <c r="E217" s="8"/>
      <c r="F217" s="8"/>
      <c r="G217" s="8"/>
      <c r="H217" s="8"/>
      <c r="I217" s="12"/>
      <c r="J217" s="10"/>
      <c r="K217" s="11"/>
      <c r="L217" s="11"/>
      <c r="M217" s="11"/>
      <c r="N217" s="11"/>
      <c r="O217" s="76"/>
      <c r="P217" s="76"/>
      <c r="Q217" s="76"/>
      <c r="R217" s="76"/>
      <c r="S217" s="3"/>
      <c r="T217" s="1"/>
      <c r="U217" s="1"/>
      <c r="V217" s="1"/>
      <c r="W217" s="1"/>
      <c r="X217" s="2"/>
      <c r="Y217" s="1"/>
      <c r="Z217" s="1"/>
      <c r="AA217" s="11"/>
      <c r="AB217" s="11"/>
      <c r="AC217" s="1"/>
      <c r="AD217" s="1"/>
      <c r="AE217" s="1"/>
      <c r="AF217" s="1"/>
      <c r="AG217" s="1"/>
      <c r="AH217" s="1"/>
      <c r="AI217" s="76"/>
      <c r="AJ217" s="76"/>
      <c r="AK217" s="1"/>
      <c r="AL217" s="1"/>
      <c r="AM217" s="1"/>
      <c r="AN217" s="1"/>
      <c r="AO217" s="1"/>
      <c r="AP217" s="61"/>
      <c r="AQ217" s="61"/>
      <c r="AR217" s="76"/>
      <c r="AS217" s="76"/>
      <c r="AT217" s="69"/>
      <c r="AU217" s="77"/>
      <c r="AV217" s="61"/>
      <c r="AW217" s="70"/>
      <c r="AX217" s="70"/>
      <c r="AY217" s="71"/>
      <c r="AZ217" s="70"/>
      <c r="BA217" s="71"/>
      <c r="BB217" s="70"/>
      <c r="BC217" s="78"/>
      <c r="BD217" s="78"/>
      <c r="BE217" s="78">
        <f t="shared" si="85"/>
        <v>0</v>
      </c>
      <c r="BF217" t="str">
        <f t="shared" si="86"/>
        <v/>
      </c>
      <c r="BK217" s="103"/>
    </row>
    <row r="218" spans="1:63" ht="15.75" hidden="1" x14ac:dyDescent="0.25">
      <c r="A218" s="8"/>
      <c r="B218" s="8"/>
      <c r="C218" s="8"/>
      <c r="D218" s="8"/>
      <c r="E218" s="8"/>
      <c r="F218" s="8"/>
      <c r="G218" s="8"/>
      <c r="H218" s="8"/>
      <c r="I218" s="12"/>
      <c r="J218" s="10"/>
      <c r="K218" s="11"/>
      <c r="L218" s="11"/>
      <c r="M218" s="11"/>
      <c r="N218" s="11"/>
      <c r="O218" s="76"/>
      <c r="P218" s="76"/>
      <c r="Q218" s="76"/>
      <c r="R218" s="76"/>
      <c r="S218" s="3"/>
      <c r="T218" s="1"/>
      <c r="U218" s="1"/>
      <c r="V218" s="1"/>
      <c r="W218" s="1"/>
      <c r="X218" s="2"/>
      <c r="Y218" s="1"/>
      <c r="Z218" s="1"/>
      <c r="AA218" s="11"/>
      <c r="AB218" s="11"/>
      <c r="AC218" s="1"/>
      <c r="AD218" s="1"/>
      <c r="AE218" s="1"/>
      <c r="AF218" s="1"/>
      <c r="AG218" s="1"/>
      <c r="AH218" s="1"/>
      <c r="AI218" s="76"/>
      <c r="AJ218" s="76"/>
      <c r="AK218" s="1"/>
      <c r="AL218" s="1"/>
      <c r="AM218" s="1"/>
      <c r="AN218" s="1"/>
      <c r="AO218" s="1"/>
      <c r="AP218" s="61"/>
      <c r="AQ218" s="61"/>
      <c r="AR218" s="76"/>
      <c r="AS218" s="76"/>
      <c r="AT218" s="69"/>
      <c r="AU218" s="77"/>
      <c r="AV218" s="61"/>
      <c r="AW218" s="70"/>
      <c r="AX218" s="70"/>
      <c r="AY218" s="71"/>
      <c r="AZ218" s="70"/>
      <c r="BA218" s="71"/>
      <c r="BB218" s="70"/>
      <c r="BC218" s="78"/>
      <c r="BD218" s="78"/>
      <c r="BE218" s="78">
        <f t="shared" si="85"/>
        <v>0</v>
      </c>
      <c r="BF218" t="str">
        <f t="shared" si="86"/>
        <v/>
      </c>
      <c r="BK218" s="103"/>
    </row>
    <row r="219" spans="1:63" ht="15.75" hidden="1" x14ac:dyDescent="0.25">
      <c r="A219" s="8"/>
      <c r="B219" s="8"/>
      <c r="C219" s="8"/>
      <c r="D219" s="8"/>
      <c r="E219" s="8"/>
      <c r="F219" s="8"/>
      <c r="G219" s="8"/>
      <c r="H219" s="8"/>
      <c r="I219" s="12"/>
      <c r="J219" s="10"/>
      <c r="K219" s="11"/>
      <c r="L219" s="11"/>
      <c r="M219" s="11"/>
      <c r="N219" s="11"/>
      <c r="O219" s="76"/>
      <c r="P219" s="76"/>
      <c r="Q219" s="76"/>
      <c r="R219" s="76"/>
      <c r="S219" s="3"/>
      <c r="T219" s="1"/>
      <c r="U219" s="1"/>
      <c r="V219" s="1"/>
      <c r="W219" s="1"/>
      <c r="X219" s="2"/>
      <c r="Y219" s="1"/>
      <c r="Z219" s="1"/>
      <c r="AA219" s="11"/>
      <c r="AB219" s="11"/>
      <c r="AC219" s="1"/>
      <c r="AD219" s="1"/>
      <c r="AE219" s="1"/>
      <c r="AF219" s="1"/>
      <c r="AG219" s="1"/>
      <c r="AH219" s="1"/>
      <c r="AI219" s="76"/>
      <c r="AJ219" s="76"/>
      <c r="AK219" s="1"/>
      <c r="AL219" s="1"/>
      <c r="AM219" s="1"/>
      <c r="AN219" s="1"/>
      <c r="AO219" s="1"/>
      <c r="AP219" s="61"/>
      <c r="AQ219" s="61"/>
      <c r="AR219" s="76"/>
      <c r="AS219" s="76"/>
      <c r="AT219" s="69"/>
      <c r="AU219" s="77"/>
      <c r="AV219" s="61"/>
      <c r="AW219" s="70"/>
      <c r="AX219" s="70"/>
      <c r="AY219" s="71"/>
      <c r="AZ219" s="70"/>
      <c r="BA219" s="71"/>
      <c r="BB219" s="70"/>
      <c r="BC219" s="78"/>
      <c r="BD219" s="78"/>
      <c r="BE219" s="78">
        <f t="shared" si="85"/>
        <v>0</v>
      </c>
      <c r="BF219" t="str">
        <f t="shared" si="86"/>
        <v/>
      </c>
      <c r="BK219" s="103"/>
    </row>
    <row r="220" spans="1:63" ht="15.75" hidden="1" x14ac:dyDescent="0.25">
      <c r="A220" s="8"/>
      <c r="B220" s="8"/>
      <c r="C220" s="8"/>
      <c r="D220" s="8"/>
      <c r="E220" s="8"/>
      <c r="F220" s="8"/>
      <c r="G220" s="8"/>
      <c r="H220" s="8"/>
      <c r="I220" s="12"/>
      <c r="J220" s="10"/>
      <c r="K220" s="11"/>
      <c r="L220" s="11"/>
      <c r="M220" s="11"/>
      <c r="N220" s="11"/>
      <c r="O220" s="76"/>
      <c r="P220" s="76"/>
      <c r="Q220" s="76"/>
      <c r="R220" s="76"/>
      <c r="S220" s="3"/>
      <c r="T220" s="1"/>
      <c r="U220" s="1"/>
      <c r="V220" s="1"/>
      <c r="W220" s="1"/>
      <c r="X220" s="2"/>
      <c r="Y220" s="1"/>
      <c r="Z220" s="1"/>
      <c r="AA220" s="11"/>
      <c r="AB220" s="11"/>
      <c r="AC220" s="1"/>
      <c r="AD220" s="1"/>
      <c r="AE220" s="1"/>
      <c r="AF220" s="1"/>
      <c r="AG220" s="1"/>
      <c r="AH220" s="1"/>
      <c r="AI220" s="76"/>
      <c r="AJ220" s="76"/>
      <c r="AK220" s="1"/>
      <c r="AL220" s="1"/>
      <c r="AM220" s="1"/>
      <c r="AN220" s="1"/>
      <c r="AO220" s="1"/>
      <c r="AP220" s="61"/>
      <c r="AQ220" s="61"/>
      <c r="AR220" s="76"/>
      <c r="AS220" s="76"/>
      <c r="AT220" s="69"/>
      <c r="AU220" s="77"/>
      <c r="AV220" s="61"/>
      <c r="AW220" s="70"/>
      <c r="AX220" s="70"/>
      <c r="AY220" s="71"/>
      <c r="AZ220" s="70"/>
      <c r="BA220" s="71"/>
      <c r="BB220" s="70"/>
      <c r="BC220" s="78"/>
      <c r="BD220" s="78"/>
      <c r="BE220" s="78">
        <f t="shared" si="85"/>
        <v>0</v>
      </c>
      <c r="BF220" t="str">
        <f t="shared" si="86"/>
        <v/>
      </c>
      <c r="BK220" s="103"/>
    </row>
    <row r="221" spans="1:63" ht="15.75" hidden="1" x14ac:dyDescent="0.25">
      <c r="A221" s="8"/>
      <c r="B221" s="8"/>
      <c r="C221" s="8"/>
      <c r="D221" s="8"/>
      <c r="E221" s="8"/>
      <c r="F221" s="8"/>
      <c r="G221" s="8"/>
      <c r="H221" s="8"/>
      <c r="I221" s="12"/>
      <c r="J221" s="10"/>
      <c r="K221" s="11"/>
      <c r="L221" s="11"/>
      <c r="M221" s="11"/>
      <c r="N221" s="11"/>
      <c r="O221" s="76"/>
      <c r="P221" s="76"/>
      <c r="Q221" s="76"/>
      <c r="R221" s="76"/>
      <c r="S221" s="3"/>
      <c r="T221" s="1"/>
      <c r="U221" s="1"/>
      <c r="V221" s="1"/>
      <c r="W221" s="1"/>
      <c r="X221" s="2"/>
      <c r="Y221" s="1"/>
      <c r="Z221" s="1"/>
      <c r="AA221" s="11"/>
      <c r="AB221" s="11"/>
      <c r="AC221" s="1"/>
      <c r="AD221" s="1"/>
      <c r="AE221" s="1"/>
      <c r="AF221" s="1"/>
      <c r="AG221" s="1"/>
      <c r="AH221" s="1"/>
      <c r="AI221" s="76"/>
      <c r="AJ221" s="76"/>
      <c r="AK221" s="1"/>
      <c r="AL221" s="1"/>
      <c r="AM221" s="1"/>
      <c r="AN221" s="1"/>
      <c r="AO221" s="1"/>
      <c r="AP221" s="61"/>
      <c r="AQ221" s="61"/>
      <c r="AR221" s="76"/>
      <c r="AS221" s="76"/>
      <c r="AT221" s="69"/>
      <c r="AU221" s="77"/>
      <c r="AV221" s="61"/>
      <c r="AW221" s="70"/>
      <c r="AX221" s="70"/>
      <c r="AY221" s="71"/>
      <c r="AZ221" s="70"/>
      <c r="BA221" s="71"/>
      <c r="BB221" s="70"/>
      <c r="BC221" s="78"/>
      <c r="BD221" s="78"/>
      <c r="BE221" s="78">
        <f t="shared" si="85"/>
        <v>0</v>
      </c>
      <c r="BF221" t="str">
        <f t="shared" si="86"/>
        <v/>
      </c>
    </row>
    <row r="222" spans="1:63" ht="15.75" hidden="1" x14ac:dyDescent="0.25">
      <c r="A222" s="8"/>
      <c r="B222" s="8"/>
      <c r="C222" s="8"/>
      <c r="D222" s="8"/>
      <c r="E222" s="8"/>
      <c r="F222" s="8"/>
      <c r="G222" s="8"/>
      <c r="H222" s="8"/>
      <c r="I222" s="12"/>
      <c r="J222" s="10"/>
      <c r="K222" s="11"/>
      <c r="L222" s="11"/>
      <c r="M222" s="11"/>
      <c r="N222" s="11"/>
      <c r="O222" s="76"/>
      <c r="P222" s="76"/>
      <c r="Q222" s="76"/>
      <c r="R222" s="76"/>
      <c r="S222" s="3"/>
      <c r="T222" s="1"/>
      <c r="U222" s="1"/>
      <c r="V222" s="1"/>
      <c r="W222" s="1"/>
      <c r="X222" s="2"/>
      <c r="Y222" s="1"/>
      <c r="Z222" s="1"/>
      <c r="AA222" s="11"/>
      <c r="AB222" s="11"/>
      <c r="AC222" s="1"/>
      <c r="AD222" s="1"/>
      <c r="AE222" s="1"/>
      <c r="AF222" s="1"/>
      <c r="AG222" s="1"/>
      <c r="AH222" s="1"/>
      <c r="AI222" s="76"/>
      <c r="AJ222" s="76"/>
      <c r="AK222" s="1"/>
      <c r="AL222" s="1"/>
      <c r="AM222" s="1"/>
      <c r="AN222" s="1"/>
      <c r="AO222" s="1"/>
      <c r="AP222" s="61"/>
      <c r="AQ222" s="61"/>
      <c r="AR222" s="76"/>
      <c r="AS222" s="76"/>
      <c r="AT222" s="69"/>
      <c r="AU222" s="77"/>
      <c r="AV222" s="61"/>
      <c r="AW222" s="70"/>
      <c r="AX222" s="70"/>
      <c r="AY222" s="71"/>
      <c r="AZ222" s="70"/>
      <c r="BA222" s="71"/>
      <c r="BB222" s="70"/>
      <c r="BC222" s="78"/>
      <c r="BD222" s="78"/>
      <c r="BE222" s="78">
        <f t="shared" si="85"/>
        <v>0</v>
      </c>
      <c r="BF222" t="str">
        <f t="shared" si="86"/>
        <v/>
      </c>
    </row>
    <row r="223" spans="1:63" ht="15.75" hidden="1" x14ac:dyDescent="0.25">
      <c r="A223" s="8"/>
      <c r="B223" s="8"/>
      <c r="C223" s="8"/>
      <c r="D223" s="8"/>
      <c r="E223" s="8"/>
      <c r="F223" s="8"/>
      <c r="G223" s="8"/>
      <c r="H223" s="8"/>
      <c r="I223" s="12"/>
      <c r="J223" s="10"/>
      <c r="K223" s="11"/>
      <c r="L223" s="11"/>
      <c r="M223" s="11"/>
      <c r="N223" s="11"/>
      <c r="O223" s="76"/>
      <c r="P223" s="76"/>
      <c r="Q223" s="76"/>
      <c r="R223" s="76"/>
      <c r="S223" s="3"/>
      <c r="T223" s="1"/>
      <c r="U223" s="1"/>
      <c r="V223" s="1"/>
      <c r="W223" s="1"/>
      <c r="X223" s="2"/>
      <c r="Y223" s="1"/>
      <c r="Z223" s="1"/>
      <c r="AA223" s="11"/>
      <c r="AB223" s="11"/>
      <c r="AC223" s="1"/>
      <c r="AD223" s="1"/>
      <c r="AE223" s="1"/>
      <c r="AF223" s="1"/>
      <c r="AG223" s="1"/>
      <c r="AH223" s="1"/>
      <c r="AI223" s="76"/>
      <c r="AJ223" s="76"/>
      <c r="AK223" s="1"/>
      <c r="AL223" s="1"/>
      <c r="AM223" s="1"/>
      <c r="AN223" s="1"/>
      <c r="AO223" s="1"/>
      <c r="AP223" s="61"/>
      <c r="AQ223" s="61"/>
      <c r="AR223" s="76"/>
      <c r="AS223" s="76"/>
      <c r="AT223" s="69"/>
      <c r="AU223" s="77"/>
      <c r="AV223" s="61"/>
      <c r="AW223" s="70"/>
      <c r="AX223" s="70"/>
      <c r="AY223" s="71"/>
      <c r="AZ223" s="70"/>
      <c r="BA223" s="71"/>
      <c r="BB223" s="70"/>
      <c r="BC223" s="78"/>
      <c r="BD223" s="78"/>
      <c r="BE223" s="78">
        <f t="shared" si="85"/>
        <v>0</v>
      </c>
      <c r="BF223" t="str">
        <f t="shared" si="86"/>
        <v/>
      </c>
    </row>
    <row r="224" spans="1:63" ht="15.75" hidden="1" x14ac:dyDescent="0.25">
      <c r="A224" s="8"/>
      <c r="B224" s="8"/>
      <c r="C224" s="8"/>
      <c r="D224" s="8"/>
      <c r="E224" s="8"/>
      <c r="F224" s="8"/>
      <c r="G224" s="8"/>
      <c r="H224" s="8"/>
      <c r="I224" s="12"/>
      <c r="J224" s="10"/>
      <c r="K224" s="11"/>
      <c r="L224" s="11"/>
      <c r="M224" s="11"/>
      <c r="N224" s="11"/>
      <c r="O224" s="76"/>
      <c r="P224" s="76"/>
      <c r="Q224" s="76"/>
      <c r="R224" s="76"/>
      <c r="S224" s="3"/>
      <c r="T224" s="1"/>
      <c r="U224" s="1"/>
      <c r="V224" s="1"/>
      <c r="W224" s="1"/>
      <c r="X224" s="2"/>
      <c r="Y224" s="1"/>
      <c r="Z224" s="1"/>
      <c r="AA224" s="11"/>
      <c r="AB224" s="11"/>
      <c r="AC224" s="1"/>
      <c r="AD224" s="1"/>
      <c r="AE224" s="1"/>
      <c r="AF224" s="1"/>
      <c r="AG224" s="1"/>
      <c r="AH224" s="1"/>
      <c r="AI224" s="76"/>
      <c r="AJ224" s="76"/>
      <c r="AK224" s="1"/>
      <c r="AL224" s="1"/>
      <c r="AM224" s="1"/>
      <c r="AN224" s="1"/>
      <c r="AO224" s="1"/>
      <c r="AP224" s="61"/>
      <c r="AQ224" s="61"/>
      <c r="AR224" s="76"/>
      <c r="AS224" s="76"/>
      <c r="AT224" s="69"/>
      <c r="AU224" s="77"/>
      <c r="AV224" s="61"/>
      <c r="AW224" s="70"/>
      <c r="AX224" s="70"/>
      <c r="AY224" s="71"/>
      <c r="AZ224" s="70"/>
      <c r="BA224" s="71"/>
      <c r="BB224" s="70"/>
      <c r="BC224" s="78"/>
      <c r="BD224" s="78"/>
      <c r="BE224" s="78">
        <f t="shared" si="85"/>
        <v>0</v>
      </c>
      <c r="BF224" t="str">
        <f t="shared" si="86"/>
        <v/>
      </c>
    </row>
    <row r="225" spans="1:63" ht="15.75" hidden="1" x14ac:dyDescent="0.25">
      <c r="A225" s="8"/>
      <c r="B225" s="8"/>
      <c r="C225" s="8"/>
      <c r="D225" s="8"/>
      <c r="E225" s="8"/>
      <c r="F225" s="8"/>
      <c r="G225" s="8"/>
      <c r="H225" s="8"/>
      <c r="I225" s="12"/>
      <c r="J225" s="10"/>
      <c r="K225" s="11"/>
      <c r="L225" s="11"/>
      <c r="M225" s="11"/>
      <c r="N225" s="11"/>
      <c r="O225" s="76"/>
      <c r="P225" s="76"/>
      <c r="Q225" s="76"/>
      <c r="R225" s="76"/>
      <c r="S225" s="3"/>
      <c r="T225" s="1"/>
      <c r="U225" s="1"/>
      <c r="V225" s="1"/>
      <c r="W225" s="1"/>
      <c r="X225" s="2"/>
      <c r="Y225" s="1"/>
      <c r="Z225" s="1"/>
      <c r="AA225" s="11"/>
      <c r="AB225" s="11"/>
      <c r="AC225" s="1"/>
      <c r="AD225" s="1"/>
      <c r="AE225" s="1"/>
      <c r="AF225" s="1"/>
      <c r="AG225" s="1"/>
      <c r="AH225" s="1"/>
      <c r="AI225" s="76"/>
      <c r="AJ225" s="76"/>
      <c r="AK225" s="1"/>
      <c r="AL225" s="1"/>
      <c r="AM225" s="1"/>
      <c r="AN225" s="1"/>
      <c r="AO225" s="1"/>
      <c r="AP225" s="61"/>
      <c r="AQ225" s="61"/>
      <c r="AR225" s="76"/>
      <c r="AS225" s="76"/>
      <c r="AT225" s="69"/>
      <c r="AU225" s="77"/>
      <c r="AV225" s="61"/>
      <c r="AW225" s="70"/>
      <c r="AX225" s="70"/>
      <c r="AY225" s="71"/>
      <c r="AZ225" s="70"/>
      <c r="BA225" s="71"/>
      <c r="BB225" s="70"/>
      <c r="BC225" s="78"/>
      <c r="BD225" s="78"/>
      <c r="BE225" s="78">
        <f t="shared" si="85"/>
        <v>0</v>
      </c>
      <c r="BF225" t="str">
        <f t="shared" si="86"/>
        <v/>
      </c>
      <c r="BK225" s="103"/>
    </row>
    <row r="226" spans="1:63" ht="15.75" hidden="1" x14ac:dyDescent="0.25">
      <c r="A226" s="8"/>
      <c r="B226" s="8"/>
      <c r="C226" s="8"/>
      <c r="D226" s="8"/>
      <c r="E226" s="8"/>
      <c r="F226" s="8"/>
      <c r="G226" s="8"/>
      <c r="H226" s="8"/>
      <c r="I226" s="12"/>
      <c r="J226" s="10"/>
      <c r="K226" s="11"/>
      <c r="L226" s="11"/>
      <c r="M226" s="11"/>
      <c r="N226" s="11"/>
      <c r="O226" s="76"/>
      <c r="P226" s="76"/>
      <c r="Q226" s="76"/>
      <c r="R226" s="76"/>
      <c r="S226" s="3"/>
      <c r="T226" s="1"/>
      <c r="U226" s="1"/>
      <c r="V226" s="1"/>
      <c r="W226" s="1"/>
      <c r="X226" s="2"/>
      <c r="Y226" s="1"/>
      <c r="Z226" s="1"/>
      <c r="AA226" s="11"/>
      <c r="AB226" s="11"/>
      <c r="AC226" s="1"/>
      <c r="AD226" s="1"/>
      <c r="AE226" s="1"/>
      <c r="AF226" s="1"/>
      <c r="AG226" s="1"/>
      <c r="AH226" s="1"/>
      <c r="AI226" s="76"/>
      <c r="AJ226" s="76"/>
      <c r="AK226" s="1"/>
      <c r="AL226" s="1"/>
      <c r="AM226" s="1"/>
      <c r="AN226" s="1"/>
      <c r="AO226" s="1"/>
      <c r="AP226" s="61"/>
      <c r="AQ226" s="61"/>
      <c r="AR226" s="76"/>
      <c r="AS226" s="76"/>
      <c r="AT226" s="69"/>
      <c r="AU226" s="77"/>
      <c r="AV226" s="61"/>
      <c r="AW226" s="70"/>
      <c r="AX226" s="70"/>
      <c r="AY226" s="71"/>
      <c r="AZ226" s="70"/>
      <c r="BA226" s="71"/>
      <c r="BB226" s="70"/>
      <c r="BC226" s="78"/>
      <c r="BD226" s="78"/>
      <c r="BE226" s="78">
        <f t="shared" si="85"/>
        <v>0</v>
      </c>
      <c r="BF226" t="str">
        <f t="shared" si="86"/>
        <v/>
      </c>
      <c r="BK226" s="103"/>
    </row>
    <row r="227" spans="1:63" ht="15.75" hidden="1" x14ac:dyDescent="0.25">
      <c r="A227" s="8"/>
      <c r="B227" s="8"/>
      <c r="C227" s="8"/>
      <c r="D227" s="8"/>
      <c r="E227" s="8"/>
      <c r="F227" s="8"/>
      <c r="G227" s="8"/>
      <c r="H227" s="8"/>
      <c r="I227" s="12"/>
      <c r="J227" s="10"/>
      <c r="K227" s="11"/>
      <c r="L227" s="11"/>
      <c r="M227" s="11"/>
      <c r="N227" s="11"/>
      <c r="O227" s="76"/>
      <c r="P227" s="76"/>
      <c r="Q227" s="76"/>
      <c r="R227" s="76"/>
      <c r="S227" s="3"/>
      <c r="T227" s="1"/>
      <c r="U227" s="1"/>
      <c r="V227" s="1"/>
      <c r="W227" s="1"/>
      <c r="X227" s="2"/>
      <c r="Y227" s="1"/>
      <c r="Z227" s="1"/>
      <c r="AA227" s="11"/>
      <c r="AB227" s="11"/>
      <c r="AC227" s="1"/>
      <c r="AD227" s="1"/>
      <c r="AE227" s="1"/>
      <c r="AF227" s="1"/>
      <c r="AG227" s="1"/>
      <c r="AH227" s="1"/>
      <c r="AI227" s="76"/>
      <c r="AJ227" s="76"/>
      <c r="AK227" s="1"/>
      <c r="AL227" s="1"/>
      <c r="AM227" s="1"/>
      <c r="AN227" s="1"/>
      <c r="AO227" s="1"/>
      <c r="AP227" s="61"/>
      <c r="AQ227" s="61"/>
      <c r="AR227" s="76"/>
      <c r="AS227" s="76"/>
      <c r="AT227" s="69"/>
      <c r="AU227" s="77"/>
      <c r="AV227" s="61"/>
      <c r="AW227" s="70"/>
      <c r="AX227" s="70"/>
      <c r="AY227" s="71"/>
      <c r="AZ227" s="70"/>
      <c r="BA227" s="71"/>
      <c r="BB227" s="70"/>
      <c r="BC227" s="78"/>
      <c r="BD227" s="78"/>
      <c r="BE227" s="78">
        <f t="shared" si="85"/>
        <v>0</v>
      </c>
      <c r="BF227" t="str">
        <f t="shared" si="86"/>
        <v/>
      </c>
      <c r="BK227" s="103"/>
    </row>
    <row r="228" spans="1:63" ht="15.75" hidden="1" x14ac:dyDescent="0.25">
      <c r="A228" s="8"/>
      <c r="B228" s="8"/>
      <c r="C228" s="8"/>
      <c r="D228" s="8"/>
      <c r="E228" s="8"/>
      <c r="F228" s="8"/>
      <c r="G228" s="8"/>
      <c r="H228" s="8"/>
      <c r="I228" s="12"/>
      <c r="J228" s="10"/>
      <c r="K228" s="11"/>
      <c r="L228" s="11"/>
      <c r="M228" s="11"/>
      <c r="N228" s="11"/>
      <c r="O228" s="76"/>
      <c r="P228" s="76"/>
      <c r="Q228" s="76"/>
      <c r="R228" s="76"/>
      <c r="S228" s="3"/>
      <c r="T228" s="1"/>
      <c r="U228" s="1"/>
      <c r="V228" s="1"/>
      <c r="W228" s="1"/>
      <c r="X228" s="2"/>
      <c r="Y228" s="1"/>
      <c r="Z228" s="1"/>
      <c r="AA228" s="11"/>
      <c r="AB228" s="11"/>
      <c r="AC228" s="1"/>
      <c r="AD228" s="1"/>
      <c r="AE228" s="1"/>
      <c r="AF228" s="1"/>
      <c r="AG228" s="1"/>
      <c r="AH228" s="1"/>
      <c r="AI228" s="76"/>
      <c r="AJ228" s="76"/>
      <c r="AK228" s="1"/>
      <c r="AL228" s="1"/>
      <c r="AM228" s="1"/>
      <c r="AN228" s="1"/>
      <c r="AO228" s="1"/>
      <c r="AP228" s="61"/>
      <c r="AQ228" s="61"/>
      <c r="AR228" s="76"/>
      <c r="AS228" s="76"/>
      <c r="AT228" s="69"/>
      <c r="AU228" s="77"/>
      <c r="AV228" s="61"/>
      <c r="AW228" s="70"/>
      <c r="AX228" s="70"/>
      <c r="AY228" s="71"/>
      <c r="AZ228" s="70"/>
      <c r="BA228" s="71"/>
      <c r="BB228" s="70"/>
      <c r="BC228" s="78"/>
      <c r="BD228" s="78"/>
      <c r="BE228" s="78">
        <f t="shared" si="85"/>
        <v>0</v>
      </c>
      <c r="BF228" t="str">
        <f t="shared" si="86"/>
        <v/>
      </c>
      <c r="BK228" s="103"/>
    </row>
    <row r="229" spans="1:63" ht="10.9" hidden="1" customHeight="1" x14ac:dyDescent="0.25">
      <c r="A229" s="8"/>
      <c r="B229" s="8"/>
      <c r="C229" s="8"/>
      <c r="D229" s="8"/>
      <c r="E229" s="8"/>
      <c r="F229" s="8"/>
      <c r="G229" s="8"/>
      <c r="H229" s="8"/>
      <c r="I229" s="12"/>
      <c r="J229" s="10"/>
      <c r="K229" s="11"/>
      <c r="L229" s="11"/>
      <c r="M229" s="11"/>
      <c r="N229" s="11"/>
      <c r="O229" s="76"/>
      <c r="P229" s="76"/>
      <c r="Q229" s="76"/>
      <c r="R229" s="76"/>
      <c r="S229" s="3"/>
      <c r="T229" s="1"/>
      <c r="U229" s="1"/>
      <c r="V229" s="1"/>
      <c r="W229" s="1"/>
      <c r="X229" s="2"/>
      <c r="Y229" s="1"/>
      <c r="Z229" s="1"/>
      <c r="AA229" s="11"/>
      <c r="AB229" s="11"/>
      <c r="AC229" s="1"/>
      <c r="AD229" s="1"/>
      <c r="AE229" s="1"/>
      <c r="AF229" s="1"/>
      <c r="AG229" s="1"/>
      <c r="AH229" s="1"/>
      <c r="AI229" s="76"/>
      <c r="AJ229" s="76"/>
      <c r="AK229" s="1"/>
      <c r="AL229" s="1"/>
      <c r="AM229" s="1"/>
      <c r="AN229" s="1"/>
      <c r="AO229" s="1"/>
      <c r="AP229" s="61"/>
      <c r="AQ229" s="61"/>
      <c r="AR229" s="76"/>
      <c r="AS229" s="76"/>
      <c r="AT229" s="69"/>
      <c r="AU229" s="77"/>
      <c r="AV229" s="61"/>
      <c r="AW229" s="70"/>
      <c r="AX229" s="70"/>
      <c r="AY229" s="71"/>
      <c r="AZ229" s="70"/>
      <c r="BA229" s="71"/>
      <c r="BB229" s="70"/>
      <c r="BC229" s="78"/>
      <c r="BD229" s="78"/>
      <c r="BE229" s="78">
        <f t="shared" si="85"/>
        <v>0</v>
      </c>
      <c r="BF229" t="str">
        <f t="shared" si="86"/>
        <v/>
      </c>
      <c r="BK229" s="103"/>
    </row>
    <row r="230" spans="1:63" ht="15.75" hidden="1" customHeight="1" x14ac:dyDescent="0.25">
      <c r="A230" s="8"/>
      <c r="B230" s="8"/>
      <c r="C230" s="8"/>
      <c r="D230" s="8"/>
      <c r="E230" s="8"/>
      <c r="F230" s="8"/>
      <c r="G230" s="8"/>
      <c r="H230" s="8"/>
      <c r="I230" s="12"/>
      <c r="J230" s="10"/>
      <c r="K230" s="11"/>
      <c r="L230" s="11"/>
      <c r="M230" s="11"/>
      <c r="N230" s="11"/>
      <c r="O230" s="76"/>
      <c r="P230" s="76"/>
      <c r="Q230" s="76"/>
      <c r="R230" s="76"/>
      <c r="S230" s="3"/>
      <c r="T230" s="1"/>
      <c r="U230" s="1"/>
      <c r="V230" s="1"/>
      <c r="W230" s="1"/>
      <c r="X230" s="2"/>
      <c r="Y230" s="1"/>
      <c r="Z230" s="1"/>
      <c r="AA230" s="11"/>
      <c r="AB230" s="11"/>
      <c r="AC230" s="1"/>
      <c r="AD230" s="1"/>
      <c r="AE230" s="1"/>
      <c r="AF230" s="1"/>
      <c r="AG230" s="1"/>
      <c r="AH230" s="1"/>
      <c r="AI230" s="76"/>
      <c r="AJ230" s="76"/>
      <c r="AK230" s="1"/>
      <c r="AL230" s="1"/>
      <c r="AM230" s="1"/>
      <c r="AN230" s="1"/>
      <c r="AO230" s="1"/>
      <c r="AP230" s="61"/>
      <c r="AQ230" s="61"/>
      <c r="AR230" s="76"/>
      <c r="AS230" s="76"/>
      <c r="AT230" s="69"/>
      <c r="AU230" s="77"/>
      <c r="AV230" s="61"/>
      <c r="AW230" s="70"/>
      <c r="AX230" s="70"/>
      <c r="AY230" s="71"/>
      <c r="AZ230" s="70"/>
      <c r="BA230" s="71"/>
      <c r="BB230" s="70"/>
      <c r="BC230" s="78"/>
      <c r="BD230" s="78"/>
      <c r="BE230" s="78">
        <f t="shared" si="85"/>
        <v>0</v>
      </c>
      <c r="BF230" t="str">
        <f t="shared" si="86"/>
        <v/>
      </c>
    </row>
    <row r="231" spans="1:63" ht="15.75" hidden="1" customHeight="1" x14ac:dyDescent="0.25">
      <c r="A231" s="8"/>
      <c r="B231" s="8"/>
      <c r="C231" s="8"/>
      <c r="D231" s="8"/>
      <c r="E231" s="8"/>
      <c r="F231" s="8"/>
      <c r="G231" s="8"/>
      <c r="H231" s="8"/>
      <c r="I231" s="12"/>
      <c r="J231" s="10"/>
      <c r="K231" s="11"/>
      <c r="L231" s="11"/>
      <c r="M231" s="11"/>
      <c r="N231" s="11"/>
      <c r="O231" s="76"/>
      <c r="P231" s="76"/>
      <c r="Q231" s="76"/>
      <c r="R231" s="76"/>
      <c r="S231" s="3"/>
      <c r="T231" s="1"/>
      <c r="U231" s="1"/>
      <c r="V231" s="1"/>
      <c r="W231" s="1"/>
      <c r="X231" s="2"/>
      <c r="Y231" s="1"/>
      <c r="Z231" s="1"/>
      <c r="AA231" s="11"/>
      <c r="AB231" s="11"/>
      <c r="AC231" s="1"/>
      <c r="AD231" s="1"/>
      <c r="AE231" s="1"/>
      <c r="AF231" s="1"/>
      <c r="AG231" s="1"/>
      <c r="AH231" s="1"/>
      <c r="AI231" s="76"/>
      <c r="AJ231" s="76"/>
      <c r="AK231" s="1"/>
      <c r="AL231" s="1"/>
      <c r="AM231" s="1"/>
      <c r="AN231" s="1"/>
      <c r="AO231" s="1"/>
      <c r="AP231" s="61"/>
      <c r="AQ231" s="61"/>
      <c r="AR231" s="76"/>
      <c r="AS231" s="76"/>
      <c r="AT231" s="69"/>
      <c r="AU231" s="77"/>
      <c r="AV231" s="61"/>
      <c r="AW231" s="70"/>
      <c r="AX231" s="70"/>
      <c r="AY231" s="71"/>
      <c r="AZ231" s="70"/>
      <c r="BA231" s="71"/>
      <c r="BB231" s="70"/>
      <c r="BC231" s="78"/>
      <c r="BD231" s="78"/>
      <c r="BE231" s="78">
        <f t="shared" si="85"/>
        <v>0</v>
      </c>
      <c r="BF231" t="str">
        <f t="shared" si="86"/>
        <v/>
      </c>
      <c r="BK231" s="103"/>
    </row>
    <row r="232" spans="1:63" ht="15.75" hidden="1" x14ac:dyDescent="0.25">
      <c r="A232" s="8"/>
      <c r="B232" s="8"/>
      <c r="C232" s="8"/>
      <c r="D232" s="8"/>
      <c r="E232" s="8"/>
      <c r="F232" s="8"/>
      <c r="G232" s="8"/>
      <c r="H232" s="8"/>
      <c r="I232" s="12"/>
      <c r="J232" s="10"/>
      <c r="K232" s="11"/>
      <c r="L232" s="11"/>
      <c r="M232" s="11"/>
      <c r="N232" s="11"/>
      <c r="O232" s="76"/>
      <c r="P232" s="76"/>
      <c r="Q232" s="76"/>
      <c r="R232" s="76"/>
      <c r="S232" s="3"/>
      <c r="T232" s="1"/>
      <c r="U232" s="1"/>
      <c r="V232" s="1"/>
      <c r="W232" s="1"/>
      <c r="X232" s="2"/>
      <c r="Y232" s="1"/>
      <c r="Z232" s="1"/>
      <c r="AA232" s="11"/>
      <c r="AB232" s="11"/>
      <c r="AC232" s="1"/>
      <c r="AD232" s="1"/>
      <c r="AE232" s="1"/>
      <c r="AF232" s="1"/>
      <c r="AG232" s="1"/>
      <c r="AH232" s="1"/>
      <c r="AI232" s="76"/>
      <c r="AJ232" s="76"/>
      <c r="AK232" s="1"/>
      <c r="AL232" s="1"/>
      <c r="AM232" s="1"/>
      <c r="AN232" s="1"/>
      <c r="AO232" s="1"/>
      <c r="AP232" s="61"/>
      <c r="AQ232" s="61"/>
      <c r="AR232" s="76"/>
      <c r="AS232" s="76"/>
      <c r="AT232" s="69"/>
      <c r="AU232" s="77"/>
      <c r="AV232" s="61"/>
      <c r="AW232" s="70"/>
      <c r="AX232" s="70"/>
      <c r="AY232" s="71"/>
      <c r="AZ232" s="70"/>
      <c r="BA232" s="71"/>
      <c r="BB232" s="70"/>
      <c r="BC232" s="78"/>
      <c r="BD232" s="78"/>
      <c r="BE232" s="78">
        <f t="shared" si="85"/>
        <v>0</v>
      </c>
      <c r="BF232" t="str">
        <f t="shared" si="86"/>
        <v/>
      </c>
    </row>
    <row r="233" spans="1:63" ht="15.75" hidden="1" x14ac:dyDescent="0.25">
      <c r="A233" s="8"/>
      <c r="B233" s="8"/>
      <c r="C233" s="8"/>
      <c r="D233" s="8"/>
      <c r="E233" s="8"/>
      <c r="F233" s="8"/>
      <c r="G233" s="8"/>
      <c r="H233" s="8"/>
      <c r="I233" s="12"/>
      <c r="J233" s="10"/>
      <c r="K233" s="11"/>
      <c r="L233" s="11"/>
      <c r="M233" s="11"/>
      <c r="N233" s="11"/>
      <c r="O233" s="76"/>
      <c r="P233" s="76"/>
      <c r="Q233" s="76"/>
      <c r="R233" s="76"/>
      <c r="S233" s="3"/>
      <c r="T233" s="1"/>
      <c r="U233" s="1"/>
      <c r="V233" s="1"/>
      <c r="W233" s="1"/>
      <c r="X233" s="2"/>
      <c r="Y233" s="1"/>
      <c r="Z233" s="1"/>
      <c r="AA233" s="11"/>
      <c r="AB233" s="11"/>
      <c r="AC233" s="1"/>
      <c r="AD233" s="1"/>
      <c r="AE233" s="1"/>
      <c r="AF233" s="1"/>
      <c r="AG233" s="1"/>
      <c r="AH233" s="1"/>
      <c r="AI233" s="76"/>
      <c r="AJ233" s="76"/>
      <c r="AK233" s="1"/>
      <c r="AL233" s="1"/>
      <c r="AM233" s="1"/>
      <c r="AN233" s="1"/>
      <c r="AO233" s="1"/>
      <c r="AP233" s="61"/>
      <c r="AQ233" s="61"/>
      <c r="AR233" s="76"/>
      <c r="AS233" s="76"/>
      <c r="AT233" s="69"/>
      <c r="AU233" s="77"/>
      <c r="AV233" s="61"/>
      <c r="AW233" s="70"/>
      <c r="AX233" s="70"/>
      <c r="AY233" s="71"/>
      <c r="AZ233" s="70"/>
      <c r="BA233" s="71"/>
      <c r="BB233" s="70"/>
      <c r="BC233" s="78"/>
      <c r="BD233" s="78"/>
      <c r="BE233" s="78">
        <f t="shared" si="85"/>
        <v>0</v>
      </c>
      <c r="BF233" t="str">
        <f t="shared" si="86"/>
        <v/>
      </c>
    </row>
    <row r="234" spans="1:63" ht="15.75" hidden="1" x14ac:dyDescent="0.25">
      <c r="A234" s="8"/>
      <c r="B234" s="8"/>
      <c r="C234" s="8"/>
      <c r="D234" s="8"/>
      <c r="E234" s="8"/>
      <c r="F234" s="8"/>
      <c r="G234" s="8"/>
      <c r="H234" s="8"/>
      <c r="I234" s="12"/>
      <c r="J234" s="10"/>
      <c r="K234" s="11"/>
      <c r="L234" s="11"/>
      <c r="M234" s="11"/>
      <c r="N234" s="11"/>
      <c r="O234" s="76"/>
      <c r="P234" s="76"/>
      <c r="Q234" s="76"/>
      <c r="R234" s="76"/>
      <c r="S234" s="3"/>
      <c r="T234" s="1"/>
      <c r="U234" s="1"/>
      <c r="V234" s="1"/>
      <c r="W234" s="1"/>
      <c r="X234" s="2"/>
      <c r="Y234" s="1"/>
      <c r="Z234" s="1"/>
      <c r="AA234" s="11"/>
      <c r="AB234" s="11"/>
      <c r="AC234" s="1"/>
      <c r="AD234" s="1"/>
      <c r="AE234" s="1"/>
      <c r="AF234" s="1"/>
      <c r="AG234" s="1"/>
      <c r="AH234" s="1"/>
      <c r="AI234" s="76"/>
      <c r="AJ234" s="76"/>
      <c r="AK234" s="1"/>
      <c r="AL234" s="1"/>
      <c r="AM234" s="1"/>
      <c r="AN234" s="1"/>
      <c r="AO234" s="1"/>
      <c r="AP234" s="61"/>
      <c r="AQ234" s="61"/>
      <c r="AR234" s="76"/>
      <c r="AS234" s="76"/>
      <c r="AT234" s="69"/>
      <c r="AU234" s="77"/>
      <c r="AV234" s="61"/>
      <c r="AW234" s="70"/>
      <c r="AX234" s="70"/>
      <c r="AY234" s="71"/>
      <c r="AZ234" s="70"/>
      <c r="BA234" s="71"/>
      <c r="BB234" s="70"/>
      <c r="BC234" s="78"/>
      <c r="BD234" s="78"/>
      <c r="BE234" s="78">
        <f t="shared" si="85"/>
        <v>0</v>
      </c>
      <c r="BF234" t="str">
        <f t="shared" si="86"/>
        <v/>
      </c>
    </row>
    <row r="235" spans="1:63" ht="29.25" hidden="1" customHeight="1" x14ac:dyDescent="0.25">
      <c r="A235" s="8"/>
      <c r="B235" s="8"/>
      <c r="C235" s="8"/>
      <c r="D235" s="8"/>
      <c r="E235" s="8"/>
      <c r="F235" s="8"/>
      <c r="G235" s="8"/>
      <c r="H235" s="8"/>
      <c r="I235" s="12"/>
      <c r="J235" s="10"/>
      <c r="K235" s="11"/>
      <c r="L235" s="11"/>
      <c r="M235" s="11"/>
      <c r="N235" s="11"/>
      <c r="O235" s="76"/>
      <c r="P235" s="76"/>
      <c r="Q235" s="76"/>
      <c r="R235" s="76"/>
      <c r="S235" s="3"/>
      <c r="T235" s="1"/>
      <c r="U235" s="1"/>
      <c r="V235" s="1"/>
      <c r="W235" s="1"/>
      <c r="X235" s="2"/>
      <c r="Y235" s="1"/>
      <c r="Z235" s="1"/>
      <c r="AA235" s="11"/>
      <c r="AB235" s="11"/>
      <c r="AC235" s="1"/>
      <c r="AD235" s="1"/>
      <c r="AE235" s="1"/>
      <c r="AF235" s="1"/>
      <c r="AG235" s="1"/>
      <c r="AH235" s="1"/>
      <c r="AI235" s="76"/>
      <c r="AJ235" s="76"/>
      <c r="AK235" s="1"/>
      <c r="AL235" s="1"/>
      <c r="AM235" s="1"/>
      <c r="AN235" s="1"/>
      <c r="AO235" s="1"/>
      <c r="AP235" s="61"/>
      <c r="AQ235" s="61"/>
      <c r="AR235" s="76"/>
      <c r="AS235" s="76"/>
      <c r="AT235" s="69"/>
      <c r="AU235" s="77"/>
      <c r="AV235" s="61"/>
      <c r="AW235" s="70"/>
      <c r="AX235" s="70"/>
      <c r="AY235" s="71"/>
      <c r="AZ235" s="70"/>
      <c r="BA235" s="71"/>
      <c r="BB235" s="70"/>
      <c r="BC235" s="78"/>
      <c r="BD235" s="78"/>
      <c r="BE235" s="78">
        <f t="shared" si="85"/>
        <v>0</v>
      </c>
      <c r="BF235" t="str">
        <f t="shared" si="86"/>
        <v/>
      </c>
    </row>
    <row r="236" spans="1:63" ht="15.75" hidden="1" x14ac:dyDescent="0.25">
      <c r="A236" s="8"/>
      <c r="B236" s="8"/>
      <c r="C236" s="8"/>
      <c r="D236" s="8"/>
      <c r="E236" s="8"/>
      <c r="F236" s="8"/>
      <c r="G236" s="8"/>
      <c r="H236" s="8"/>
      <c r="I236" s="12"/>
      <c r="J236" s="10"/>
      <c r="K236" s="11"/>
      <c r="L236" s="11"/>
      <c r="M236" s="11"/>
      <c r="N236" s="11"/>
      <c r="O236" s="76"/>
      <c r="P236" s="76"/>
      <c r="Q236" s="76"/>
      <c r="R236" s="76"/>
      <c r="S236" s="3"/>
      <c r="T236" s="1"/>
      <c r="U236" s="1"/>
      <c r="V236" s="1"/>
      <c r="W236" s="1"/>
      <c r="X236" s="2"/>
      <c r="Y236" s="1"/>
      <c r="Z236" s="1"/>
      <c r="AA236" s="11"/>
      <c r="AB236" s="11"/>
      <c r="AC236" s="1"/>
      <c r="AD236" s="1"/>
      <c r="AE236" s="1"/>
      <c r="AF236" s="1"/>
      <c r="AG236" s="1"/>
      <c r="AH236" s="1"/>
      <c r="AI236" s="76"/>
      <c r="AJ236" s="76"/>
      <c r="AK236" s="1"/>
      <c r="AL236" s="1"/>
      <c r="AM236" s="1"/>
      <c r="AN236" s="1"/>
      <c r="AO236" s="1"/>
      <c r="AP236" s="61"/>
      <c r="AQ236" s="61"/>
      <c r="AR236" s="76"/>
      <c r="AS236" s="76"/>
      <c r="AT236" s="69"/>
      <c r="AU236" s="77"/>
      <c r="AV236" s="61"/>
      <c r="AW236" s="70"/>
      <c r="AX236" s="70"/>
      <c r="AY236" s="71"/>
      <c r="AZ236" s="70"/>
      <c r="BA236" s="71"/>
      <c r="BB236" s="70"/>
      <c r="BC236" s="78"/>
      <c r="BD236" s="78"/>
      <c r="BE236" s="78">
        <f t="shared" si="85"/>
        <v>0</v>
      </c>
      <c r="BF236" t="str">
        <f t="shared" si="86"/>
        <v/>
      </c>
    </row>
    <row r="237" spans="1:63" ht="15.75" hidden="1" x14ac:dyDescent="0.25">
      <c r="A237" s="8"/>
      <c r="B237" s="8"/>
      <c r="C237" s="8"/>
      <c r="D237" s="8"/>
      <c r="E237" s="8"/>
      <c r="F237" s="8"/>
      <c r="G237" s="8"/>
      <c r="H237" s="8"/>
      <c r="I237" s="12"/>
      <c r="J237" s="10"/>
      <c r="K237" s="11"/>
      <c r="L237" s="11"/>
      <c r="M237" s="11"/>
      <c r="N237" s="11"/>
      <c r="O237" s="76"/>
      <c r="P237" s="76"/>
      <c r="Q237" s="76"/>
      <c r="R237" s="76"/>
      <c r="S237" s="3"/>
      <c r="T237" s="1"/>
      <c r="U237" s="1"/>
      <c r="V237" s="1"/>
      <c r="W237" s="1"/>
      <c r="X237" s="2"/>
      <c r="Y237" s="1"/>
      <c r="Z237" s="1"/>
      <c r="AA237" s="11"/>
      <c r="AB237" s="11"/>
      <c r="AC237" s="1"/>
      <c r="AD237" s="1"/>
      <c r="AE237" s="1"/>
      <c r="AF237" s="1"/>
      <c r="AG237" s="1"/>
      <c r="AH237" s="1"/>
      <c r="AI237" s="76"/>
      <c r="AJ237" s="76"/>
      <c r="AK237" s="1"/>
      <c r="AL237" s="1"/>
      <c r="AM237" s="1"/>
      <c r="AN237" s="1"/>
      <c r="AO237" s="1"/>
      <c r="AP237" s="61"/>
      <c r="AQ237" s="61"/>
      <c r="AR237" s="76"/>
      <c r="AS237" s="76"/>
      <c r="AT237" s="69"/>
      <c r="AU237" s="77"/>
      <c r="AV237" s="61"/>
      <c r="AW237" s="70"/>
      <c r="AX237" s="70"/>
      <c r="AY237" s="71"/>
      <c r="AZ237" s="70"/>
      <c r="BA237" s="71"/>
      <c r="BB237" s="70"/>
      <c r="BC237" s="78"/>
      <c r="BD237" s="78"/>
      <c r="BE237" s="78">
        <f t="shared" si="85"/>
        <v>0</v>
      </c>
      <c r="BF237" t="str">
        <f t="shared" si="86"/>
        <v/>
      </c>
    </row>
    <row r="238" spans="1:63" ht="15.75" hidden="1" x14ac:dyDescent="0.25">
      <c r="A238" s="8"/>
      <c r="B238" s="8"/>
      <c r="C238" s="8"/>
      <c r="D238" s="8"/>
      <c r="E238" s="8"/>
      <c r="F238" s="8"/>
      <c r="G238" s="8"/>
      <c r="H238" s="8"/>
      <c r="I238" s="12"/>
      <c r="J238" s="10"/>
      <c r="K238" s="11"/>
      <c r="L238" s="11"/>
      <c r="M238" s="11"/>
      <c r="N238" s="11"/>
      <c r="O238" s="76"/>
      <c r="P238" s="76"/>
      <c r="Q238" s="76"/>
      <c r="R238" s="76"/>
      <c r="S238" s="3"/>
      <c r="T238" s="1"/>
      <c r="U238" s="1"/>
      <c r="V238" s="1"/>
      <c r="W238" s="1"/>
      <c r="X238" s="2"/>
      <c r="Y238" s="1"/>
      <c r="Z238" s="1"/>
      <c r="AA238" s="11"/>
      <c r="AB238" s="11"/>
      <c r="AC238" s="1"/>
      <c r="AD238" s="1"/>
      <c r="AE238" s="1"/>
      <c r="AF238" s="1"/>
      <c r="AG238" s="1"/>
      <c r="AH238" s="1"/>
      <c r="AI238" s="76"/>
      <c r="AJ238" s="76"/>
      <c r="AK238" s="1"/>
      <c r="AL238" s="1"/>
      <c r="AM238" s="1"/>
      <c r="AN238" s="1"/>
      <c r="AO238" s="1"/>
      <c r="AP238" s="61"/>
      <c r="AQ238" s="61"/>
      <c r="AR238" s="76"/>
      <c r="AS238" s="76"/>
      <c r="AT238" s="69"/>
      <c r="AU238" s="77"/>
      <c r="AV238" s="61"/>
      <c r="AW238" s="70"/>
      <c r="AX238" s="70"/>
      <c r="AY238" s="71"/>
      <c r="AZ238" s="70"/>
      <c r="BA238" s="71"/>
      <c r="BB238" s="70"/>
      <c r="BC238" s="78"/>
      <c r="BD238" s="78"/>
      <c r="BE238" s="78">
        <f t="shared" si="85"/>
        <v>0</v>
      </c>
      <c r="BF238" t="str">
        <f t="shared" si="86"/>
        <v/>
      </c>
    </row>
    <row r="239" spans="1:63" ht="29.25" hidden="1" customHeight="1" x14ac:dyDescent="0.25">
      <c r="A239" s="8"/>
      <c r="B239" s="8"/>
      <c r="C239" s="8"/>
      <c r="D239" s="8"/>
      <c r="E239" s="8"/>
      <c r="F239" s="8"/>
      <c r="G239" s="8"/>
      <c r="H239" s="8"/>
      <c r="I239" s="12"/>
      <c r="J239" s="10"/>
      <c r="K239" s="11"/>
      <c r="L239" s="11"/>
      <c r="M239" s="11"/>
      <c r="N239" s="11"/>
      <c r="O239" s="76"/>
      <c r="P239" s="76"/>
      <c r="Q239" s="76"/>
      <c r="R239" s="76"/>
      <c r="S239" s="3"/>
      <c r="T239" s="1"/>
      <c r="U239" s="1"/>
      <c r="V239" s="1"/>
      <c r="W239" s="1"/>
      <c r="X239" s="2"/>
      <c r="Y239" s="1"/>
      <c r="Z239" s="1"/>
      <c r="AA239" s="11"/>
      <c r="AB239" s="11"/>
      <c r="AC239" s="1"/>
      <c r="AD239" s="1"/>
      <c r="AE239" s="1"/>
      <c r="AF239" s="1"/>
      <c r="AG239" s="1"/>
      <c r="AH239" s="1"/>
      <c r="AI239" s="76"/>
      <c r="AJ239" s="76"/>
      <c r="AK239" s="1"/>
      <c r="AL239" s="1"/>
      <c r="AM239" s="1"/>
      <c r="AN239" s="1"/>
      <c r="AO239" s="1"/>
      <c r="AP239" s="61"/>
      <c r="AQ239" s="61"/>
      <c r="AR239" s="76"/>
      <c r="AS239" s="76"/>
      <c r="AT239" s="69"/>
      <c r="AU239" s="77"/>
      <c r="AV239" s="61"/>
      <c r="AW239" s="70"/>
      <c r="AX239" s="70"/>
      <c r="AY239" s="71"/>
      <c r="AZ239" s="70"/>
      <c r="BA239" s="71"/>
      <c r="BB239" s="70"/>
      <c r="BC239" s="78"/>
      <c r="BD239" s="78"/>
      <c r="BE239" s="78">
        <f t="shared" si="85"/>
        <v>0</v>
      </c>
      <c r="BF239" t="str">
        <f t="shared" si="86"/>
        <v/>
      </c>
    </row>
    <row r="240" spans="1:63" ht="29.25" hidden="1" customHeight="1" x14ac:dyDescent="0.25">
      <c r="A240" s="8"/>
      <c r="B240" s="8"/>
      <c r="C240" s="8"/>
      <c r="D240" s="8"/>
      <c r="E240" s="8"/>
      <c r="F240" s="8"/>
      <c r="G240" s="8"/>
      <c r="H240" s="8"/>
      <c r="I240" s="12"/>
      <c r="J240" s="10"/>
      <c r="K240" s="11"/>
      <c r="L240" s="11"/>
      <c r="M240" s="11"/>
      <c r="N240" s="11"/>
      <c r="O240" s="76"/>
      <c r="P240" s="76"/>
      <c r="Q240" s="76"/>
      <c r="R240" s="76"/>
      <c r="S240" s="3"/>
      <c r="T240" s="1"/>
      <c r="U240" s="1"/>
      <c r="V240" s="1"/>
      <c r="W240" s="1"/>
      <c r="X240" s="2"/>
      <c r="Y240" s="1"/>
      <c r="Z240" s="1"/>
      <c r="AA240" s="11"/>
      <c r="AB240" s="11"/>
      <c r="AC240" s="1"/>
      <c r="AD240" s="1"/>
      <c r="AE240" s="1"/>
      <c r="AF240" s="1"/>
      <c r="AG240" s="1"/>
      <c r="AH240" s="1"/>
      <c r="AI240" s="76"/>
      <c r="AJ240" s="76"/>
      <c r="AK240" s="1"/>
      <c r="AL240" s="1"/>
      <c r="AM240" s="1"/>
      <c r="AN240" s="1"/>
      <c r="AO240" s="1"/>
      <c r="AP240" s="61"/>
      <c r="AQ240" s="61"/>
      <c r="AR240" s="76"/>
      <c r="AS240" s="76"/>
      <c r="AT240" s="69"/>
      <c r="AU240" s="77"/>
      <c r="AV240" s="61"/>
      <c r="AW240" s="70"/>
      <c r="AX240" s="70"/>
      <c r="AY240" s="71"/>
      <c r="AZ240" s="70"/>
      <c r="BA240" s="71"/>
      <c r="BB240" s="70"/>
      <c r="BC240" s="78"/>
      <c r="BD240" s="78"/>
      <c r="BE240" s="78">
        <f t="shared" si="85"/>
        <v>0</v>
      </c>
      <c r="BF240" t="str">
        <f t="shared" si="86"/>
        <v/>
      </c>
    </row>
    <row r="241" spans="1:58" ht="29.25" hidden="1" customHeight="1" x14ac:dyDescent="0.25">
      <c r="A241" s="8"/>
      <c r="B241" s="8"/>
      <c r="C241" s="8"/>
      <c r="D241" s="8"/>
      <c r="E241" s="8"/>
      <c r="F241" s="8"/>
      <c r="G241" s="8"/>
      <c r="H241" s="8"/>
      <c r="I241" s="12"/>
      <c r="J241" s="10"/>
      <c r="K241" s="11"/>
      <c r="L241" s="11"/>
      <c r="M241" s="11"/>
      <c r="N241" s="11"/>
      <c r="O241" s="76"/>
      <c r="P241" s="76"/>
      <c r="Q241" s="76"/>
      <c r="R241" s="76"/>
      <c r="S241" s="3"/>
      <c r="T241" s="1"/>
      <c r="U241" s="1"/>
      <c r="V241" s="1"/>
      <c r="W241" s="1"/>
      <c r="X241" s="2"/>
      <c r="Y241" s="1"/>
      <c r="Z241" s="1"/>
      <c r="AA241" s="11"/>
      <c r="AB241" s="11"/>
      <c r="AC241" s="1"/>
      <c r="AD241" s="1"/>
      <c r="AE241" s="1"/>
      <c r="AF241" s="1"/>
      <c r="AG241" s="1"/>
      <c r="AH241" s="1"/>
      <c r="AI241" s="76"/>
      <c r="AJ241" s="76"/>
      <c r="AK241" s="1"/>
      <c r="AL241" s="1"/>
      <c r="AM241" s="1"/>
      <c r="AN241" s="1"/>
      <c r="AO241" s="1"/>
      <c r="AP241" s="61"/>
      <c r="AQ241" s="61"/>
      <c r="AR241" s="76"/>
      <c r="AS241" s="76"/>
      <c r="AT241" s="69"/>
      <c r="AU241" s="77"/>
      <c r="AV241" s="61"/>
      <c r="AW241" s="70"/>
      <c r="AX241" s="70"/>
      <c r="AY241" s="71"/>
      <c r="AZ241" s="70"/>
      <c r="BA241" s="71"/>
      <c r="BB241" s="70"/>
      <c r="BC241" s="78"/>
      <c r="BD241" s="78"/>
      <c r="BE241" s="78">
        <f t="shared" si="85"/>
        <v>0</v>
      </c>
      <c r="BF241" t="str">
        <f t="shared" si="86"/>
        <v/>
      </c>
    </row>
    <row r="242" spans="1:58" ht="29.25" hidden="1" customHeight="1" x14ac:dyDescent="0.25">
      <c r="A242" s="8"/>
      <c r="B242" s="8"/>
      <c r="C242" s="8"/>
      <c r="D242" s="8"/>
      <c r="E242" s="8"/>
      <c r="F242" s="8"/>
      <c r="G242" s="8"/>
      <c r="H242" s="8"/>
      <c r="I242" s="12"/>
      <c r="J242" s="10"/>
      <c r="K242" s="11"/>
      <c r="L242" s="11"/>
      <c r="M242" s="11"/>
      <c r="N242" s="11"/>
      <c r="O242" s="76"/>
      <c r="P242" s="76"/>
      <c r="Q242" s="76"/>
      <c r="R242" s="76"/>
      <c r="S242" s="3"/>
      <c r="T242" s="1"/>
      <c r="U242" s="1"/>
      <c r="V242" s="1"/>
      <c r="W242" s="1"/>
      <c r="X242" s="2"/>
      <c r="Y242" s="1"/>
      <c r="Z242" s="1"/>
      <c r="AA242" s="11"/>
      <c r="AB242" s="11"/>
      <c r="AC242" s="1"/>
      <c r="AD242" s="1"/>
      <c r="AE242" s="1"/>
      <c r="AF242" s="1"/>
      <c r="AG242" s="1"/>
      <c r="AH242" s="1"/>
      <c r="AI242" s="76"/>
      <c r="AJ242" s="76"/>
      <c r="AK242" s="1"/>
      <c r="AL242" s="1"/>
      <c r="AM242" s="1"/>
      <c r="AN242" s="1"/>
      <c r="AO242" s="1"/>
      <c r="AP242" s="61"/>
      <c r="AQ242" s="61"/>
      <c r="AR242" s="76"/>
      <c r="AS242" s="76"/>
      <c r="AT242" s="69"/>
      <c r="AU242" s="77"/>
      <c r="AV242" s="61"/>
      <c r="AW242" s="70"/>
      <c r="AX242" s="70"/>
      <c r="AY242" s="71"/>
      <c r="AZ242" s="70"/>
      <c r="BA242" s="71"/>
      <c r="BB242" s="70"/>
      <c r="BC242" s="78"/>
      <c r="BD242" s="78"/>
      <c r="BE242" s="78">
        <f t="shared" si="85"/>
        <v>0</v>
      </c>
      <c r="BF242" t="str">
        <f t="shared" si="86"/>
        <v/>
      </c>
    </row>
    <row r="243" spans="1:58" ht="29.25" hidden="1" customHeight="1" x14ac:dyDescent="0.25">
      <c r="A243" s="8"/>
      <c r="B243" s="8"/>
      <c r="C243" s="8"/>
      <c r="D243" s="8"/>
      <c r="E243" s="8"/>
      <c r="F243" s="8"/>
      <c r="G243" s="8"/>
      <c r="H243" s="8"/>
      <c r="I243" s="12"/>
      <c r="J243" s="10"/>
      <c r="K243" s="11"/>
      <c r="L243" s="11"/>
      <c r="M243" s="11"/>
      <c r="N243" s="11"/>
      <c r="O243" s="76"/>
      <c r="P243" s="76"/>
      <c r="Q243" s="76"/>
      <c r="R243" s="76"/>
      <c r="S243" s="3"/>
      <c r="T243" s="1"/>
      <c r="U243" s="1"/>
      <c r="V243" s="1"/>
      <c r="W243" s="1"/>
      <c r="X243" s="2"/>
      <c r="Y243" s="1"/>
      <c r="Z243" s="1"/>
      <c r="AA243" s="11"/>
      <c r="AB243" s="11"/>
      <c r="AC243" s="1"/>
      <c r="AD243" s="1"/>
      <c r="AE243" s="1"/>
      <c r="AF243" s="1"/>
      <c r="AG243" s="1"/>
      <c r="AH243" s="1"/>
      <c r="AI243" s="76"/>
      <c r="AJ243" s="76"/>
      <c r="AK243" s="1"/>
      <c r="AL243" s="1"/>
      <c r="AM243" s="1"/>
      <c r="AN243" s="1"/>
      <c r="AO243" s="1"/>
      <c r="AP243" s="61"/>
      <c r="AQ243" s="61"/>
      <c r="AR243" s="76"/>
      <c r="AS243" s="76"/>
      <c r="AT243" s="69"/>
      <c r="AU243" s="77"/>
      <c r="AV243" s="61"/>
      <c r="AW243" s="70"/>
      <c r="AX243" s="70"/>
      <c r="AY243" s="71"/>
      <c r="AZ243" s="70"/>
      <c r="BA243" s="71"/>
      <c r="BB243" s="70"/>
      <c r="BC243" s="78"/>
      <c r="BD243" s="78"/>
      <c r="BE243" s="78">
        <f t="shared" si="85"/>
        <v>0</v>
      </c>
      <c r="BF243" t="str">
        <f t="shared" si="86"/>
        <v/>
      </c>
    </row>
    <row r="244" spans="1:58" ht="29.25" hidden="1" customHeight="1" x14ac:dyDescent="0.25">
      <c r="A244" s="8"/>
      <c r="B244" s="8"/>
      <c r="C244" s="8"/>
      <c r="D244" s="8"/>
      <c r="E244" s="8"/>
      <c r="F244" s="8"/>
      <c r="G244" s="8"/>
      <c r="H244" s="8"/>
      <c r="I244" s="12"/>
      <c r="J244" s="10"/>
      <c r="K244" s="11"/>
      <c r="L244" s="11"/>
      <c r="M244" s="11"/>
      <c r="N244" s="11"/>
      <c r="O244" s="76"/>
      <c r="P244" s="76"/>
      <c r="Q244" s="76"/>
      <c r="R244" s="76"/>
      <c r="S244" s="3"/>
      <c r="T244" s="1"/>
      <c r="U244" s="1"/>
      <c r="V244" s="1"/>
      <c r="W244" s="1"/>
      <c r="X244" s="2"/>
      <c r="Y244" s="1"/>
      <c r="Z244" s="1"/>
      <c r="AA244" s="11"/>
      <c r="AB244" s="11"/>
      <c r="AC244" s="1"/>
      <c r="AD244" s="1"/>
      <c r="AE244" s="1"/>
      <c r="AF244" s="1"/>
      <c r="AG244" s="1"/>
      <c r="AH244" s="1"/>
      <c r="AI244" s="76"/>
      <c r="AJ244" s="76"/>
      <c r="AK244" s="1"/>
      <c r="AL244" s="1"/>
      <c r="AM244" s="1"/>
      <c r="AN244" s="1"/>
      <c r="AO244" s="1"/>
      <c r="AP244" s="61"/>
      <c r="AQ244" s="61"/>
      <c r="AR244" s="76"/>
      <c r="AS244" s="76"/>
      <c r="AT244" s="69"/>
      <c r="AU244" s="77"/>
      <c r="AV244" s="61"/>
      <c r="AW244" s="70"/>
      <c r="AX244" s="70"/>
      <c r="AY244" s="71"/>
      <c r="AZ244" s="70"/>
      <c r="BA244" s="71"/>
      <c r="BB244" s="70"/>
      <c r="BC244" s="78"/>
      <c r="BD244" s="78"/>
      <c r="BE244" s="78">
        <f t="shared" si="85"/>
        <v>0</v>
      </c>
      <c r="BF244" t="str">
        <f t="shared" si="86"/>
        <v/>
      </c>
    </row>
    <row r="245" spans="1:58" ht="29.25" hidden="1" customHeight="1" x14ac:dyDescent="0.25">
      <c r="A245" s="8"/>
      <c r="B245" s="8"/>
      <c r="C245" s="8"/>
      <c r="D245" s="8"/>
      <c r="E245" s="8"/>
      <c r="F245" s="8"/>
      <c r="G245" s="8"/>
      <c r="H245" s="8"/>
      <c r="I245" s="12"/>
      <c r="J245" s="10"/>
      <c r="K245" s="11"/>
      <c r="L245" s="11"/>
      <c r="M245" s="11"/>
      <c r="N245" s="11"/>
      <c r="O245" s="76"/>
      <c r="P245" s="76"/>
      <c r="Q245" s="76"/>
      <c r="R245" s="76"/>
      <c r="S245" s="3"/>
      <c r="T245" s="1"/>
      <c r="U245" s="1"/>
      <c r="V245" s="1"/>
      <c r="W245" s="1"/>
      <c r="X245" s="2"/>
      <c r="Y245" s="1"/>
      <c r="Z245" s="1"/>
      <c r="AA245" s="11"/>
      <c r="AB245" s="11"/>
      <c r="AC245" s="1"/>
      <c r="AD245" s="1"/>
      <c r="AE245" s="1"/>
      <c r="AF245" s="1"/>
      <c r="AG245" s="1"/>
      <c r="AH245" s="1"/>
      <c r="AI245" s="76"/>
      <c r="AJ245" s="76"/>
      <c r="AK245" s="1"/>
      <c r="AL245" s="1"/>
      <c r="AM245" s="1"/>
      <c r="AN245" s="1"/>
      <c r="AO245" s="1"/>
      <c r="AP245" s="61"/>
      <c r="AQ245" s="61"/>
      <c r="AR245" s="76"/>
      <c r="AS245" s="76"/>
      <c r="AT245" s="69"/>
      <c r="AU245" s="77"/>
      <c r="AV245" s="61"/>
      <c r="AW245" s="70"/>
      <c r="AX245" s="70"/>
      <c r="AY245" s="71"/>
      <c r="AZ245" s="70"/>
      <c r="BA245" s="71"/>
      <c r="BB245" s="70"/>
      <c r="BC245" s="78"/>
      <c r="BD245" s="78"/>
      <c r="BE245" s="78">
        <f t="shared" si="85"/>
        <v>0</v>
      </c>
      <c r="BF245" t="str">
        <f t="shared" si="86"/>
        <v/>
      </c>
    </row>
    <row r="246" spans="1:58" ht="29.25" hidden="1" customHeight="1" x14ac:dyDescent="0.25">
      <c r="A246" s="8"/>
      <c r="B246" s="8"/>
      <c r="C246" s="8"/>
      <c r="D246" s="8"/>
      <c r="E246" s="8"/>
      <c r="F246" s="8"/>
      <c r="G246" s="8"/>
      <c r="H246" s="8"/>
      <c r="I246" s="12"/>
      <c r="J246" s="10"/>
      <c r="K246" s="11"/>
      <c r="L246" s="11"/>
      <c r="M246" s="11"/>
      <c r="N246" s="11"/>
      <c r="O246" s="76"/>
      <c r="P246" s="76"/>
      <c r="Q246" s="76"/>
      <c r="R246" s="76"/>
      <c r="S246" s="3"/>
      <c r="T246" s="1"/>
      <c r="U246" s="1"/>
      <c r="V246" s="1"/>
      <c r="W246" s="1"/>
      <c r="X246" s="2"/>
      <c r="Y246" s="1"/>
      <c r="Z246" s="1"/>
      <c r="AA246" s="11"/>
      <c r="AB246" s="11"/>
      <c r="AC246" s="1"/>
      <c r="AD246" s="1"/>
      <c r="AE246" s="1"/>
      <c r="AF246" s="1"/>
      <c r="AG246" s="1"/>
      <c r="AH246" s="1"/>
      <c r="AI246" s="76"/>
      <c r="AJ246" s="76"/>
      <c r="AK246" s="1"/>
      <c r="AL246" s="1"/>
      <c r="AM246" s="1"/>
      <c r="AN246" s="1"/>
      <c r="AO246" s="1"/>
      <c r="AP246" s="61"/>
      <c r="AQ246" s="61"/>
      <c r="AR246" s="76"/>
      <c r="AS246" s="76"/>
      <c r="AT246" s="69"/>
      <c r="AU246" s="77"/>
      <c r="AV246" s="61"/>
      <c r="AW246" s="70"/>
      <c r="AX246" s="70"/>
      <c r="AY246" s="71"/>
      <c r="AZ246" s="70"/>
      <c r="BA246" s="71"/>
      <c r="BB246" s="70"/>
      <c r="BC246" s="78"/>
      <c r="BD246" s="78"/>
      <c r="BE246" s="78">
        <f t="shared" si="85"/>
        <v>0</v>
      </c>
      <c r="BF246" t="str">
        <f t="shared" si="86"/>
        <v/>
      </c>
    </row>
    <row r="247" spans="1:58" ht="29.25" hidden="1" customHeight="1" x14ac:dyDescent="0.25">
      <c r="A247" s="8"/>
      <c r="B247" s="8"/>
      <c r="C247" s="8"/>
      <c r="D247" s="8"/>
      <c r="E247" s="8"/>
      <c r="F247" s="8"/>
      <c r="G247" s="8"/>
      <c r="H247" s="8"/>
      <c r="I247" s="12"/>
      <c r="J247" s="10"/>
      <c r="K247" s="11"/>
      <c r="L247" s="11"/>
      <c r="M247" s="11"/>
      <c r="N247" s="11"/>
      <c r="O247" s="76"/>
      <c r="P247" s="76"/>
      <c r="Q247" s="76"/>
      <c r="R247" s="76"/>
      <c r="S247" s="3"/>
      <c r="T247" s="1"/>
      <c r="U247" s="1"/>
      <c r="V247" s="1"/>
      <c r="W247" s="1"/>
      <c r="X247" s="2"/>
      <c r="Y247" s="1"/>
      <c r="Z247" s="1"/>
      <c r="AA247" s="11"/>
      <c r="AB247" s="11"/>
      <c r="AC247" s="1"/>
      <c r="AD247" s="1"/>
      <c r="AE247" s="1"/>
      <c r="AF247" s="1"/>
      <c r="AG247" s="1"/>
      <c r="AH247" s="1"/>
      <c r="AI247" s="76"/>
      <c r="AJ247" s="76"/>
      <c r="AK247" s="1"/>
      <c r="AL247" s="1"/>
      <c r="AM247" s="1"/>
      <c r="AN247" s="1"/>
      <c r="AO247" s="1"/>
      <c r="AP247" s="61"/>
      <c r="AQ247" s="61"/>
      <c r="AR247" s="76"/>
      <c r="AS247" s="76"/>
      <c r="AT247" s="69"/>
      <c r="AU247" s="77"/>
      <c r="AV247" s="61"/>
      <c r="AW247" s="70"/>
      <c r="AX247" s="70"/>
      <c r="AY247" s="71"/>
      <c r="AZ247" s="70"/>
      <c r="BA247" s="71"/>
      <c r="BB247" s="70"/>
      <c r="BC247" s="78"/>
      <c r="BD247" s="78"/>
      <c r="BE247" s="78">
        <f t="shared" si="85"/>
        <v>0</v>
      </c>
      <c r="BF247" t="str">
        <f t="shared" si="86"/>
        <v/>
      </c>
    </row>
    <row r="248" spans="1:58" ht="29.25" hidden="1" customHeight="1" x14ac:dyDescent="0.25">
      <c r="A248" s="8"/>
      <c r="B248" s="8"/>
      <c r="C248" s="8"/>
      <c r="D248" s="8"/>
      <c r="E248" s="8"/>
      <c r="F248" s="8"/>
      <c r="G248" s="8"/>
      <c r="H248" s="8"/>
      <c r="I248" s="12"/>
      <c r="J248" s="10"/>
      <c r="K248" s="11"/>
      <c r="L248" s="11"/>
      <c r="M248" s="11"/>
      <c r="N248" s="11"/>
      <c r="O248" s="76"/>
      <c r="P248" s="76"/>
      <c r="Q248" s="76"/>
      <c r="R248" s="76"/>
      <c r="S248" s="3"/>
      <c r="T248" s="1"/>
      <c r="U248" s="1"/>
      <c r="V248" s="1"/>
      <c r="W248" s="1"/>
      <c r="X248" s="2"/>
      <c r="Y248" s="1"/>
      <c r="Z248" s="1"/>
      <c r="AA248" s="11"/>
      <c r="AB248" s="11"/>
      <c r="AC248" s="1"/>
      <c r="AD248" s="1"/>
      <c r="AE248" s="1"/>
      <c r="AF248" s="1"/>
      <c r="AG248" s="1"/>
      <c r="AH248" s="1"/>
      <c r="AI248" s="76"/>
      <c r="AJ248" s="76"/>
      <c r="AK248" s="1"/>
      <c r="AL248" s="1"/>
      <c r="AM248" s="1"/>
      <c r="AN248" s="1"/>
      <c r="AO248" s="1"/>
      <c r="AP248" s="61"/>
      <c r="AQ248" s="61"/>
      <c r="AR248" s="76"/>
      <c r="AS248" s="76"/>
      <c r="AT248" s="69"/>
      <c r="AU248" s="77"/>
      <c r="AV248" s="61"/>
      <c r="AW248" s="70"/>
      <c r="AX248" s="70"/>
      <c r="AY248" s="71"/>
      <c r="AZ248" s="70"/>
      <c r="BA248" s="71"/>
      <c r="BB248" s="70"/>
      <c r="BC248" s="78"/>
      <c r="BD248" s="78"/>
      <c r="BE248" s="78">
        <f t="shared" si="85"/>
        <v>0</v>
      </c>
      <c r="BF248" t="str">
        <f t="shared" si="86"/>
        <v/>
      </c>
    </row>
    <row r="249" spans="1:58" ht="29.25" hidden="1" customHeight="1" x14ac:dyDescent="0.25">
      <c r="A249" s="8"/>
      <c r="B249" s="8"/>
      <c r="C249" s="8"/>
      <c r="D249" s="8"/>
      <c r="E249" s="8"/>
      <c r="F249" s="8"/>
      <c r="G249" s="8"/>
      <c r="H249" s="8"/>
      <c r="I249" s="12"/>
      <c r="J249" s="10"/>
      <c r="K249" s="11"/>
      <c r="L249" s="11"/>
      <c r="M249" s="11"/>
      <c r="N249" s="11"/>
      <c r="O249" s="76"/>
      <c r="P249" s="76"/>
      <c r="Q249" s="76"/>
      <c r="R249" s="76"/>
      <c r="S249" s="3"/>
      <c r="T249" s="1"/>
      <c r="U249" s="1"/>
      <c r="V249" s="1"/>
      <c r="W249" s="1"/>
      <c r="X249" s="2"/>
      <c r="Y249" s="1"/>
      <c r="Z249" s="1"/>
      <c r="AA249" s="11"/>
      <c r="AB249" s="11"/>
      <c r="AC249" s="1"/>
      <c r="AD249" s="1"/>
      <c r="AE249" s="1"/>
      <c r="AF249" s="1"/>
      <c r="AG249" s="1"/>
      <c r="AH249" s="1"/>
      <c r="AI249" s="76"/>
      <c r="AJ249" s="76"/>
      <c r="AK249" s="1"/>
      <c r="AL249" s="1"/>
      <c r="AM249" s="1"/>
      <c r="AN249" s="1"/>
      <c r="AO249" s="1"/>
      <c r="AP249" s="61"/>
      <c r="AQ249" s="61"/>
      <c r="AR249" s="76"/>
      <c r="AS249" s="76"/>
      <c r="AT249" s="69"/>
      <c r="AU249" s="77"/>
      <c r="AV249" s="61"/>
      <c r="AW249" s="70"/>
      <c r="AX249" s="70"/>
      <c r="AY249" s="71"/>
      <c r="AZ249" s="70"/>
      <c r="BA249" s="71"/>
      <c r="BB249" s="70"/>
      <c r="BC249" s="78"/>
      <c r="BD249" s="78"/>
      <c r="BE249" s="78">
        <f t="shared" si="85"/>
        <v>0</v>
      </c>
      <c r="BF249" t="str">
        <f t="shared" si="86"/>
        <v/>
      </c>
    </row>
    <row r="250" spans="1:58" ht="29.25" hidden="1" customHeight="1" x14ac:dyDescent="0.25">
      <c r="A250" s="8"/>
      <c r="B250" s="8"/>
      <c r="C250" s="8"/>
      <c r="D250" s="8"/>
      <c r="E250" s="8"/>
      <c r="F250" s="8"/>
      <c r="G250" s="8"/>
      <c r="H250" s="8"/>
      <c r="I250" s="12"/>
      <c r="J250" s="10"/>
      <c r="K250" s="11"/>
      <c r="L250" s="11"/>
      <c r="M250" s="11"/>
      <c r="N250" s="11"/>
      <c r="O250" s="76"/>
      <c r="P250" s="76"/>
      <c r="Q250" s="76"/>
      <c r="R250" s="76"/>
      <c r="S250" s="3"/>
      <c r="T250" s="1"/>
      <c r="U250" s="1"/>
      <c r="V250" s="1"/>
      <c r="W250" s="1"/>
      <c r="X250" s="2"/>
      <c r="Y250" s="1"/>
      <c r="Z250" s="1"/>
      <c r="AA250" s="11"/>
      <c r="AB250" s="11"/>
      <c r="AC250" s="1"/>
      <c r="AD250" s="1"/>
      <c r="AE250" s="1"/>
      <c r="AF250" s="1"/>
      <c r="AG250" s="1"/>
      <c r="AH250" s="1"/>
      <c r="AI250" s="76"/>
      <c r="AJ250" s="76"/>
      <c r="AK250" s="1"/>
      <c r="AL250" s="1"/>
      <c r="AM250" s="1"/>
      <c r="AN250" s="1"/>
      <c r="AO250" s="1"/>
      <c r="AP250" s="61"/>
      <c r="AQ250" s="61"/>
      <c r="AR250" s="76"/>
      <c r="AS250" s="76"/>
      <c r="AT250" s="69"/>
      <c r="AU250" s="77"/>
      <c r="AV250" s="61"/>
      <c r="AW250" s="70"/>
      <c r="AX250" s="70"/>
      <c r="AY250" s="71"/>
      <c r="AZ250" s="70"/>
      <c r="BA250" s="71"/>
      <c r="BB250" s="70"/>
      <c r="BC250" s="78"/>
      <c r="BD250" s="78"/>
      <c r="BE250" s="78">
        <f t="shared" si="85"/>
        <v>0</v>
      </c>
      <c r="BF250" t="str">
        <f t="shared" si="86"/>
        <v/>
      </c>
    </row>
    <row r="251" spans="1:58" ht="29.25" hidden="1" customHeight="1" x14ac:dyDescent="0.25">
      <c r="A251" s="8"/>
      <c r="B251" s="8"/>
      <c r="C251" s="8"/>
      <c r="D251" s="8"/>
      <c r="E251" s="8"/>
      <c r="F251" s="8"/>
      <c r="G251" s="8"/>
      <c r="H251" s="8"/>
      <c r="I251" s="12"/>
      <c r="J251" s="10"/>
      <c r="K251" s="11"/>
      <c r="L251" s="11"/>
      <c r="M251" s="11"/>
      <c r="N251" s="11"/>
      <c r="O251" s="76"/>
      <c r="P251" s="76"/>
      <c r="Q251" s="76"/>
      <c r="R251" s="76"/>
      <c r="S251" s="3"/>
      <c r="T251" s="1"/>
      <c r="U251" s="1"/>
      <c r="V251" s="1"/>
      <c r="W251" s="1"/>
      <c r="X251" s="2"/>
      <c r="Y251" s="1"/>
      <c r="Z251" s="1"/>
      <c r="AA251" s="11"/>
      <c r="AB251" s="11"/>
      <c r="AC251" s="1"/>
      <c r="AD251" s="1"/>
      <c r="AE251" s="1"/>
      <c r="AF251" s="1"/>
      <c r="AG251" s="1"/>
      <c r="AH251" s="1"/>
      <c r="AI251" s="76"/>
      <c r="AJ251" s="76"/>
      <c r="AK251" s="1"/>
      <c r="AL251" s="1"/>
      <c r="AM251" s="1"/>
      <c r="AN251" s="1"/>
      <c r="AO251" s="1"/>
      <c r="AP251" s="61"/>
      <c r="AQ251" s="61"/>
      <c r="AR251" s="76"/>
      <c r="AS251" s="76"/>
      <c r="AT251" s="69"/>
      <c r="AU251" s="77"/>
      <c r="AV251" s="61"/>
      <c r="AW251" s="70"/>
      <c r="AX251" s="70"/>
      <c r="AY251" s="71"/>
      <c r="AZ251" s="70"/>
      <c r="BA251" s="71"/>
      <c r="BB251" s="70"/>
      <c r="BC251" s="78"/>
      <c r="BD251" s="78"/>
      <c r="BE251" s="78">
        <f t="shared" si="85"/>
        <v>0</v>
      </c>
      <c r="BF251" t="str">
        <f t="shared" si="86"/>
        <v/>
      </c>
    </row>
    <row r="252" spans="1:58" ht="29.25" hidden="1" customHeight="1" x14ac:dyDescent="0.25">
      <c r="A252" s="8"/>
      <c r="B252" s="8"/>
      <c r="C252" s="8"/>
      <c r="D252" s="8"/>
      <c r="E252" s="8"/>
      <c r="F252" s="8"/>
      <c r="G252" s="8"/>
      <c r="H252" s="8"/>
      <c r="I252" s="12"/>
      <c r="J252" s="10"/>
      <c r="K252" s="11"/>
      <c r="L252" s="11"/>
      <c r="M252" s="11"/>
      <c r="N252" s="11"/>
      <c r="O252" s="76"/>
      <c r="P252" s="76"/>
      <c r="Q252" s="76"/>
      <c r="R252" s="76"/>
      <c r="S252" s="3"/>
      <c r="T252" s="1"/>
      <c r="U252" s="1"/>
      <c r="V252" s="1"/>
      <c r="W252" s="1"/>
      <c r="X252" s="2"/>
      <c r="Y252" s="1"/>
      <c r="Z252" s="1"/>
      <c r="AA252" s="11"/>
      <c r="AB252" s="11"/>
      <c r="AC252" s="1"/>
      <c r="AD252" s="1"/>
      <c r="AE252" s="1"/>
      <c r="AF252" s="1"/>
      <c r="AG252" s="1"/>
      <c r="AH252" s="1"/>
      <c r="AI252" s="76"/>
      <c r="AJ252" s="76"/>
      <c r="AK252" s="1"/>
      <c r="AL252" s="1"/>
      <c r="AM252" s="1"/>
      <c r="AN252" s="1"/>
      <c r="AO252" s="1"/>
      <c r="AP252" s="61"/>
      <c r="AQ252" s="61"/>
      <c r="AR252" s="76"/>
      <c r="AS252" s="76"/>
      <c r="AT252" s="69"/>
      <c r="AU252" s="77"/>
      <c r="AV252" s="61"/>
      <c r="AW252" s="70"/>
      <c r="AX252" s="70"/>
      <c r="AY252" s="71"/>
      <c r="AZ252" s="70"/>
      <c r="BA252" s="71"/>
      <c r="BB252" s="70"/>
      <c r="BC252" s="78"/>
      <c r="BD252" s="78"/>
      <c r="BE252" s="78">
        <f t="shared" si="85"/>
        <v>0</v>
      </c>
      <c r="BF252" t="str">
        <f t="shared" si="86"/>
        <v/>
      </c>
    </row>
    <row r="253" spans="1:58" ht="15.75" hidden="1" x14ac:dyDescent="0.25">
      <c r="A253" s="8"/>
      <c r="B253" s="8"/>
      <c r="C253" s="8"/>
      <c r="D253" s="8"/>
      <c r="E253" s="8"/>
      <c r="F253" s="8"/>
      <c r="G253" s="8"/>
      <c r="H253" s="8"/>
      <c r="I253" s="12"/>
      <c r="J253" s="10"/>
      <c r="K253" s="11"/>
      <c r="L253" s="11"/>
      <c r="M253" s="11"/>
      <c r="N253" s="11"/>
      <c r="O253" s="76"/>
      <c r="P253" s="76"/>
      <c r="Q253" s="76"/>
      <c r="R253" s="76"/>
      <c r="S253" s="3"/>
      <c r="T253" s="1"/>
      <c r="U253" s="1"/>
      <c r="V253" s="1"/>
      <c r="W253" s="1"/>
      <c r="X253" s="2"/>
      <c r="Y253" s="1"/>
      <c r="Z253" s="1"/>
      <c r="AA253" s="11"/>
      <c r="AB253" s="11"/>
      <c r="AC253" s="1"/>
      <c r="AD253" s="1"/>
      <c r="AE253" s="1"/>
      <c r="AF253" s="1"/>
      <c r="AG253" s="1"/>
      <c r="AH253" s="1"/>
      <c r="AI253" s="76"/>
      <c r="AJ253" s="76"/>
      <c r="AK253" s="1"/>
      <c r="AL253" s="1"/>
      <c r="AM253" s="1"/>
      <c r="AN253" s="1"/>
      <c r="AO253" s="1"/>
      <c r="AP253" s="61"/>
      <c r="AQ253" s="61"/>
      <c r="AR253" s="76"/>
      <c r="AS253" s="76"/>
      <c r="AT253" s="69"/>
      <c r="AU253" s="77"/>
      <c r="AV253" s="61"/>
      <c r="AW253" s="70"/>
      <c r="AX253" s="70"/>
      <c r="AY253" s="71"/>
      <c r="AZ253" s="70"/>
      <c r="BA253" s="71"/>
      <c r="BB253" s="70"/>
      <c r="BC253" s="78"/>
      <c r="BD253" s="78"/>
      <c r="BE253" s="78">
        <f t="shared" si="85"/>
        <v>0</v>
      </c>
      <c r="BF253" t="str">
        <f t="shared" si="86"/>
        <v/>
      </c>
    </row>
    <row r="254" spans="1:58" ht="29.25" hidden="1" customHeight="1" x14ac:dyDescent="0.25">
      <c r="A254" s="8"/>
      <c r="B254" s="8"/>
      <c r="C254" s="8"/>
      <c r="D254" s="8"/>
      <c r="E254" s="8"/>
      <c r="F254" s="8"/>
      <c r="G254" s="8"/>
      <c r="H254" s="8"/>
      <c r="I254" s="12"/>
      <c r="J254" s="10"/>
      <c r="K254" s="11"/>
      <c r="L254" s="11"/>
      <c r="M254" s="11"/>
      <c r="N254" s="11"/>
      <c r="O254" s="76"/>
      <c r="P254" s="76"/>
      <c r="Q254" s="76"/>
      <c r="R254" s="76"/>
      <c r="S254" s="3"/>
      <c r="T254" s="1"/>
      <c r="U254" s="1"/>
      <c r="V254" s="1"/>
      <c r="W254" s="1"/>
      <c r="X254" s="2"/>
      <c r="Y254" s="1"/>
      <c r="Z254" s="1"/>
      <c r="AA254" s="11"/>
      <c r="AB254" s="11"/>
      <c r="AC254" s="1"/>
      <c r="AD254" s="1"/>
      <c r="AE254" s="1"/>
      <c r="AF254" s="1"/>
      <c r="AG254" s="1"/>
      <c r="AH254" s="1"/>
      <c r="AI254" s="76"/>
      <c r="AJ254" s="76"/>
      <c r="AK254" s="1"/>
      <c r="AL254" s="1"/>
      <c r="AM254" s="1"/>
      <c r="AN254" s="1"/>
      <c r="AO254" s="1"/>
      <c r="AP254" s="61"/>
      <c r="AQ254" s="61"/>
      <c r="AR254" s="76"/>
      <c r="AS254" s="76"/>
      <c r="AT254" s="69"/>
      <c r="AU254" s="77"/>
      <c r="AV254" s="61"/>
      <c r="AW254" s="70"/>
      <c r="AX254" s="70"/>
      <c r="AY254" s="71"/>
      <c r="AZ254" s="70"/>
      <c r="BA254" s="71"/>
      <c r="BB254" s="70"/>
      <c r="BC254" s="78"/>
      <c r="BD254" s="78"/>
      <c r="BE254" s="78">
        <f t="shared" si="85"/>
        <v>0</v>
      </c>
      <c r="BF254" t="str">
        <f t="shared" si="86"/>
        <v/>
      </c>
    </row>
    <row r="255" spans="1:58" ht="15.75" hidden="1" x14ac:dyDescent="0.25">
      <c r="A255" s="8"/>
      <c r="B255" s="8"/>
      <c r="C255" s="8"/>
      <c r="D255" s="8"/>
      <c r="E255" s="8"/>
      <c r="F255" s="8"/>
      <c r="G255" s="8"/>
      <c r="H255" s="8"/>
      <c r="I255" s="12"/>
      <c r="J255" s="10"/>
      <c r="K255" s="11"/>
      <c r="L255" s="11"/>
      <c r="M255" s="11"/>
      <c r="N255" s="11"/>
      <c r="O255" s="76"/>
      <c r="P255" s="76"/>
      <c r="Q255" s="76"/>
      <c r="R255" s="76"/>
      <c r="S255" s="3"/>
      <c r="T255" s="1"/>
      <c r="U255" s="1"/>
      <c r="V255" s="1"/>
      <c r="W255" s="1"/>
      <c r="X255" s="2"/>
      <c r="Y255" s="1"/>
      <c r="Z255" s="1"/>
      <c r="AA255" s="11"/>
      <c r="AB255" s="11"/>
      <c r="AC255" s="1"/>
      <c r="AD255" s="1"/>
      <c r="AE255" s="1"/>
      <c r="AF255" s="1"/>
      <c r="AG255" s="1"/>
      <c r="AH255" s="1"/>
      <c r="AI255" s="76"/>
      <c r="AJ255" s="76"/>
      <c r="AK255" s="1"/>
      <c r="AL255" s="1"/>
      <c r="AM255" s="1"/>
      <c r="AN255" s="1"/>
      <c r="AO255" s="1"/>
      <c r="AP255" s="61"/>
      <c r="AQ255" s="61"/>
      <c r="AR255" s="76"/>
      <c r="AS255" s="76"/>
      <c r="AT255" s="69"/>
      <c r="AU255" s="77"/>
      <c r="AV255" s="61"/>
      <c r="AW255" s="70"/>
      <c r="AX255" s="70"/>
      <c r="AY255" s="71"/>
      <c r="AZ255" s="70"/>
      <c r="BA255" s="71"/>
      <c r="BB255" s="70"/>
      <c r="BC255" s="78"/>
      <c r="BD255" s="78"/>
      <c r="BE255" s="78">
        <f t="shared" si="85"/>
        <v>0</v>
      </c>
      <c r="BF255" t="str">
        <f t="shared" si="86"/>
        <v/>
      </c>
    </row>
    <row r="256" spans="1:58" ht="29.25" hidden="1" customHeight="1" x14ac:dyDescent="0.25">
      <c r="A256" s="8"/>
      <c r="B256" s="8"/>
      <c r="C256" s="8"/>
      <c r="D256" s="8"/>
      <c r="E256" s="8"/>
      <c r="F256" s="8"/>
      <c r="G256" s="8"/>
      <c r="H256" s="8"/>
      <c r="I256" s="12"/>
      <c r="J256" s="10"/>
      <c r="K256" s="11"/>
      <c r="L256" s="11"/>
      <c r="M256" s="11"/>
      <c r="N256" s="11"/>
      <c r="O256" s="76"/>
      <c r="P256" s="76"/>
      <c r="Q256" s="76"/>
      <c r="R256" s="76"/>
      <c r="S256" s="3"/>
      <c r="T256" s="1"/>
      <c r="U256" s="1"/>
      <c r="V256" s="1"/>
      <c r="W256" s="1"/>
      <c r="X256" s="2"/>
      <c r="Y256" s="1"/>
      <c r="Z256" s="1"/>
      <c r="AA256" s="11"/>
      <c r="AB256" s="11"/>
      <c r="AC256" s="1"/>
      <c r="AD256" s="1"/>
      <c r="AE256" s="1"/>
      <c r="AF256" s="1"/>
      <c r="AG256" s="1"/>
      <c r="AH256" s="1"/>
      <c r="AI256" s="76"/>
      <c r="AJ256" s="76"/>
      <c r="AK256" s="1"/>
      <c r="AL256" s="1"/>
      <c r="AM256" s="1"/>
      <c r="AN256" s="1"/>
      <c r="AO256" s="1"/>
      <c r="AP256" s="61"/>
      <c r="AQ256" s="61"/>
      <c r="AR256" s="76"/>
      <c r="AS256" s="76"/>
      <c r="AT256" s="69"/>
      <c r="AU256" s="77"/>
      <c r="AV256" s="61"/>
      <c r="AW256" s="70"/>
      <c r="AX256" s="70"/>
      <c r="AY256" s="71"/>
      <c r="AZ256" s="70"/>
      <c r="BA256" s="71"/>
      <c r="BB256" s="70"/>
      <c r="BC256" s="78"/>
      <c r="BD256" s="78"/>
      <c r="BE256" s="78">
        <f t="shared" si="85"/>
        <v>0</v>
      </c>
      <c r="BF256" t="str">
        <f t="shared" si="86"/>
        <v/>
      </c>
    </row>
    <row r="257" spans="1:58" ht="29.25" hidden="1" customHeight="1" x14ac:dyDescent="0.25">
      <c r="A257" s="8"/>
      <c r="B257" s="8"/>
      <c r="C257" s="8"/>
      <c r="D257" s="8"/>
      <c r="E257" s="8"/>
      <c r="F257" s="8"/>
      <c r="G257" s="8"/>
      <c r="H257" s="8"/>
      <c r="I257" s="12"/>
      <c r="J257" s="10"/>
      <c r="K257" s="11"/>
      <c r="L257" s="11"/>
      <c r="M257" s="11"/>
      <c r="N257" s="11"/>
      <c r="O257" s="76"/>
      <c r="P257" s="76"/>
      <c r="Q257" s="76"/>
      <c r="R257" s="76"/>
      <c r="S257" s="3"/>
      <c r="T257" s="1"/>
      <c r="U257" s="1"/>
      <c r="V257" s="1"/>
      <c r="W257" s="1"/>
      <c r="X257" s="2"/>
      <c r="Y257" s="1"/>
      <c r="Z257" s="1"/>
      <c r="AA257" s="11"/>
      <c r="AB257" s="11"/>
      <c r="AC257" s="1"/>
      <c r="AD257" s="1"/>
      <c r="AE257" s="1"/>
      <c r="AF257" s="1"/>
      <c r="AG257" s="1"/>
      <c r="AH257" s="1"/>
      <c r="AI257" s="76"/>
      <c r="AJ257" s="76"/>
      <c r="AK257" s="1"/>
      <c r="AL257" s="1"/>
      <c r="AM257" s="1"/>
      <c r="AN257" s="1"/>
      <c r="AO257" s="1"/>
      <c r="AP257" s="61"/>
      <c r="AQ257" s="61"/>
      <c r="AR257" s="76"/>
      <c r="AS257" s="76"/>
      <c r="AT257" s="69"/>
      <c r="AU257" s="77"/>
      <c r="AV257" s="61"/>
      <c r="AW257" s="70"/>
      <c r="AX257" s="70"/>
      <c r="AY257" s="71"/>
      <c r="AZ257" s="70"/>
      <c r="BA257" s="71"/>
      <c r="BB257" s="70"/>
      <c r="BC257" s="78"/>
      <c r="BD257" s="78"/>
      <c r="BE257" s="78">
        <f t="shared" si="85"/>
        <v>0</v>
      </c>
      <c r="BF257" t="str">
        <f t="shared" si="86"/>
        <v/>
      </c>
    </row>
    <row r="258" spans="1:58" ht="29.25" hidden="1" customHeight="1" x14ac:dyDescent="0.25">
      <c r="A258" s="8"/>
      <c r="B258" s="8"/>
      <c r="C258" s="8"/>
      <c r="D258" s="8"/>
      <c r="E258" s="8"/>
      <c r="F258" s="8"/>
      <c r="G258" s="8"/>
      <c r="H258" s="8"/>
      <c r="I258" s="12"/>
      <c r="J258" s="10"/>
      <c r="K258" s="11"/>
      <c r="L258" s="11"/>
      <c r="M258" s="11"/>
      <c r="N258" s="11"/>
      <c r="O258" s="76"/>
      <c r="P258" s="76"/>
      <c r="Q258" s="76"/>
      <c r="R258" s="76"/>
      <c r="S258" s="3"/>
      <c r="T258" s="1"/>
      <c r="U258" s="1"/>
      <c r="V258" s="1"/>
      <c r="W258" s="1"/>
      <c r="X258" s="2"/>
      <c r="Y258" s="1"/>
      <c r="Z258" s="1"/>
      <c r="AA258" s="11"/>
      <c r="AB258" s="11"/>
      <c r="AC258" s="1"/>
      <c r="AD258" s="1"/>
      <c r="AE258" s="1"/>
      <c r="AF258" s="1"/>
      <c r="AG258" s="1"/>
      <c r="AH258" s="1"/>
      <c r="AI258" s="76"/>
      <c r="AJ258" s="76"/>
      <c r="AK258" s="1"/>
      <c r="AL258" s="1"/>
      <c r="AM258" s="1"/>
      <c r="AN258" s="1"/>
      <c r="AO258" s="1"/>
      <c r="AP258" s="61"/>
      <c r="AQ258" s="61"/>
      <c r="AR258" s="76"/>
      <c r="AS258" s="76"/>
      <c r="AT258" s="69"/>
      <c r="AU258" s="77"/>
      <c r="AV258" s="61"/>
      <c r="AW258" s="70"/>
      <c r="AX258" s="70"/>
      <c r="AY258" s="71"/>
      <c r="AZ258" s="70"/>
      <c r="BA258" s="71"/>
      <c r="BB258" s="70"/>
      <c r="BC258" s="78"/>
      <c r="BD258" s="78"/>
      <c r="BE258" s="78">
        <f t="shared" ref="BE258:BE321" si="87">MAX($BC258-$BD258,0)</f>
        <v>0</v>
      </c>
      <c r="BF258" t="str">
        <f t="shared" ref="BF258:BF321" si="88">IF($AX258=0,"",IF($AX258=1,$AW258,"MULTIRUA / VER MAPA"))</f>
        <v/>
      </c>
    </row>
    <row r="259" spans="1:58" ht="29.25" hidden="1" customHeight="1" x14ac:dyDescent="0.25">
      <c r="A259" s="8"/>
      <c r="B259" s="8"/>
      <c r="C259" s="8"/>
      <c r="D259" s="8"/>
      <c r="E259" s="8"/>
      <c r="F259" s="8"/>
      <c r="G259" s="8"/>
      <c r="H259" s="8"/>
      <c r="I259" s="12"/>
      <c r="J259" s="10"/>
      <c r="K259" s="11"/>
      <c r="L259" s="11"/>
      <c r="M259" s="11"/>
      <c r="N259" s="11"/>
      <c r="O259" s="76"/>
      <c r="P259" s="76"/>
      <c r="Q259" s="76"/>
      <c r="R259" s="76"/>
      <c r="S259" s="3"/>
      <c r="T259" s="1"/>
      <c r="U259" s="1"/>
      <c r="V259" s="1"/>
      <c r="W259" s="1"/>
      <c r="X259" s="2"/>
      <c r="Y259" s="1"/>
      <c r="Z259" s="1"/>
      <c r="AA259" s="11"/>
      <c r="AB259" s="11"/>
      <c r="AC259" s="1"/>
      <c r="AD259" s="1"/>
      <c r="AE259" s="1"/>
      <c r="AF259" s="1"/>
      <c r="AG259" s="1"/>
      <c r="AH259" s="1"/>
      <c r="AI259" s="76"/>
      <c r="AJ259" s="76"/>
      <c r="AK259" s="1"/>
      <c r="AL259" s="1"/>
      <c r="AM259" s="1"/>
      <c r="AN259" s="1"/>
      <c r="AO259" s="1"/>
      <c r="AP259" s="61"/>
      <c r="AQ259" s="61"/>
      <c r="AR259" s="76"/>
      <c r="AS259" s="76"/>
      <c r="AT259" s="69"/>
      <c r="AU259" s="77"/>
      <c r="AV259" s="61"/>
      <c r="AW259" s="70"/>
      <c r="AX259" s="70"/>
      <c r="AY259" s="71"/>
      <c r="AZ259" s="70"/>
      <c r="BA259" s="71"/>
      <c r="BB259" s="70"/>
      <c r="BC259" s="78"/>
      <c r="BD259" s="78"/>
      <c r="BE259" s="78">
        <f t="shared" si="87"/>
        <v>0</v>
      </c>
      <c r="BF259" t="str">
        <f t="shared" si="88"/>
        <v/>
      </c>
    </row>
    <row r="260" spans="1:58" ht="29.25" hidden="1" customHeight="1" x14ac:dyDescent="0.25">
      <c r="A260" s="8"/>
      <c r="B260" s="8"/>
      <c r="C260" s="8"/>
      <c r="D260" s="8"/>
      <c r="E260" s="8"/>
      <c r="F260" s="8"/>
      <c r="G260" s="8"/>
      <c r="H260" s="8"/>
      <c r="I260" s="12"/>
      <c r="J260" s="10"/>
      <c r="K260" s="11"/>
      <c r="L260" s="11"/>
      <c r="M260" s="11"/>
      <c r="N260" s="11"/>
      <c r="O260" s="76"/>
      <c r="P260" s="76"/>
      <c r="Q260" s="76"/>
      <c r="R260" s="76"/>
      <c r="S260" s="3"/>
      <c r="T260" s="1"/>
      <c r="U260" s="1"/>
      <c r="V260" s="1"/>
      <c r="W260" s="1"/>
      <c r="X260" s="2"/>
      <c r="Y260" s="1"/>
      <c r="Z260" s="1"/>
      <c r="AA260" s="11"/>
      <c r="AB260" s="11"/>
      <c r="AC260" s="1"/>
      <c r="AD260" s="1"/>
      <c r="AE260" s="1"/>
      <c r="AF260" s="1"/>
      <c r="AG260" s="1"/>
      <c r="AH260" s="1"/>
      <c r="AI260" s="76"/>
      <c r="AJ260" s="76"/>
      <c r="AK260" s="1"/>
      <c r="AL260" s="1"/>
      <c r="AM260" s="1"/>
      <c r="AN260" s="1"/>
      <c r="AO260" s="1"/>
      <c r="AP260" s="61"/>
      <c r="AQ260" s="61"/>
      <c r="AR260" s="76"/>
      <c r="AS260" s="76"/>
      <c r="AT260" s="69"/>
      <c r="AU260" s="77"/>
      <c r="AV260" s="61"/>
      <c r="AW260" s="70"/>
      <c r="AX260" s="70"/>
      <c r="AY260" s="71"/>
      <c r="AZ260" s="70"/>
      <c r="BA260" s="71"/>
      <c r="BB260" s="70"/>
      <c r="BC260" s="78"/>
      <c r="BD260" s="78"/>
      <c r="BE260" s="78">
        <f t="shared" si="87"/>
        <v>0</v>
      </c>
      <c r="BF260" t="str">
        <f t="shared" si="88"/>
        <v/>
      </c>
    </row>
    <row r="261" spans="1:58" ht="29.25" hidden="1" customHeight="1" x14ac:dyDescent="0.25">
      <c r="A261" s="8"/>
      <c r="B261" s="8"/>
      <c r="C261" s="8"/>
      <c r="D261" s="8"/>
      <c r="E261" s="8"/>
      <c r="F261" s="8"/>
      <c r="G261" s="8"/>
      <c r="H261" s="8"/>
      <c r="I261" s="12"/>
      <c r="J261" s="10"/>
      <c r="K261" s="11"/>
      <c r="L261" s="11"/>
      <c r="M261" s="11"/>
      <c r="N261" s="11"/>
      <c r="O261" s="76"/>
      <c r="P261" s="76"/>
      <c r="Q261" s="76"/>
      <c r="R261" s="76"/>
      <c r="S261" s="3"/>
      <c r="T261" s="1"/>
      <c r="U261" s="1"/>
      <c r="V261" s="1"/>
      <c r="W261" s="1"/>
      <c r="X261" s="2"/>
      <c r="Y261" s="1"/>
      <c r="Z261" s="1"/>
      <c r="AA261" s="11"/>
      <c r="AB261" s="11"/>
      <c r="AC261" s="1"/>
      <c r="AD261" s="1"/>
      <c r="AE261" s="1"/>
      <c r="AF261" s="1"/>
      <c r="AG261" s="1"/>
      <c r="AH261" s="1"/>
      <c r="AI261" s="76"/>
      <c r="AJ261" s="76"/>
      <c r="AK261" s="1"/>
      <c r="AL261" s="1"/>
      <c r="AM261" s="1"/>
      <c r="AN261" s="1"/>
      <c r="AO261" s="1"/>
      <c r="AP261" s="61"/>
      <c r="AQ261" s="61"/>
      <c r="AR261" s="76"/>
      <c r="AS261" s="76"/>
      <c r="AT261" s="69"/>
      <c r="AU261" s="77"/>
      <c r="AV261" s="61"/>
      <c r="AW261" s="70"/>
      <c r="AX261" s="70"/>
      <c r="AY261" s="71"/>
      <c r="AZ261" s="70"/>
      <c r="BA261" s="71"/>
      <c r="BB261" s="70"/>
      <c r="BC261" s="78"/>
      <c r="BD261" s="78"/>
      <c r="BE261" s="78">
        <f t="shared" si="87"/>
        <v>0</v>
      </c>
      <c r="BF261" t="str">
        <f t="shared" si="88"/>
        <v/>
      </c>
    </row>
    <row r="262" spans="1:58" ht="29.25" hidden="1" customHeight="1" x14ac:dyDescent="0.25">
      <c r="A262" s="8"/>
      <c r="B262" s="8"/>
      <c r="C262" s="8"/>
      <c r="D262" s="8"/>
      <c r="E262" s="8"/>
      <c r="F262" s="8"/>
      <c r="G262" s="8"/>
      <c r="H262" s="8"/>
      <c r="I262" s="12"/>
      <c r="J262" s="10"/>
      <c r="K262" s="11"/>
      <c r="L262" s="11"/>
      <c r="M262" s="11"/>
      <c r="N262" s="11"/>
      <c r="O262" s="76"/>
      <c r="P262" s="76"/>
      <c r="Q262" s="76"/>
      <c r="R262" s="76"/>
      <c r="S262" s="3"/>
      <c r="T262" s="1"/>
      <c r="U262" s="1"/>
      <c r="V262" s="1"/>
      <c r="W262" s="1"/>
      <c r="X262" s="2"/>
      <c r="Y262" s="1"/>
      <c r="Z262" s="1"/>
      <c r="AA262" s="11"/>
      <c r="AB262" s="11"/>
      <c r="AC262" s="1"/>
      <c r="AD262" s="1"/>
      <c r="AE262" s="1"/>
      <c r="AF262" s="1"/>
      <c r="AG262" s="1"/>
      <c r="AH262" s="1"/>
      <c r="AI262" s="76"/>
      <c r="AJ262" s="76"/>
      <c r="AK262" s="1"/>
      <c r="AL262" s="1"/>
      <c r="AM262" s="1"/>
      <c r="AN262" s="1"/>
      <c r="AO262" s="1"/>
      <c r="AP262" s="61"/>
      <c r="AQ262" s="61"/>
      <c r="AR262" s="76"/>
      <c r="AS262" s="76"/>
      <c r="AT262" s="69"/>
      <c r="AU262" s="77"/>
      <c r="AV262" s="61"/>
      <c r="AW262" s="70"/>
      <c r="AX262" s="70"/>
      <c r="AY262" s="71"/>
      <c r="AZ262" s="70"/>
      <c r="BA262" s="71"/>
      <c r="BB262" s="70"/>
      <c r="BC262" s="78"/>
      <c r="BD262" s="78"/>
      <c r="BE262" s="78">
        <f t="shared" si="87"/>
        <v>0</v>
      </c>
      <c r="BF262" t="str">
        <f t="shared" si="88"/>
        <v/>
      </c>
    </row>
    <row r="263" spans="1:58" ht="29.25" hidden="1" customHeight="1" x14ac:dyDescent="0.25">
      <c r="A263" s="8"/>
      <c r="B263" s="8"/>
      <c r="C263" s="8"/>
      <c r="D263" s="8"/>
      <c r="E263" s="8"/>
      <c r="F263" s="8"/>
      <c r="G263" s="8"/>
      <c r="H263" s="8"/>
      <c r="I263" s="12"/>
      <c r="J263" s="10"/>
      <c r="K263" s="11"/>
      <c r="L263" s="11"/>
      <c r="M263" s="11"/>
      <c r="N263" s="11"/>
      <c r="O263" s="76"/>
      <c r="P263" s="76"/>
      <c r="Q263" s="76"/>
      <c r="R263" s="76"/>
      <c r="S263" s="3"/>
      <c r="T263" s="1"/>
      <c r="U263" s="1"/>
      <c r="V263" s="1"/>
      <c r="W263" s="1"/>
      <c r="X263" s="2"/>
      <c r="Y263" s="1"/>
      <c r="Z263" s="1"/>
      <c r="AA263" s="11"/>
      <c r="AB263" s="11"/>
      <c r="AC263" s="1"/>
      <c r="AD263" s="1"/>
      <c r="AE263" s="1"/>
      <c r="AF263" s="1"/>
      <c r="AG263" s="1"/>
      <c r="AH263" s="1"/>
      <c r="AI263" s="76"/>
      <c r="AJ263" s="76"/>
      <c r="AK263" s="1"/>
      <c r="AL263" s="1"/>
      <c r="AM263" s="1"/>
      <c r="AN263" s="1"/>
      <c r="AO263" s="1"/>
      <c r="AP263" s="61"/>
      <c r="AQ263" s="61"/>
      <c r="AR263" s="76"/>
      <c r="AS263" s="76"/>
      <c r="AT263" s="69"/>
      <c r="AU263" s="77"/>
      <c r="AV263" s="61"/>
      <c r="AW263" s="70"/>
      <c r="AX263" s="70"/>
      <c r="AY263" s="71"/>
      <c r="AZ263" s="70"/>
      <c r="BA263" s="71"/>
      <c r="BB263" s="70"/>
      <c r="BC263" s="78"/>
      <c r="BD263" s="78"/>
      <c r="BE263" s="78">
        <f t="shared" si="87"/>
        <v>0</v>
      </c>
      <c r="BF263" t="str">
        <f t="shared" si="88"/>
        <v/>
      </c>
    </row>
    <row r="264" spans="1:58" ht="29.25" hidden="1" customHeight="1" x14ac:dyDescent="0.25">
      <c r="A264" s="8"/>
      <c r="B264" s="8"/>
      <c r="C264" s="8"/>
      <c r="D264" s="8"/>
      <c r="E264" s="8"/>
      <c r="F264" s="8"/>
      <c r="G264" s="8"/>
      <c r="H264" s="8"/>
      <c r="I264" s="12"/>
      <c r="J264" s="10"/>
      <c r="K264" s="11"/>
      <c r="L264" s="11"/>
      <c r="M264" s="11"/>
      <c r="N264" s="11"/>
      <c r="O264" s="76"/>
      <c r="P264" s="76"/>
      <c r="Q264" s="76"/>
      <c r="R264" s="76"/>
      <c r="S264" s="3"/>
      <c r="T264" s="1"/>
      <c r="U264" s="1"/>
      <c r="V264" s="1"/>
      <c r="W264" s="1"/>
      <c r="X264" s="2"/>
      <c r="Y264" s="1"/>
      <c r="Z264" s="1"/>
      <c r="AA264" s="11"/>
      <c r="AB264" s="11"/>
      <c r="AC264" s="1"/>
      <c r="AD264" s="1"/>
      <c r="AE264" s="1"/>
      <c r="AF264" s="1"/>
      <c r="AG264" s="1"/>
      <c r="AH264" s="1"/>
      <c r="AI264" s="76"/>
      <c r="AJ264" s="76"/>
      <c r="AK264" s="1"/>
      <c r="AL264" s="1"/>
      <c r="AM264" s="1"/>
      <c r="AN264" s="1"/>
      <c r="AO264" s="1"/>
      <c r="AP264" s="61"/>
      <c r="AQ264" s="61"/>
      <c r="AR264" s="76"/>
      <c r="AS264" s="76"/>
      <c r="AT264" s="69"/>
      <c r="AU264" s="77"/>
      <c r="AV264" s="61"/>
      <c r="AW264" s="70"/>
      <c r="AX264" s="70"/>
      <c r="AY264" s="71"/>
      <c r="AZ264" s="70"/>
      <c r="BA264" s="71"/>
      <c r="BB264" s="70"/>
      <c r="BC264" s="78"/>
      <c r="BD264" s="78"/>
      <c r="BE264" s="78">
        <f t="shared" si="87"/>
        <v>0</v>
      </c>
      <c r="BF264" t="str">
        <f t="shared" si="88"/>
        <v/>
      </c>
    </row>
    <row r="265" spans="1:58" ht="29.25" hidden="1" customHeight="1" x14ac:dyDescent="0.25">
      <c r="A265" s="8"/>
      <c r="B265" s="8"/>
      <c r="C265" s="8"/>
      <c r="D265" s="8"/>
      <c r="E265" s="8"/>
      <c r="F265" s="8"/>
      <c r="G265" s="8"/>
      <c r="H265" s="8"/>
      <c r="I265" s="12"/>
      <c r="J265" s="10"/>
      <c r="K265" s="11"/>
      <c r="L265" s="11"/>
      <c r="M265" s="11"/>
      <c r="N265" s="11"/>
      <c r="O265" s="76"/>
      <c r="P265" s="76"/>
      <c r="Q265" s="76"/>
      <c r="R265" s="76"/>
      <c r="S265" s="3"/>
      <c r="T265" s="1"/>
      <c r="U265" s="1"/>
      <c r="V265" s="1"/>
      <c r="W265" s="1"/>
      <c r="X265" s="2"/>
      <c r="Y265" s="1"/>
      <c r="Z265" s="1"/>
      <c r="AA265" s="11"/>
      <c r="AB265" s="11"/>
      <c r="AC265" s="1"/>
      <c r="AD265" s="1"/>
      <c r="AE265" s="1"/>
      <c r="AF265" s="1"/>
      <c r="AG265" s="1"/>
      <c r="AH265" s="1"/>
      <c r="AI265" s="76"/>
      <c r="AJ265" s="76"/>
      <c r="AK265" s="1"/>
      <c r="AL265" s="1"/>
      <c r="AM265" s="1"/>
      <c r="AN265" s="1"/>
      <c r="AO265" s="1"/>
      <c r="AP265" s="61"/>
      <c r="AQ265" s="61"/>
      <c r="AR265" s="76"/>
      <c r="AS265" s="76"/>
      <c r="AT265" s="69"/>
      <c r="AU265" s="77"/>
      <c r="AV265" s="61"/>
      <c r="AW265" s="70"/>
      <c r="AX265" s="70"/>
      <c r="AY265" s="71"/>
      <c r="AZ265" s="70"/>
      <c r="BA265" s="71"/>
      <c r="BB265" s="70"/>
      <c r="BC265" s="78"/>
      <c r="BD265" s="78"/>
      <c r="BE265" s="78">
        <f t="shared" si="87"/>
        <v>0</v>
      </c>
      <c r="BF265" t="str">
        <f t="shared" si="88"/>
        <v/>
      </c>
    </row>
    <row r="266" spans="1:58" ht="29.25" hidden="1" customHeight="1" x14ac:dyDescent="0.25">
      <c r="A266" s="8"/>
      <c r="B266" s="8"/>
      <c r="C266" s="8"/>
      <c r="D266" s="8"/>
      <c r="E266" s="8"/>
      <c r="F266" s="8"/>
      <c r="G266" s="8"/>
      <c r="H266" s="8"/>
      <c r="I266" s="12"/>
      <c r="J266" s="10"/>
      <c r="K266" s="11"/>
      <c r="L266" s="11"/>
      <c r="M266" s="11"/>
      <c r="N266" s="11"/>
      <c r="O266" s="76"/>
      <c r="P266" s="76"/>
      <c r="Q266" s="76"/>
      <c r="R266" s="76"/>
      <c r="S266" s="3"/>
      <c r="T266" s="1"/>
      <c r="U266" s="1"/>
      <c r="V266" s="1"/>
      <c r="W266" s="1"/>
      <c r="X266" s="2"/>
      <c r="Y266" s="1"/>
      <c r="Z266" s="1"/>
      <c r="AA266" s="11"/>
      <c r="AB266" s="11"/>
      <c r="AC266" s="1"/>
      <c r="AD266" s="1"/>
      <c r="AE266" s="1"/>
      <c r="AF266" s="1"/>
      <c r="AG266" s="1"/>
      <c r="AH266" s="1"/>
      <c r="AI266" s="76"/>
      <c r="AJ266" s="76"/>
      <c r="AK266" s="1"/>
      <c r="AL266" s="1"/>
      <c r="AM266" s="1"/>
      <c r="AN266" s="1"/>
      <c r="AO266" s="1"/>
      <c r="AP266" s="61"/>
      <c r="AQ266" s="61"/>
      <c r="AR266" s="76"/>
      <c r="AS266" s="76"/>
      <c r="AT266" s="69"/>
      <c r="AU266" s="77"/>
      <c r="AV266" s="61"/>
      <c r="AW266" s="70"/>
      <c r="AX266" s="70"/>
      <c r="AY266" s="71"/>
      <c r="AZ266" s="70"/>
      <c r="BA266" s="71"/>
      <c r="BB266" s="70"/>
      <c r="BC266" s="78"/>
      <c r="BD266" s="78"/>
      <c r="BE266" s="78">
        <f t="shared" si="87"/>
        <v>0</v>
      </c>
      <c r="BF266" t="str">
        <f t="shared" si="88"/>
        <v/>
      </c>
    </row>
    <row r="267" spans="1:58" ht="29.25" hidden="1" customHeight="1" x14ac:dyDescent="0.25">
      <c r="A267" s="8"/>
      <c r="B267" s="8"/>
      <c r="C267" s="8"/>
      <c r="D267" s="8"/>
      <c r="E267" s="8"/>
      <c r="F267" s="8"/>
      <c r="G267" s="8"/>
      <c r="H267" s="8"/>
      <c r="I267" s="12"/>
      <c r="J267" s="10"/>
      <c r="K267" s="11"/>
      <c r="L267" s="11"/>
      <c r="M267" s="11"/>
      <c r="N267" s="11"/>
      <c r="O267" s="76"/>
      <c r="P267" s="76"/>
      <c r="Q267" s="76"/>
      <c r="R267" s="76"/>
      <c r="S267" s="3"/>
      <c r="T267" s="1"/>
      <c r="U267" s="1"/>
      <c r="V267" s="1"/>
      <c r="W267" s="1"/>
      <c r="X267" s="2"/>
      <c r="Y267" s="1"/>
      <c r="Z267" s="1"/>
      <c r="AA267" s="11"/>
      <c r="AB267" s="11"/>
      <c r="AC267" s="1"/>
      <c r="AD267" s="1"/>
      <c r="AE267" s="1"/>
      <c r="AF267" s="1"/>
      <c r="AG267" s="1"/>
      <c r="AH267" s="1"/>
      <c r="AI267" s="76"/>
      <c r="AJ267" s="76"/>
      <c r="AK267" s="1"/>
      <c r="AL267" s="1"/>
      <c r="AM267" s="1"/>
      <c r="AN267" s="1"/>
      <c r="AO267" s="1"/>
      <c r="AP267" s="61"/>
      <c r="AQ267" s="61"/>
      <c r="AR267" s="76"/>
      <c r="AS267" s="76"/>
      <c r="AT267" s="69"/>
      <c r="AU267" s="77"/>
      <c r="AV267" s="61"/>
      <c r="AW267" s="70"/>
      <c r="AX267" s="70"/>
      <c r="AY267" s="71"/>
      <c r="AZ267" s="70"/>
      <c r="BA267" s="71"/>
      <c r="BB267" s="70"/>
      <c r="BC267" s="78"/>
      <c r="BD267" s="78"/>
      <c r="BE267" s="78">
        <f t="shared" si="87"/>
        <v>0</v>
      </c>
      <c r="BF267" t="str">
        <f t="shared" si="88"/>
        <v/>
      </c>
    </row>
    <row r="268" spans="1:58" ht="29.25" hidden="1" customHeight="1" x14ac:dyDescent="0.25">
      <c r="A268" s="8"/>
      <c r="B268" s="8"/>
      <c r="C268" s="8"/>
      <c r="D268" s="8"/>
      <c r="E268" s="8"/>
      <c r="F268" s="8"/>
      <c r="G268" s="8"/>
      <c r="H268" s="8"/>
      <c r="I268" s="12"/>
      <c r="J268" s="10"/>
      <c r="K268" s="11"/>
      <c r="L268" s="11"/>
      <c r="M268" s="11"/>
      <c r="N268" s="11"/>
      <c r="O268" s="76"/>
      <c r="P268" s="76"/>
      <c r="Q268" s="76"/>
      <c r="R268" s="76"/>
      <c r="S268" s="3"/>
      <c r="T268" s="1"/>
      <c r="U268" s="1"/>
      <c r="V268" s="1"/>
      <c r="W268" s="1"/>
      <c r="X268" s="2"/>
      <c r="Y268" s="1"/>
      <c r="Z268" s="1"/>
      <c r="AA268" s="11"/>
      <c r="AB268" s="11"/>
      <c r="AC268" s="1"/>
      <c r="AD268" s="1"/>
      <c r="AE268" s="1"/>
      <c r="AF268" s="1"/>
      <c r="AG268" s="1"/>
      <c r="AH268" s="1"/>
      <c r="AI268" s="76"/>
      <c r="AJ268" s="76"/>
      <c r="AK268" s="1"/>
      <c r="AL268" s="1"/>
      <c r="AM268" s="1"/>
      <c r="AN268" s="1"/>
      <c r="AO268" s="1"/>
      <c r="AP268" s="61"/>
      <c r="AQ268" s="61"/>
      <c r="AR268" s="76"/>
      <c r="AS268" s="76"/>
      <c r="AT268" s="69"/>
      <c r="AU268" s="77"/>
      <c r="AV268" s="61"/>
      <c r="AW268" s="70"/>
      <c r="AX268" s="70"/>
      <c r="AY268" s="71"/>
      <c r="AZ268" s="70"/>
      <c r="BA268" s="71"/>
      <c r="BB268" s="70"/>
      <c r="BC268" s="78"/>
      <c r="BD268" s="78"/>
      <c r="BE268" s="78">
        <f t="shared" si="87"/>
        <v>0</v>
      </c>
      <c r="BF268" t="str">
        <f t="shared" si="88"/>
        <v/>
      </c>
    </row>
    <row r="269" spans="1:58" ht="29.25" hidden="1" customHeight="1" x14ac:dyDescent="0.25">
      <c r="A269" s="8"/>
      <c r="B269" s="8"/>
      <c r="C269" s="8"/>
      <c r="D269" s="8"/>
      <c r="E269" s="8"/>
      <c r="F269" s="8"/>
      <c r="G269" s="8"/>
      <c r="H269" s="8"/>
      <c r="I269" s="12"/>
      <c r="J269" s="10"/>
      <c r="K269" s="11"/>
      <c r="L269" s="11"/>
      <c r="M269" s="11"/>
      <c r="N269" s="11"/>
      <c r="O269" s="76"/>
      <c r="P269" s="76"/>
      <c r="Q269" s="76"/>
      <c r="R269" s="76"/>
      <c r="S269" s="3"/>
      <c r="T269" s="1"/>
      <c r="U269" s="1"/>
      <c r="V269" s="1"/>
      <c r="W269" s="1"/>
      <c r="X269" s="2"/>
      <c r="Y269" s="1"/>
      <c r="Z269" s="1"/>
      <c r="AA269" s="11"/>
      <c r="AB269" s="11"/>
      <c r="AC269" s="1"/>
      <c r="AD269" s="1"/>
      <c r="AE269" s="1"/>
      <c r="AF269" s="1"/>
      <c r="AG269" s="1"/>
      <c r="AH269" s="1"/>
      <c r="AI269" s="76"/>
      <c r="AJ269" s="76"/>
      <c r="AK269" s="1"/>
      <c r="AL269" s="1"/>
      <c r="AM269" s="1"/>
      <c r="AN269" s="1"/>
      <c r="AO269" s="1"/>
      <c r="AP269" s="61"/>
      <c r="AQ269" s="61"/>
      <c r="AR269" s="76"/>
      <c r="AS269" s="76"/>
      <c r="AT269" s="69"/>
      <c r="AU269" s="77"/>
      <c r="AV269" s="61"/>
      <c r="AW269" s="70"/>
      <c r="AX269" s="70"/>
      <c r="AY269" s="71"/>
      <c r="AZ269" s="70"/>
      <c r="BA269" s="71"/>
      <c r="BB269" s="70"/>
      <c r="BC269" s="78"/>
      <c r="BD269" s="78"/>
      <c r="BE269" s="78">
        <f t="shared" si="87"/>
        <v>0</v>
      </c>
      <c r="BF269" t="str">
        <f t="shared" si="88"/>
        <v/>
      </c>
    </row>
    <row r="270" spans="1:58" ht="29.25" hidden="1" customHeight="1" x14ac:dyDescent="0.25">
      <c r="A270" s="8"/>
      <c r="B270" s="8"/>
      <c r="C270" s="8"/>
      <c r="D270" s="8"/>
      <c r="E270" s="8"/>
      <c r="F270" s="8"/>
      <c r="G270" s="8"/>
      <c r="H270" s="8"/>
      <c r="I270" s="12"/>
      <c r="J270" s="10"/>
      <c r="K270" s="11"/>
      <c r="L270" s="11"/>
      <c r="M270" s="11"/>
      <c r="N270" s="11"/>
      <c r="O270" s="76"/>
      <c r="P270" s="76"/>
      <c r="Q270" s="76"/>
      <c r="R270" s="76"/>
      <c r="S270" s="3"/>
      <c r="T270" s="1"/>
      <c r="U270" s="1"/>
      <c r="V270" s="1"/>
      <c r="W270" s="1"/>
      <c r="X270" s="2"/>
      <c r="Y270" s="1"/>
      <c r="Z270" s="1"/>
      <c r="AA270" s="11"/>
      <c r="AB270" s="11"/>
      <c r="AC270" s="1"/>
      <c r="AD270" s="1"/>
      <c r="AE270" s="1"/>
      <c r="AF270" s="1"/>
      <c r="AG270" s="1"/>
      <c r="AH270" s="1"/>
      <c r="AI270" s="76"/>
      <c r="AJ270" s="76"/>
      <c r="AK270" s="1"/>
      <c r="AL270" s="1"/>
      <c r="AM270" s="1"/>
      <c r="AN270" s="1"/>
      <c r="AO270" s="1"/>
      <c r="AP270" s="61"/>
      <c r="AQ270" s="61"/>
      <c r="AR270" s="76"/>
      <c r="AS270" s="76"/>
      <c r="AT270" s="69"/>
      <c r="AU270" s="77"/>
      <c r="AV270" s="61"/>
      <c r="AW270" s="70"/>
      <c r="AX270" s="70"/>
      <c r="AY270" s="71"/>
      <c r="AZ270" s="70"/>
      <c r="BA270" s="71"/>
      <c r="BB270" s="70"/>
      <c r="BC270" s="78"/>
      <c r="BD270" s="78"/>
      <c r="BE270" s="78">
        <f t="shared" si="87"/>
        <v>0</v>
      </c>
      <c r="BF270" t="str">
        <f t="shared" si="88"/>
        <v/>
      </c>
    </row>
    <row r="271" spans="1:58" ht="29.25" hidden="1" customHeight="1" x14ac:dyDescent="0.25">
      <c r="A271" s="8"/>
      <c r="B271" s="8"/>
      <c r="C271" s="8"/>
      <c r="D271" s="8"/>
      <c r="E271" s="8"/>
      <c r="F271" s="8"/>
      <c r="G271" s="8"/>
      <c r="H271" s="8"/>
      <c r="I271" s="12"/>
      <c r="J271" s="10"/>
      <c r="K271" s="11"/>
      <c r="L271" s="11"/>
      <c r="M271" s="11"/>
      <c r="N271" s="11"/>
      <c r="O271" s="76"/>
      <c r="P271" s="76"/>
      <c r="Q271" s="76"/>
      <c r="R271" s="76"/>
      <c r="S271" s="3"/>
      <c r="T271" s="1"/>
      <c r="U271" s="1"/>
      <c r="V271" s="1"/>
      <c r="W271" s="1"/>
      <c r="X271" s="2"/>
      <c r="Y271" s="1"/>
      <c r="Z271" s="1"/>
      <c r="AA271" s="11"/>
      <c r="AB271" s="11"/>
      <c r="AC271" s="1"/>
      <c r="AD271" s="1"/>
      <c r="AE271" s="1"/>
      <c r="AF271" s="1"/>
      <c r="AG271" s="1"/>
      <c r="AH271" s="1"/>
      <c r="AI271" s="76"/>
      <c r="AJ271" s="76"/>
      <c r="AK271" s="1"/>
      <c r="AL271" s="1"/>
      <c r="AM271" s="1"/>
      <c r="AN271" s="1"/>
      <c r="AO271" s="1"/>
      <c r="AP271" s="61"/>
      <c r="AQ271" s="61"/>
      <c r="AR271" s="76"/>
      <c r="AS271" s="76"/>
      <c r="AT271" s="69"/>
      <c r="AU271" s="77"/>
      <c r="AV271" s="61"/>
      <c r="AW271" s="70"/>
      <c r="AX271" s="70"/>
      <c r="AY271" s="71"/>
      <c r="AZ271" s="70"/>
      <c r="BA271" s="71"/>
      <c r="BB271" s="70"/>
      <c r="BC271" s="78"/>
      <c r="BD271" s="78"/>
      <c r="BE271" s="78">
        <f t="shared" si="87"/>
        <v>0</v>
      </c>
      <c r="BF271" t="str">
        <f t="shared" si="88"/>
        <v/>
      </c>
    </row>
    <row r="272" spans="1:58" ht="29.25" hidden="1" customHeight="1" x14ac:dyDescent="0.25">
      <c r="A272" s="8"/>
      <c r="B272" s="8"/>
      <c r="C272" s="8"/>
      <c r="D272" s="8"/>
      <c r="E272" s="8"/>
      <c r="F272" s="8"/>
      <c r="G272" s="8"/>
      <c r="H272" s="8"/>
      <c r="I272" s="12"/>
      <c r="J272" s="10"/>
      <c r="K272" s="11"/>
      <c r="L272" s="11"/>
      <c r="M272" s="11"/>
      <c r="N272" s="11"/>
      <c r="O272" s="76"/>
      <c r="P272" s="76"/>
      <c r="Q272" s="76"/>
      <c r="R272" s="76"/>
      <c r="S272" s="3"/>
      <c r="T272" s="1"/>
      <c r="U272" s="1"/>
      <c r="V272" s="1"/>
      <c r="W272" s="1"/>
      <c r="X272" s="2"/>
      <c r="Y272" s="1"/>
      <c r="Z272" s="1"/>
      <c r="AA272" s="11"/>
      <c r="AB272" s="11"/>
      <c r="AC272" s="1"/>
      <c r="AD272" s="1"/>
      <c r="AE272" s="1"/>
      <c r="AF272" s="1"/>
      <c r="AG272" s="1"/>
      <c r="AH272" s="1"/>
      <c r="AI272" s="76"/>
      <c r="AJ272" s="76"/>
      <c r="AK272" s="1"/>
      <c r="AL272" s="1"/>
      <c r="AM272" s="1"/>
      <c r="AN272" s="1"/>
      <c r="AO272" s="1"/>
      <c r="AP272" s="61"/>
      <c r="AQ272" s="61"/>
      <c r="AR272" s="76"/>
      <c r="AS272" s="76"/>
      <c r="AT272" s="69"/>
      <c r="AU272" s="77"/>
      <c r="AV272" s="61"/>
      <c r="AW272" s="70"/>
      <c r="AX272" s="70"/>
      <c r="AY272" s="71"/>
      <c r="AZ272" s="70"/>
      <c r="BA272" s="71"/>
      <c r="BB272" s="70"/>
      <c r="BC272" s="78"/>
      <c r="BD272" s="78"/>
      <c r="BE272" s="78">
        <f t="shared" si="87"/>
        <v>0</v>
      </c>
      <c r="BF272" t="str">
        <f t="shared" si="88"/>
        <v/>
      </c>
    </row>
    <row r="273" spans="1:63" ht="29.25" hidden="1" customHeight="1" x14ac:dyDescent="0.25">
      <c r="A273" s="8"/>
      <c r="B273" s="8"/>
      <c r="C273" s="8"/>
      <c r="D273" s="8"/>
      <c r="E273" s="8"/>
      <c r="F273" s="8"/>
      <c r="G273" s="8"/>
      <c r="H273" s="8"/>
      <c r="I273" s="12"/>
      <c r="J273" s="10"/>
      <c r="K273" s="11"/>
      <c r="L273" s="11"/>
      <c r="M273" s="11"/>
      <c r="N273" s="11"/>
      <c r="O273" s="76"/>
      <c r="P273" s="76"/>
      <c r="Q273" s="76"/>
      <c r="R273" s="76"/>
      <c r="S273" s="3"/>
      <c r="T273" s="1"/>
      <c r="U273" s="1"/>
      <c r="V273" s="1"/>
      <c r="W273" s="1"/>
      <c r="X273" s="2"/>
      <c r="Y273" s="1"/>
      <c r="Z273" s="1"/>
      <c r="AA273" s="11"/>
      <c r="AB273" s="11"/>
      <c r="AC273" s="1"/>
      <c r="AD273" s="1"/>
      <c r="AE273" s="1"/>
      <c r="AF273" s="1"/>
      <c r="AG273" s="1"/>
      <c r="AH273" s="1"/>
      <c r="AI273" s="76"/>
      <c r="AJ273" s="76"/>
      <c r="AK273" s="1"/>
      <c r="AL273" s="1"/>
      <c r="AM273" s="1"/>
      <c r="AN273" s="1"/>
      <c r="AO273" s="1"/>
      <c r="AP273" s="61"/>
      <c r="AQ273" s="61"/>
      <c r="AR273" s="76"/>
      <c r="AS273" s="76"/>
      <c r="AT273" s="69"/>
      <c r="AU273" s="77"/>
      <c r="AV273" s="61"/>
      <c r="AW273" s="70"/>
      <c r="AX273" s="70"/>
      <c r="AY273" s="71"/>
      <c r="AZ273" s="70"/>
      <c r="BA273" s="71"/>
      <c r="BB273" s="70"/>
      <c r="BC273" s="78"/>
      <c r="BD273" s="78"/>
      <c r="BE273" s="78">
        <f t="shared" si="87"/>
        <v>0</v>
      </c>
      <c r="BF273" t="str">
        <f t="shared" si="88"/>
        <v/>
      </c>
    </row>
    <row r="274" spans="1:63" ht="29.25" hidden="1" customHeight="1" x14ac:dyDescent="0.25">
      <c r="A274" s="8"/>
      <c r="B274" s="8"/>
      <c r="C274" s="8"/>
      <c r="D274" s="8"/>
      <c r="E274" s="8"/>
      <c r="F274" s="8"/>
      <c r="G274" s="8"/>
      <c r="H274" s="8"/>
      <c r="I274" s="12"/>
      <c r="J274" s="10"/>
      <c r="K274" s="11"/>
      <c r="L274" s="11"/>
      <c r="M274" s="11"/>
      <c r="N274" s="11"/>
      <c r="O274" s="76"/>
      <c r="P274" s="76"/>
      <c r="Q274" s="76"/>
      <c r="R274" s="76"/>
      <c r="S274" s="3"/>
      <c r="T274" s="1"/>
      <c r="U274" s="1"/>
      <c r="V274" s="1"/>
      <c r="W274" s="1"/>
      <c r="X274" s="2"/>
      <c r="Y274" s="1"/>
      <c r="Z274" s="1"/>
      <c r="AA274" s="11"/>
      <c r="AB274" s="11"/>
      <c r="AC274" s="1"/>
      <c r="AD274" s="1"/>
      <c r="AE274" s="1"/>
      <c r="AF274" s="1"/>
      <c r="AG274" s="1"/>
      <c r="AH274" s="1"/>
      <c r="AI274" s="76"/>
      <c r="AJ274" s="76"/>
      <c r="AK274" s="1"/>
      <c r="AL274" s="1"/>
      <c r="AM274" s="1"/>
      <c r="AN274" s="1"/>
      <c r="AO274" s="1"/>
      <c r="AP274" s="61"/>
      <c r="AQ274" s="61"/>
      <c r="AR274" s="76"/>
      <c r="AS274" s="76"/>
      <c r="AT274" s="69"/>
      <c r="AU274" s="77"/>
      <c r="AV274" s="61"/>
      <c r="AW274" s="70"/>
      <c r="AX274" s="70"/>
      <c r="AY274" s="71"/>
      <c r="AZ274" s="70"/>
      <c r="BA274" s="71"/>
      <c r="BB274" s="70"/>
      <c r="BC274" s="78"/>
      <c r="BD274" s="78"/>
      <c r="BE274" s="78">
        <f t="shared" si="87"/>
        <v>0</v>
      </c>
      <c r="BF274" t="str">
        <f t="shared" si="88"/>
        <v/>
      </c>
    </row>
    <row r="275" spans="1:63" ht="29.25" hidden="1" customHeight="1" x14ac:dyDescent="0.25">
      <c r="A275" s="8"/>
      <c r="B275" s="8"/>
      <c r="C275" s="8"/>
      <c r="D275" s="8"/>
      <c r="E275" s="8"/>
      <c r="F275" s="8"/>
      <c r="G275" s="8"/>
      <c r="H275" s="8"/>
      <c r="I275" s="12"/>
      <c r="J275" s="10"/>
      <c r="K275" s="11"/>
      <c r="L275" s="11"/>
      <c r="M275" s="11"/>
      <c r="N275" s="11"/>
      <c r="O275" s="76"/>
      <c r="P275" s="76"/>
      <c r="Q275" s="76"/>
      <c r="R275" s="76"/>
      <c r="S275" s="3"/>
      <c r="T275" s="1"/>
      <c r="U275" s="1"/>
      <c r="V275" s="1"/>
      <c r="W275" s="1"/>
      <c r="X275" s="2"/>
      <c r="Y275" s="1"/>
      <c r="Z275" s="1"/>
      <c r="AA275" s="11"/>
      <c r="AB275" s="11"/>
      <c r="AC275" s="1"/>
      <c r="AD275" s="1"/>
      <c r="AE275" s="1"/>
      <c r="AF275" s="1"/>
      <c r="AG275" s="1"/>
      <c r="AH275" s="1"/>
      <c r="AI275" s="76"/>
      <c r="AJ275" s="76"/>
      <c r="AK275" s="1"/>
      <c r="AL275" s="1"/>
      <c r="AM275" s="1"/>
      <c r="AN275" s="1"/>
      <c r="AO275" s="1"/>
      <c r="AP275" s="61"/>
      <c r="AQ275" s="61"/>
      <c r="AR275" s="76"/>
      <c r="AS275" s="76"/>
      <c r="AT275" s="69"/>
      <c r="AU275" s="77"/>
      <c r="AV275" s="61"/>
      <c r="AW275" s="70"/>
      <c r="AX275" s="70"/>
      <c r="AY275" s="71"/>
      <c r="AZ275" s="70"/>
      <c r="BA275" s="71"/>
      <c r="BB275" s="70"/>
      <c r="BC275" s="78"/>
      <c r="BD275" s="78"/>
      <c r="BE275" s="78">
        <f t="shared" si="87"/>
        <v>0</v>
      </c>
      <c r="BF275" t="str">
        <f t="shared" si="88"/>
        <v/>
      </c>
    </row>
    <row r="276" spans="1:63" ht="29.25" hidden="1" customHeight="1" x14ac:dyDescent="0.25">
      <c r="A276" s="8"/>
      <c r="B276" s="8"/>
      <c r="C276" s="8"/>
      <c r="D276" s="8"/>
      <c r="E276" s="8"/>
      <c r="F276" s="8"/>
      <c r="G276" s="8"/>
      <c r="H276" s="8"/>
      <c r="I276" s="12"/>
      <c r="J276" s="10"/>
      <c r="K276" s="11"/>
      <c r="L276" s="11"/>
      <c r="M276" s="11"/>
      <c r="N276" s="11"/>
      <c r="O276" s="76"/>
      <c r="P276" s="76"/>
      <c r="Q276" s="76"/>
      <c r="R276" s="76"/>
      <c r="S276" s="3"/>
      <c r="T276" s="1"/>
      <c r="U276" s="1"/>
      <c r="V276" s="1"/>
      <c r="W276" s="1"/>
      <c r="X276" s="2"/>
      <c r="Y276" s="1"/>
      <c r="Z276" s="1"/>
      <c r="AA276" s="11"/>
      <c r="AB276" s="11"/>
      <c r="AC276" s="1"/>
      <c r="AD276" s="1"/>
      <c r="AE276" s="1"/>
      <c r="AF276" s="1"/>
      <c r="AG276" s="1"/>
      <c r="AH276" s="1"/>
      <c r="AI276" s="76"/>
      <c r="AJ276" s="76"/>
      <c r="AK276" s="1"/>
      <c r="AL276" s="1"/>
      <c r="AM276" s="1"/>
      <c r="AN276" s="1"/>
      <c r="AO276" s="1"/>
      <c r="AP276" s="61"/>
      <c r="AQ276" s="61"/>
      <c r="AR276" s="76"/>
      <c r="AS276" s="76"/>
      <c r="AT276" s="69"/>
      <c r="AU276" s="77"/>
      <c r="AV276" s="61"/>
      <c r="AW276" s="70"/>
      <c r="AX276" s="70"/>
      <c r="AY276" s="71"/>
      <c r="AZ276" s="70"/>
      <c r="BA276" s="71"/>
      <c r="BB276" s="70"/>
      <c r="BC276" s="78"/>
      <c r="BD276" s="78"/>
      <c r="BE276" s="78">
        <f t="shared" si="87"/>
        <v>0</v>
      </c>
      <c r="BF276" t="str">
        <f t="shared" si="88"/>
        <v/>
      </c>
    </row>
    <row r="277" spans="1:63" ht="29.25" hidden="1" customHeight="1" x14ac:dyDescent="0.25">
      <c r="A277" s="8"/>
      <c r="B277" s="8"/>
      <c r="C277" s="8"/>
      <c r="D277" s="8"/>
      <c r="E277" s="8"/>
      <c r="F277" s="8"/>
      <c r="G277" s="8"/>
      <c r="H277" s="8"/>
      <c r="I277" s="12"/>
      <c r="J277" s="10"/>
      <c r="K277" s="11"/>
      <c r="L277" s="11"/>
      <c r="M277" s="11"/>
      <c r="N277" s="11"/>
      <c r="O277" s="76"/>
      <c r="P277" s="76"/>
      <c r="Q277" s="76"/>
      <c r="R277" s="76"/>
      <c r="S277" s="3"/>
      <c r="T277" s="1"/>
      <c r="U277" s="1"/>
      <c r="V277" s="1"/>
      <c r="W277" s="1"/>
      <c r="X277" s="2"/>
      <c r="Y277" s="1"/>
      <c r="Z277" s="1"/>
      <c r="AA277" s="11"/>
      <c r="AB277" s="11"/>
      <c r="AC277" s="1"/>
      <c r="AD277" s="1"/>
      <c r="AE277" s="1"/>
      <c r="AF277" s="1"/>
      <c r="AG277" s="1"/>
      <c r="AH277" s="1"/>
      <c r="AI277" s="76"/>
      <c r="AJ277" s="76"/>
      <c r="AK277" s="1"/>
      <c r="AL277" s="1"/>
      <c r="AM277" s="1"/>
      <c r="AN277" s="1"/>
      <c r="AO277" s="1"/>
      <c r="AP277" s="61"/>
      <c r="AQ277" s="61"/>
      <c r="AR277" s="76"/>
      <c r="AS277" s="76"/>
      <c r="AT277" s="69"/>
      <c r="AU277" s="77"/>
      <c r="AV277" s="61"/>
      <c r="AW277" s="70"/>
      <c r="AX277" s="70"/>
      <c r="AY277" s="71"/>
      <c r="AZ277" s="70"/>
      <c r="BA277" s="71"/>
      <c r="BB277" s="70"/>
      <c r="BC277" s="78"/>
      <c r="BD277" s="78"/>
      <c r="BE277" s="78">
        <f t="shared" si="87"/>
        <v>0</v>
      </c>
      <c r="BF277" t="str">
        <f t="shared" si="88"/>
        <v/>
      </c>
    </row>
    <row r="278" spans="1:63" ht="29.25" hidden="1" customHeight="1" x14ac:dyDescent="0.25">
      <c r="A278" s="8"/>
      <c r="B278" s="8"/>
      <c r="C278" s="8"/>
      <c r="D278" s="8"/>
      <c r="E278" s="8"/>
      <c r="F278" s="8"/>
      <c r="G278" s="8"/>
      <c r="H278" s="8"/>
      <c r="I278" s="12"/>
      <c r="J278" s="10"/>
      <c r="K278" s="11"/>
      <c r="L278" s="11"/>
      <c r="M278" s="11"/>
      <c r="N278" s="11"/>
      <c r="O278" s="76"/>
      <c r="P278" s="76"/>
      <c r="Q278" s="76"/>
      <c r="R278" s="76"/>
      <c r="S278" s="3"/>
      <c r="T278" s="1"/>
      <c r="U278" s="1"/>
      <c r="V278" s="1"/>
      <c r="W278" s="1"/>
      <c r="X278" s="2"/>
      <c r="Y278" s="1"/>
      <c r="Z278" s="1"/>
      <c r="AA278" s="11"/>
      <c r="AB278" s="11"/>
      <c r="AC278" s="1"/>
      <c r="AD278" s="1"/>
      <c r="AE278" s="1"/>
      <c r="AF278" s="1"/>
      <c r="AG278" s="1"/>
      <c r="AH278" s="1"/>
      <c r="AI278" s="76"/>
      <c r="AJ278" s="76"/>
      <c r="AK278" s="1"/>
      <c r="AL278" s="1"/>
      <c r="AM278" s="1"/>
      <c r="AN278" s="1"/>
      <c r="AO278" s="1"/>
      <c r="AP278" s="61"/>
      <c r="AQ278" s="61"/>
      <c r="AR278" s="76"/>
      <c r="AS278" s="76"/>
      <c r="AT278" s="69"/>
      <c r="AU278" s="77"/>
      <c r="AV278" s="61"/>
      <c r="AW278" s="70"/>
      <c r="AX278" s="70"/>
      <c r="AY278" s="71"/>
      <c r="AZ278" s="70"/>
      <c r="BA278" s="71"/>
      <c r="BB278" s="70"/>
      <c r="BC278" s="78"/>
      <c r="BD278" s="78"/>
      <c r="BE278" s="78">
        <f t="shared" si="87"/>
        <v>0</v>
      </c>
      <c r="BF278" t="str">
        <f t="shared" si="88"/>
        <v/>
      </c>
    </row>
    <row r="279" spans="1:63" ht="29.25" hidden="1" customHeight="1" x14ac:dyDescent="0.25">
      <c r="A279" s="8"/>
      <c r="B279" s="8"/>
      <c r="C279" s="8"/>
      <c r="D279" s="8"/>
      <c r="E279" s="8"/>
      <c r="F279" s="8"/>
      <c r="G279" s="8"/>
      <c r="H279" s="8"/>
      <c r="I279" s="12"/>
      <c r="J279" s="10"/>
      <c r="K279" s="11"/>
      <c r="L279" s="11"/>
      <c r="M279" s="11"/>
      <c r="N279" s="11"/>
      <c r="O279" s="76"/>
      <c r="P279" s="76"/>
      <c r="Q279" s="76"/>
      <c r="R279" s="76"/>
      <c r="S279" s="3"/>
      <c r="T279" s="1"/>
      <c r="U279" s="1"/>
      <c r="V279" s="1"/>
      <c r="W279" s="1"/>
      <c r="X279" s="2"/>
      <c r="Y279" s="1"/>
      <c r="Z279" s="1"/>
      <c r="AA279" s="11"/>
      <c r="AB279" s="11"/>
      <c r="AC279" s="1"/>
      <c r="AD279" s="1"/>
      <c r="AE279" s="1"/>
      <c r="AF279" s="1"/>
      <c r="AG279" s="1"/>
      <c r="AH279" s="1"/>
      <c r="AI279" s="76"/>
      <c r="AJ279" s="76"/>
      <c r="AK279" s="1"/>
      <c r="AL279" s="1"/>
      <c r="AM279" s="1"/>
      <c r="AN279" s="1"/>
      <c r="AO279" s="1"/>
      <c r="AP279" s="61"/>
      <c r="AQ279" s="61"/>
      <c r="AR279" s="76"/>
      <c r="AS279" s="76"/>
      <c r="AT279" s="69"/>
      <c r="AU279" s="77"/>
      <c r="AV279" s="61"/>
      <c r="AW279" s="70"/>
      <c r="AX279" s="70"/>
      <c r="AY279" s="71"/>
      <c r="AZ279" s="70"/>
      <c r="BA279" s="71"/>
      <c r="BB279" s="70"/>
      <c r="BC279" s="78"/>
      <c r="BD279" s="78"/>
      <c r="BE279" s="78">
        <f t="shared" si="87"/>
        <v>0</v>
      </c>
      <c r="BF279" t="str">
        <f t="shared" si="88"/>
        <v/>
      </c>
    </row>
    <row r="280" spans="1:63" ht="29.25" hidden="1" customHeight="1" x14ac:dyDescent="0.25">
      <c r="A280" s="8"/>
      <c r="B280" s="8"/>
      <c r="C280" s="8"/>
      <c r="D280" s="8"/>
      <c r="E280" s="8"/>
      <c r="F280" s="8"/>
      <c r="G280" s="8"/>
      <c r="H280" s="8"/>
      <c r="I280" s="12"/>
      <c r="J280" s="10"/>
      <c r="K280" s="11"/>
      <c r="L280" s="11"/>
      <c r="M280" s="11"/>
      <c r="N280" s="11"/>
      <c r="O280" s="76"/>
      <c r="P280" s="76"/>
      <c r="Q280" s="76"/>
      <c r="R280" s="76"/>
      <c r="S280" s="3"/>
      <c r="T280" s="1"/>
      <c r="U280" s="1"/>
      <c r="V280" s="1"/>
      <c r="W280" s="1"/>
      <c r="X280" s="2"/>
      <c r="Y280" s="1"/>
      <c r="Z280" s="1"/>
      <c r="AA280" s="11"/>
      <c r="AB280" s="11"/>
      <c r="AC280" s="1"/>
      <c r="AD280" s="1"/>
      <c r="AE280" s="1"/>
      <c r="AF280" s="1"/>
      <c r="AG280" s="1"/>
      <c r="AH280" s="1"/>
      <c r="AI280" s="76"/>
      <c r="AJ280" s="76"/>
      <c r="AK280" s="1"/>
      <c r="AL280" s="1"/>
      <c r="AM280" s="1"/>
      <c r="AN280" s="1"/>
      <c r="AO280" s="1"/>
      <c r="AP280" s="61"/>
      <c r="AQ280" s="61"/>
      <c r="AR280" s="76"/>
      <c r="AS280" s="76"/>
      <c r="AT280" s="69"/>
      <c r="AU280" s="77"/>
      <c r="AV280" s="61"/>
      <c r="AW280" s="70"/>
      <c r="AX280" s="70"/>
      <c r="AY280" s="71"/>
      <c r="AZ280" s="70"/>
      <c r="BA280" s="71"/>
      <c r="BB280" s="70"/>
      <c r="BC280" s="78"/>
      <c r="BD280" s="78"/>
      <c r="BE280" s="78">
        <f t="shared" si="87"/>
        <v>0</v>
      </c>
      <c r="BF280" t="str">
        <f t="shared" si="88"/>
        <v/>
      </c>
    </row>
    <row r="281" spans="1:63" ht="29.25" hidden="1" customHeight="1" x14ac:dyDescent="0.25">
      <c r="A281" s="8"/>
      <c r="B281" s="8"/>
      <c r="C281" s="8"/>
      <c r="D281" s="8"/>
      <c r="E281" s="8"/>
      <c r="F281" s="8"/>
      <c r="G281" s="8"/>
      <c r="H281" s="8"/>
      <c r="I281" s="12"/>
      <c r="J281" s="10"/>
      <c r="K281" s="11"/>
      <c r="L281" s="11"/>
      <c r="M281" s="11"/>
      <c r="N281" s="11"/>
      <c r="O281" s="76"/>
      <c r="P281" s="76"/>
      <c r="Q281" s="76"/>
      <c r="R281" s="76"/>
      <c r="S281" s="3"/>
      <c r="T281" s="1"/>
      <c r="U281" s="1"/>
      <c r="V281" s="1"/>
      <c r="W281" s="1"/>
      <c r="X281" s="2"/>
      <c r="Y281" s="1"/>
      <c r="Z281" s="1"/>
      <c r="AA281" s="11"/>
      <c r="AB281" s="11"/>
      <c r="AC281" s="1"/>
      <c r="AD281" s="1"/>
      <c r="AE281" s="1"/>
      <c r="AF281" s="1"/>
      <c r="AG281" s="1"/>
      <c r="AH281" s="1"/>
      <c r="AI281" s="76"/>
      <c r="AJ281" s="76"/>
      <c r="AK281" s="1"/>
      <c r="AL281" s="1"/>
      <c r="AM281" s="1"/>
      <c r="AN281" s="1"/>
      <c r="AO281" s="1"/>
      <c r="AP281" s="61"/>
      <c r="AQ281" s="61"/>
      <c r="AR281" s="76"/>
      <c r="AS281" s="76"/>
      <c r="AT281" s="69"/>
      <c r="AU281" s="77"/>
      <c r="AV281" s="61"/>
      <c r="AW281" s="70"/>
      <c r="AX281" s="70"/>
      <c r="AY281" s="71"/>
      <c r="AZ281" s="70"/>
      <c r="BA281" s="71"/>
      <c r="BB281" s="70"/>
      <c r="BC281" s="78"/>
      <c r="BD281" s="78"/>
      <c r="BE281" s="78">
        <f t="shared" si="87"/>
        <v>0</v>
      </c>
      <c r="BF281" t="str">
        <f t="shared" si="88"/>
        <v/>
      </c>
    </row>
    <row r="282" spans="1:63" ht="29.25" hidden="1" customHeight="1" x14ac:dyDescent="0.25">
      <c r="A282" s="8"/>
      <c r="B282" s="8"/>
      <c r="C282" s="8"/>
      <c r="D282" s="8"/>
      <c r="E282" s="8"/>
      <c r="F282" s="8"/>
      <c r="G282" s="8"/>
      <c r="H282" s="8"/>
      <c r="I282" s="12"/>
      <c r="J282" s="10"/>
      <c r="K282" s="11"/>
      <c r="L282" s="11"/>
      <c r="M282" s="11"/>
      <c r="N282" s="11"/>
      <c r="O282" s="76"/>
      <c r="P282" s="76"/>
      <c r="Q282" s="76"/>
      <c r="R282" s="76"/>
      <c r="S282" s="3"/>
      <c r="T282" s="1"/>
      <c r="U282" s="1"/>
      <c r="V282" s="1"/>
      <c r="W282" s="1"/>
      <c r="X282" s="2"/>
      <c r="Y282" s="1"/>
      <c r="Z282" s="1"/>
      <c r="AA282" s="11"/>
      <c r="AB282" s="11"/>
      <c r="AC282" s="1"/>
      <c r="AD282" s="1"/>
      <c r="AE282" s="1"/>
      <c r="AF282" s="1"/>
      <c r="AG282" s="1"/>
      <c r="AH282" s="1"/>
      <c r="AI282" s="76"/>
      <c r="AJ282" s="76"/>
      <c r="AK282" s="1"/>
      <c r="AL282" s="1"/>
      <c r="AM282" s="1"/>
      <c r="AN282" s="1"/>
      <c r="AO282" s="1"/>
      <c r="AP282" s="61"/>
      <c r="AQ282" s="61"/>
      <c r="AR282" s="76"/>
      <c r="AS282" s="76"/>
      <c r="AT282" s="69"/>
      <c r="AU282" s="77"/>
      <c r="AV282" s="61"/>
      <c r="AW282" s="70"/>
      <c r="AX282" s="70"/>
      <c r="AY282" s="71"/>
      <c r="AZ282" s="70"/>
      <c r="BA282" s="71"/>
      <c r="BB282" s="70"/>
      <c r="BC282" s="78"/>
      <c r="BD282" s="78"/>
      <c r="BE282" s="78">
        <f t="shared" si="87"/>
        <v>0</v>
      </c>
      <c r="BF282" t="str">
        <f t="shared" si="88"/>
        <v/>
      </c>
    </row>
    <row r="283" spans="1:63" ht="15.75" hidden="1" customHeight="1" x14ac:dyDescent="0.25">
      <c r="A283" s="8"/>
      <c r="B283" s="8"/>
      <c r="C283" s="8"/>
      <c r="D283" s="8"/>
      <c r="E283" s="8"/>
      <c r="F283" s="8"/>
      <c r="G283" s="8"/>
      <c r="H283" s="8"/>
      <c r="I283" s="12"/>
      <c r="J283" s="10"/>
      <c r="K283" s="11"/>
      <c r="L283" s="11"/>
      <c r="M283" s="11"/>
      <c r="N283" s="11"/>
      <c r="O283" s="76"/>
      <c r="P283" s="76"/>
      <c r="Q283" s="76"/>
      <c r="R283" s="76"/>
      <c r="S283" s="3"/>
      <c r="T283" s="1"/>
      <c r="U283" s="1"/>
      <c r="V283" s="1"/>
      <c r="W283" s="1"/>
      <c r="X283" s="2"/>
      <c r="Y283" s="1"/>
      <c r="Z283" s="1"/>
      <c r="AA283" s="11"/>
      <c r="AB283" s="11"/>
      <c r="AC283" s="1"/>
      <c r="AD283" s="1"/>
      <c r="AE283" s="1"/>
      <c r="AF283" s="1"/>
      <c r="AG283" s="1"/>
      <c r="AH283" s="1"/>
      <c r="AI283" s="76"/>
      <c r="AJ283" s="76"/>
      <c r="AK283" s="1"/>
      <c r="AL283" s="1"/>
      <c r="AM283" s="1"/>
      <c r="AN283" s="1"/>
      <c r="AO283" s="1"/>
      <c r="AP283" s="61"/>
      <c r="AQ283" s="61"/>
      <c r="AR283" s="76"/>
      <c r="AS283" s="76"/>
      <c r="AT283" s="69"/>
      <c r="AU283" s="77"/>
      <c r="AV283" s="61"/>
      <c r="AW283" s="70"/>
      <c r="AX283" s="70"/>
      <c r="AY283" s="71"/>
      <c r="AZ283" s="70"/>
      <c r="BA283" s="71"/>
      <c r="BB283" s="70"/>
      <c r="BC283" s="78"/>
      <c r="BD283" s="78"/>
      <c r="BE283" s="78">
        <f t="shared" si="87"/>
        <v>0</v>
      </c>
      <c r="BF283" t="str">
        <f t="shared" si="88"/>
        <v/>
      </c>
    </row>
    <row r="284" spans="1:63" ht="15.75" hidden="1" customHeight="1" x14ac:dyDescent="0.25">
      <c r="A284" s="8"/>
      <c r="B284" s="8"/>
      <c r="C284" s="8"/>
      <c r="D284" s="8"/>
      <c r="E284" s="8"/>
      <c r="F284" s="8"/>
      <c r="G284" s="8"/>
      <c r="H284" s="8"/>
      <c r="I284" s="12"/>
      <c r="J284" s="10"/>
      <c r="K284" s="11"/>
      <c r="L284" s="11"/>
      <c r="M284" s="11"/>
      <c r="N284" s="11"/>
      <c r="O284" s="76"/>
      <c r="P284" s="76"/>
      <c r="Q284" s="76"/>
      <c r="R284" s="76"/>
      <c r="S284" s="3"/>
      <c r="T284" s="1"/>
      <c r="U284" s="1"/>
      <c r="V284" s="1"/>
      <c r="W284" s="1"/>
      <c r="X284" s="2"/>
      <c r="Y284" s="1"/>
      <c r="Z284" s="1"/>
      <c r="AA284" s="11"/>
      <c r="AB284" s="11"/>
      <c r="AC284" s="1"/>
      <c r="AD284" s="1"/>
      <c r="AE284" s="1"/>
      <c r="AF284" s="1"/>
      <c r="AG284" s="1"/>
      <c r="AH284" s="1"/>
      <c r="AI284" s="76"/>
      <c r="AJ284" s="76"/>
      <c r="AK284" s="1"/>
      <c r="AL284" s="1"/>
      <c r="AM284" s="1"/>
      <c r="AN284" s="1"/>
      <c r="AO284" s="1"/>
      <c r="AP284" s="61"/>
      <c r="AQ284" s="61"/>
      <c r="AR284" s="76"/>
      <c r="AS284" s="76"/>
      <c r="AT284" s="69"/>
      <c r="AU284" s="77"/>
      <c r="AV284" s="61"/>
      <c r="AW284" s="70"/>
      <c r="AX284" s="70"/>
      <c r="AY284" s="71"/>
      <c r="AZ284" s="70"/>
      <c r="BA284" s="71"/>
      <c r="BB284" s="70"/>
      <c r="BC284" s="78"/>
      <c r="BD284" s="78"/>
      <c r="BE284" s="78">
        <f t="shared" si="87"/>
        <v>0</v>
      </c>
      <c r="BF284" t="str">
        <f t="shared" si="88"/>
        <v/>
      </c>
      <c r="BK284" s="103"/>
    </row>
    <row r="285" spans="1:63" ht="15.75" hidden="1" x14ac:dyDescent="0.25">
      <c r="A285" s="8"/>
      <c r="B285" s="8"/>
      <c r="C285" s="8"/>
      <c r="D285" s="8"/>
      <c r="E285" s="8"/>
      <c r="F285" s="8"/>
      <c r="G285" s="8"/>
      <c r="H285" s="8"/>
      <c r="I285" s="12"/>
      <c r="J285" s="10"/>
      <c r="K285" s="11"/>
      <c r="L285" s="11"/>
      <c r="M285" s="11"/>
      <c r="N285" s="11"/>
      <c r="O285" s="76"/>
      <c r="P285" s="76"/>
      <c r="Q285" s="76"/>
      <c r="R285" s="76"/>
      <c r="S285" s="3"/>
      <c r="T285" s="1"/>
      <c r="U285" s="1"/>
      <c r="V285" s="1"/>
      <c r="W285" s="1"/>
      <c r="X285" s="2"/>
      <c r="Y285" s="1"/>
      <c r="Z285" s="1"/>
      <c r="AA285" s="11"/>
      <c r="AB285" s="11"/>
      <c r="AC285" s="1"/>
      <c r="AD285" s="1"/>
      <c r="AE285" s="1"/>
      <c r="AF285" s="1"/>
      <c r="AG285" s="1"/>
      <c r="AH285" s="1"/>
      <c r="AI285" s="76"/>
      <c r="AJ285" s="76"/>
      <c r="AK285" s="1"/>
      <c r="AL285" s="1"/>
      <c r="AM285" s="1"/>
      <c r="AN285" s="1"/>
      <c r="AO285" s="1"/>
      <c r="AP285" s="61"/>
      <c r="AQ285" s="61"/>
      <c r="AR285" s="76"/>
      <c r="AS285" s="76"/>
      <c r="AT285" s="69"/>
      <c r="AU285" s="77"/>
      <c r="AV285" s="61"/>
      <c r="AW285" s="70"/>
      <c r="AX285" s="70"/>
      <c r="AY285" s="71"/>
      <c r="AZ285" s="70"/>
      <c r="BA285" s="71"/>
      <c r="BB285" s="70"/>
      <c r="BC285" s="78"/>
      <c r="BD285" s="78"/>
      <c r="BE285" s="78">
        <f t="shared" si="87"/>
        <v>0</v>
      </c>
      <c r="BF285" t="str">
        <f t="shared" si="88"/>
        <v/>
      </c>
    </row>
    <row r="286" spans="1:63" ht="15.75" hidden="1" x14ac:dyDescent="0.25">
      <c r="A286" s="8"/>
      <c r="B286" s="8"/>
      <c r="C286" s="8"/>
      <c r="D286" s="8"/>
      <c r="E286" s="8"/>
      <c r="F286" s="8"/>
      <c r="G286" s="8"/>
      <c r="H286" s="8"/>
      <c r="I286" s="12"/>
      <c r="J286" s="10"/>
      <c r="K286" s="11"/>
      <c r="L286" s="11"/>
      <c r="M286" s="11"/>
      <c r="N286" s="11"/>
      <c r="O286" s="76"/>
      <c r="P286" s="76"/>
      <c r="Q286" s="76"/>
      <c r="R286" s="76"/>
      <c r="S286" s="3"/>
      <c r="T286" s="1"/>
      <c r="U286" s="1"/>
      <c r="V286" s="1"/>
      <c r="W286" s="1"/>
      <c r="X286" s="2"/>
      <c r="Y286" s="1"/>
      <c r="Z286" s="1"/>
      <c r="AA286" s="11"/>
      <c r="AB286" s="11"/>
      <c r="AC286" s="1"/>
      <c r="AD286" s="1"/>
      <c r="AE286" s="1"/>
      <c r="AF286" s="1"/>
      <c r="AG286" s="1"/>
      <c r="AH286" s="1"/>
      <c r="AI286" s="76"/>
      <c r="AJ286" s="76"/>
      <c r="AK286" s="1"/>
      <c r="AL286" s="1"/>
      <c r="AM286" s="1"/>
      <c r="AN286" s="1"/>
      <c r="AO286" s="1"/>
      <c r="AP286" s="61"/>
      <c r="AQ286" s="61"/>
      <c r="AR286" s="76"/>
      <c r="AS286" s="76"/>
      <c r="AT286" s="69"/>
      <c r="AU286" s="77"/>
      <c r="AV286" s="61"/>
      <c r="AW286" s="70"/>
      <c r="AX286" s="70"/>
      <c r="AY286" s="71"/>
      <c r="AZ286" s="70"/>
      <c r="BA286" s="71"/>
      <c r="BB286" s="70"/>
      <c r="BC286" s="78"/>
      <c r="BD286" s="78"/>
      <c r="BE286" s="78">
        <f t="shared" si="87"/>
        <v>0</v>
      </c>
      <c r="BF286" t="str">
        <f t="shared" si="88"/>
        <v/>
      </c>
    </row>
    <row r="287" spans="1:63" ht="15.75" hidden="1" x14ac:dyDescent="0.25">
      <c r="A287" s="8"/>
      <c r="B287" s="8"/>
      <c r="C287" s="8"/>
      <c r="D287" s="8"/>
      <c r="E287" s="8"/>
      <c r="F287" s="8"/>
      <c r="G287" s="8"/>
      <c r="H287" s="8"/>
      <c r="I287" s="12"/>
      <c r="J287" s="10"/>
      <c r="K287" s="11"/>
      <c r="L287" s="11"/>
      <c r="M287" s="11"/>
      <c r="N287" s="11"/>
      <c r="O287" s="76"/>
      <c r="P287" s="76"/>
      <c r="Q287" s="76"/>
      <c r="R287" s="76"/>
      <c r="S287" s="3"/>
      <c r="T287" s="1"/>
      <c r="U287" s="1"/>
      <c r="V287" s="1"/>
      <c r="W287" s="1"/>
      <c r="X287" s="2"/>
      <c r="Y287" s="1"/>
      <c r="Z287" s="1"/>
      <c r="AA287" s="11"/>
      <c r="AB287" s="11"/>
      <c r="AC287" s="1"/>
      <c r="AD287" s="1"/>
      <c r="AE287" s="1"/>
      <c r="AF287" s="1"/>
      <c r="AG287" s="1"/>
      <c r="AH287" s="1"/>
      <c r="AI287" s="76"/>
      <c r="AJ287" s="76"/>
      <c r="AK287" s="1"/>
      <c r="AL287" s="1"/>
      <c r="AM287" s="1"/>
      <c r="AN287" s="1"/>
      <c r="AO287" s="1"/>
      <c r="AP287" s="61"/>
      <c r="AQ287" s="61"/>
      <c r="AR287" s="76"/>
      <c r="AS287" s="76"/>
      <c r="AT287" s="69"/>
      <c r="AU287" s="77"/>
      <c r="AV287" s="61"/>
      <c r="AW287" s="70"/>
      <c r="AX287" s="70"/>
      <c r="AY287" s="71"/>
      <c r="AZ287" s="70"/>
      <c r="BA287" s="71"/>
      <c r="BB287" s="70"/>
      <c r="BC287" s="78"/>
      <c r="BD287" s="78"/>
      <c r="BE287" s="78">
        <f t="shared" si="87"/>
        <v>0</v>
      </c>
      <c r="BF287" t="str">
        <f t="shared" si="88"/>
        <v/>
      </c>
    </row>
    <row r="288" spans="1:63" ht="15.75" hidden="1" x14ac:dyDescent="0.25">
      <c r="A288" s="8"/>
      <c r="B288" s="8"/>
      <c r="C288" s="8"/>
      <c r="D288" s="8"/>
      <c r="E288" s="8"/>
      <c r="F288" s="8"/>
      <c r="G288" s="8"/>
      <c r="H288" s="8"/>
      <c r="I288" s="12"/>
      <c r="J288" s="10"/>
      <c r="K288" s="11"/>
      <c r="L288" s="11"/>
      <c r="M288" s="11"/>
      <c r="N288" s="11"/>
      <c r="O288" s="76"/>
      <c r="P288" s="76"/>
      <c r="Q288" s="76"/>
      <c r="R288" s="76"/>
      <c r="S288" s="3"/>
      <c r="T288" s="1"/>
      <c r="U288" s="1"/>
      <c r="V288" s="1"/>
      <c r="W288" s="1"/>
      <c r="X288" s="2"/>
      <c r="Y288" s="1"/>
      <c r="Z288" s="1"/>
      <c r="AA288" s="11"/>
      <c r="AB288" s="11"/>
      <c r="AC288" s="1"/>
      <c r="AD288" s="1"/>
      <c r="AE288" s="1"/>
      <c r="AF288" s="1"/>
      <c r="AG288" s="1"/>
      <c r="AH288" s="1"/>
      <c r="AI288" s="76"/>
      <c r="AJ288" s="76"/>
      <c r="AK288" s="1"/>
      <c r="AL288" s="1"/>
      <c r="AM288" s="1"/>
      <c r="AN288" s="1"/>
      <c r="AO288" s="1"/>
      <c r="AP288" s="61"/>
      <c r="AQ288" s="61"/>
      <c r="AR288" s="76"/>
      <c r="AS288" s="76"/>
      <c r="AT288" s="69"/>
      <c r="AU288" s="77"/>
      <c r="AV288" s="61"/>
      <c r="AW288" s="70"/>
      <c r="AX288" s="70"/>
      <c r="AY288" s="71"/>
      <c r="AZ288" s="70"/>
      <c r="BA288" s="71"/>
      <c r="BB288" s="70"/>
      <c r="BC288" s="78"/>
      <c r="BD288" s="78"/>
      <c r="BE288" s="78">
        <f t="shared" si="87"/>
        <v>0</v>
      </c>
      <c r="BF288" t="str">
        <f t="shared" si="88"/>
        <v/>
      </c>
    </row>
    <row r="289" spans="1:63" ht="15.75" hidden="1" x14ac:dyDescent="0.25">
      <c r="A289" s="8"/>
      <c r="B289" s="8"/>
      <c r="C289" s="8"/>
      <c r="D289" s="8"/>
      <c r="E289" s="8"/>
      <c r="F289" s="8"/>
      <c r="G289" s="8"/>
      <c r="H289" s="8"/>
      <c r="I289" s="12"/>
      <c r="J289" s="10"/>
      <c r="K289" s="11"/>
      <c r="L289" s="11"/>
      <c r="M289" s="11"/>
      <c r="N289" s="11"/>
      <c r="O289" s="76"/>
      <c r="P289" s="76"/>
      <c r="Q289" s="76"/>
      <c r="R289" s="76"/>
      <c r="S289" s="3"/>
      <c r="T289" s="1"/>
      <c r="U289" s="1"/>
      <c r="V289" s="1"/>
      <c r="W289" s="1"/>
      <c r="X289" s="2"/>
      <c r="Y289" s="1"/>
      <c r="Z289" s="1"/>
      <c r="AA289" s="11"/>
      <c r="AB289" s="11"/>
      <c r="AC289" s="1"/>
      <c r="AD289" s="1"/>
      <c r="AE289" s="1"/>
      <c r="AF289" s="1"/>
      <c r="AG289" s="1"/>
      <c r="AH289" s="1"/>
      <c r="AI289" s="76"/>
      <c r="AJ289" s="76"/>
      <c r="AK289" s="1"/>
      <c r="AL289" s="1"/>
      <c r="AM289" s="1"/>
      <c r="AN289" s="1"/>
      <c r="AO289" s="1"/>
      <c r="AP289" s="61"/>
      <c r="AQ289" s="61"/>
      <c r="AR289" s="76"/>
      <c r="AS289" s="76"/>
      <c r="AT289" s="69"/>
      <c r="AU289" s="77"/>
      <c r="AV289" s="61"/>
      <c r="AW289" s="70"/>
      <c r="AX289" s="70"/>
      <c r="AY289" s="71"/>
      <c r="AZ289" s="70"/>
      <c r="BA289" s="71"/>
      <c r="BB289" s="70"/>
      <c r="BC289" s="78"/>
      <c r="BD289" s="78"/>
      <c r="BE289" s="78">
        <f t="shared" si="87"/>
        <v>0</v>
      </c>
      <c r="BF289" t="str">
        <f t="shared" si="88"/>
        <v/>
      </c>
    </row>
    <row r="290" spans="1:63" ht="15.75" hidden="1" x14ac:dyDescent="0.25">
      <c r="A290" s="8"/>
      <c r="B290" s="8"/>
      <c r="C290" s="8"/>
      <c r="D290" s="8"/>
      <c r="E290" s="8"/>
      <c r="F290" s="8"/>
      <c r="G290" s="8"/>
      <c r="H290" s="8"/>
      <c r="I290" s="12"/>
      <c r="J290" s="10"/>
      <c r="K290" s="11"/>
      <c r="L290" s="11"/>
      <c r="M290" s="11"/>
      <c r="N290" s="11"/>
      <c r="O290" s="76"/>
      <c r="P290" s="76"/>
      <c r="Q290" s="76"/>
      <c r="R290" s="76"/>
      <c r="S290" s="3"/>
      <c r="T290" s="1"/>
      <c r="U290" s="1"/>
      <c r="V290" s="1"/>
      <c r="W290" s="1"/>
      <c r="X290" s="2"/>
      <c r="Y290" s="1"/>
      <c r="Z290" s="1"/>
      <c r="AA290" s="11"/>
      <c r="AB290" s="11"/>
      <c r="AC290" s="1"/>
      <c r="AD290" s="1"/>
      <c r="AE290" s="1"/>
      <c r="AF290" s="1"/>
      <c r="AG290" s="1"/>
      <c r="AH290" s="1"/>
      <c r="AI290" s="76"/>
      <c r="AJ290" s="76"/>
      <c r="AK290" s="1"/>
      <c r="AL290" s="1"/>
      <c r="AM290" s="1"/>
      <c r="AN290" s="1"/>
      <c r="AO290" s="1"/>
      <c r="AP290" s="61"/>
      <c r="AQ290" s="61"/>
      <c r="AR290" s="76"/>
      <c r="AS290" s="76"/>
      <c r="AT290" s="69"/>
      <c r="AU290" s="77"/>
      <c r="AV290" s="61"/>
      <c r="AW290" s="70"/>
      <c r="AX290" s="70"/>
      <c r="AY290" s="71"/>
      <c r="AZ290" s="70"/>
      <c r="BA290" s="71"/>
      <c r="BB290" s="70"/>
      <c r="BC290" s="78"/>
      <c r="BD290" s="78"/>
      <c r="BE290" s="78">
        <f t="shared" si="87"/>
        <v>0</v>
      </c>
      <c r="BF290" t="str">
        <f t="shared" si="88"/>
        <v/>
      </c>
    </row>
    <row r="291" spans="1:63" ht="15.75" hidden="1" x14ac:dyDescent="0.25">
      <c r="A291" s="8"/>
      <c r="B291" s="8"/>
      <c r="C291" s="8"/>
      <c r="D291" s="8"/>
      <c r="E291" s="8"/>
      <c r="F291" s="8"/>
      <c r="G291" s="8"/>
      <c r="H291" s="8"/>
      <c r="I291" s="12"/>
      <c r="J291" s="10"/>
      <c r="K291" s="11"/>
      <c r="L291" s="11"/>
      <c r="M291" s="11"/>
      <c r="N291" s="11"/>
      <c r="O291" s="76"/>
      <c r="P291" s="76"/>
      <c r="Q291" s="76"/>
      <c r="R291" s="76"/>
      <c r="S291" s="3"/>
      <c r="T291" s="1"/>
      <c r="U291" s="1"/>
      <c r="V291" s="1"/>
      <c r="W291" s="1"/>
      <c r="X291" s="2"/>
      <c r="Y291" s="1"/>
      <c r="Z291" s="1"/>
      <c r="AA291" s="11"/>
      <c r="AB291" s="11"/>
      <c r="AC291" s="1"/>
      <c r="AD291" s="1"/>
      <c r="AE291" s="1"/>
      <c r="AF291" s="1"/>
      <c r="AG291" s="1"/>
      <c r="AH291" s="1"/>
      <c r="AI291" s="76"/>
      <c r="AJ291" s="76"/>
      <c r="AK291" s="1"/>
      <c r="AL291" s="1"/>
      <c r="AM291" s="1"/>
      <c r="AN291" s="1"/>
      <c r="AO291" s="1"/>
      <c r="AP291" s="61"/>
      <c r="AQ291" s="61"/>
      <c r="AR291" s="76"/>
      <c r="AS291" s="76"/>
      <c r="AT291" s="69"/>
      <c r="AU291" s="77"/>
      <c r="AV291" s="61"/>
      <c r="AW291" s="70"/>
      <c r="AX291" s="70"/>
      <c r="AY291" s="71"/>
      <c r="AZ291" s="70"/>
      <c r="BA291" s="71"/>
      <c r="BB291" s="70"/>
      <c r="BC291" s="78"/>
      <c r="BD291" s="78"/>
      <c r="BE291" s="78">
        <f t="shared" si="87"/>
        <v>0</v>
      </c>
      <c r="BF291" t="str">
        <f t="shared" si="88"/>
        <v/>
      </c>
    </row>
    <row r="292" spans="1:63" ht="15.75" hidden="1" x14ac:dyDescent="0.25">
      <c r="A292" s="8"/>
      <c r="B292" s="8"/>
      <c r="C292" s="8"/>
      <c r="D292" s="8"/>
      <c r="E292" s="8"/>
      <c r="F292" s="8"/>
      <c r="G292" s="8"/>
      <c r="H292" s="8"/>
      <c r="I292" s="12"/>
      <c r="J292" s="10"/>
      <c r="K292" s="11"/>
      <c r="L292" s="11"/>
      <c r="M292" s="11"/>
      <c r="N292" s="11"/>
      <c r="O292" s="76"/>
      <c r="P292" s="76"/>
      <c r="Q292" s="76"/>
      <c r="R292" s="76"/>
      <c r="S292" s="3"/>
      <c r="T292" s="1"/>
      <c r="U292" s="1"/>
      <c r="V292" s="1"/>
      <c r="W292" s="1"/>
      <c r="X292" s="2"/>
      <c r="Y292" s="1"/>
      <c r="Z292" s="1"/>
      <c r="AA292" s="11"/>
      <c r="AB292" s="11"/>
      <c r="AC292" s="1"/>
      <c r="AD292" s="1"/>
      <c r="AE292" s="1"/>
      <c r="AF292" s="1"/>
      <c r="AG292" s="1"/>
      <c r="AH292" s="1"/>
      <c r="AI292" s="76"/>
      <c r="AJ292" s="76"/>
      <c r="AK292" s="1"/>
      <c r="AL292" s="1"/>
      <c r="AM292" s="1"/>
      <c r="AN292" s="1"/>
      <c r="AO292" s="1"/>
      <c r="AP292" s="61"/>
      <c r="AQ292" s="61"/>
      <c r="AR292" s="76"/>
      <c r="AS292" s="76"/>
      <c r="AT292" s="69"/>
      <c r="AU292" s="77"/>
      <c r="AV292" s="61"/>
      <c r="AW292" s="70"/>
      <c r="AX292" s="70"/>
      <c r="AY292" s="71"/>
      <c r="AZ292" s="70"/>
      <c r="BA292" s="71"/>
      <c r="BB292" s="70"/>
      <c r="BC292" s="78"/>
      <c r="BD292" s="78"/>
      <c r="BE292" s="78">
        <f t="shared" si="87"/>
        <v>0</v>
      </c>
      <c r="BF292" t="str">
        <f t="shared" si="88"/>
        <v/>
      </c>
    </row>
    <row r="293" spans="1:63" ht="15.75" hidden="1" x14ac:dyDescent="0.25">
      <c r="A293" s="8"/>
      <c r="B293" s="8"/>
      <c r="C293" s="8"/>
      <c r="D293" s="8"/>
      <c r="E293" s="8"/>
      <c r="F293" s="8"/>
      <c r="G293" s="8"/>
      <c r="H293" s="8"/>
      <c r="I293" s="12"/>
      <c r="J293" s="10"/>
      <c r="K293" s="11"/>
      <c r="L293" s="11"/>
      <c r="M293" s="11"/>
      <c r="N293" s="11"/>
      <c r="O293" s="76"/>
      <c r="P293" s="76"/>
      <c r="Q293" s="76"/>
      <c r="R293" s="76"/>
      <c r="S293" s="3"/>
      <c r="T293" s="1"/>
      <c r="U293" s="1"/>
      <c r="V293" s="1"/>
      <c r="W293" s="1"/>
      <c r="X293" s="2"/>
      <c r="Y293" s="1"/>
      <c r="Z293" s="1"/>
      <c r="AA293" s="11"/>
      <c r="AB293" s="11"/>
      <c r="AC293" s="1"/>
      <c r="AD293" s="1"/>
      <c r="AE293" s="1"/>
      <c r="AF293" s="1"/>
      <c r="AG293" s="1"/>
      <c r="AH293" s="1"/>
      <c r="AI293" s="76"/>
      <c r="AJ293" s="76"/>
      <c r="AK293" s="1"/>
      <c r="AL293" s="1"/>
      <c r="AM293" s="1"/>
      <c r="AN293" s="1"/>
      <c r="AO293" s="1"/>
      <c r="AP293" s="61"/>
      <c r="AQ293" s="61"/>
      <c r="AR293" s="76"/>
      <c r="AS293" s="76"/>
      <c r="AT293" s="69"/>
      <c r="AU293" s="77"/>
      <c r="AV293" s="61"/>
      <c r="AW293" s="70"/>
      <c r="AX293" s="70"/>
      <c r="AY293" s="71"/>
      <c r="AZ293" s="70"/>
      <c r="BA293" s="71"/>
      <c r="BB293" s="70"/>
      <c r="BC293" s="78"/>
      <c r="BD293" s="78"/>
      <c r="BE293" s="78">
        <f t="shared" si="87"/>
        <v>0</v>
      </c>
      <c r="BF293" t="str">
        <f t="shared" si="88"/>
        <v/>
      </c>
    </row>
    <row r="294" spans="1:63" ht="15.75" hidden="1" x14ac:dyDescent="0.25">
      <c r="A294" s="8"/>
      <c r="B294" s="8"/>
      <c r="C294" s="8"/>
      <c r="D294" s="8"/>
      <c r="E294" s="8"/>
      <c r="F294" s="8"/>
      <c r="G294" s="8"/>
      <c r="H294" s="8"/>
      <c r="I294" s="12"/>
      <c r="J294" s="10"/>
      <c r="K294" s="11"/>
      <c r="L294" s="11"/>
      <c r="M294" s="11"/>
      <c r="N294" s="11"/>
      <c r="O294" s="76"/>
      <c r="P294" s="76"/>
      <c r="Q294" s="76"/>
      <c r="R294" s="76"/>
      <c r="S294" s="3"/>
      <c r="T294" s="1"/>
      <c r="U294" s="1"/>
      <c r="V294" s="1"/>
      <c r="W294" s="1"/>
      <c r="X294" s="2"/>
      <c r="Y294" s="1"/>
      <c r="Z294" s="1"/>
      <c r="AA294" s="11"/>
      <c r="AB294" s="11"/>
      <c r="AC294" s="1"/>
      <c r="AD294" s="1"/>
      <c r="AE294" s="1"/>
      <c r="AF294" s="1"/>
      <c r="AG294" s="1"/>
      <c r="AH294" s="1"/>
      <c r="AI294" s="76"/>
      <c r="AJ294" s="76"/>
      <c r="AK294" s="1"/>
      <c r="AL294" s="1"/>
      <c r="AM294" s="1"/>
      <c r="AN294" s="1"/>
      <c r="AO294" s="1"/>
      <c r="AP294" s="61"/>
      <c r="AQ294" s="61"/>
      <c r="AR294" s="76"/>
      <c r="AS294" s="76"/>
      <c r="AT294" s="69"/>
      <c r="AU294" s="77"/>
      <c r="AV294" s="61"/>
      <c r="AW294" s="70"/>
      <c r="AX294" s="70"/>
      <c r="AY294" s="71"/>
      <c r="AZ294" s="70"/>
      <c r="BA294" s="71"/>
      <c r="BB294" s="70"/>
      <c r="BC294" s="78"/>
      <c r="BD294" s="78"/>
      <c r="BE294" s="78">
        <f t="shared" si="87"/>
        <v>0</v>
      </c>
      <c r="BF294" t="str">
        <f t="shared" si="88"/>
        <v/>
      </c>
    </row>
    <row r="295" spans="1:63" ht="15.75" hidden="1" x14ac:dyDescent="0.25">
      <c r="A295" s="8"/>
      <c r="B295" s="8"/>
      <c r="C295" s="8"/>
      <c r="D295" s="8"/>
      <c r="E295" s="8"/>
      <c r="F295" s="8"/>
      <c r="G295" s="8"/>
      <c r="H295" s="8"/>
      <c r="I295" s="12"/>
      <c r="J295" s="10"/>
      <c r="K295" s="11"/>
      <c r="L295" s="11"/>
      <c r="M295" s="11"/>
      <c r="N295" s="11"/>
      <c r="O295" s="76"/>
      <c r="P295" s="76"/>
      <c r="Q295" s="76"/>
      <c r="R295" s="76"/>
      <c r="S295" s="3"/>
      <c r="T295" s="1"/>
      <c r="U295" s="1"/>
      <c r="V295" s="1"/>
      <c r="W295" s="1"/>
      <c r="X295" s="2"/>
      <c r="Y295" s="1"/>
      <c r="Z295" s="1"/>
      <c r="AA295" s="11"/>
      <c r="AB295" s="11"/>
      <c r="AC295" s="1"/>
      <c r="AD295" s="1"/>
      <c r="AE295" s="1"/>
      <c r="AF295" s="1"/>
      <c r="AG295" s="1"/>
      <c r="AH295" s="1"/>
      <c r="AI295" s="76"/>
      <c r="AJ295" s="76"/>
      <c r="AK295" s="1"/>
      <c r="AL295" s="1"/>
      <c r="AM295" s="1"/>
      <c r="AN295" s="1"/>
      <c r="AO295" s="1"/>
      <c r="AP295" s="61"/>
      <c r="AQ295" s="61"/>
      <c r="AR295" s="76"/>
      <c r="AS295" s="76"/>
      <c r="AT295" s="69"/>
      <c r="AU295" s="77"/>
      <c r="AV295" s="61"/>
      <c r="AW295" s="70"/>
      <c r="AX295" s="70"/>
      <c r="AY295" s="71"/>
      <c r="AZ295" s="70"/>
      <c r="BA295" s="71"/>
      <c r="BB295" s="70"/>
      <c r="BC295" s="78"/>
      <c r="BD295" s="78"/>
      <c r="BE295" s="78">
        <f t="shared" si="87"/>
        <v>0</v>
      </c>
      <c r="BF295" t="str">
        <f t="shared" si="88"/>
        <v/>
      </c>
    </row>
    <row r="296" spans="1:63" ht="15.75" hidden="1" x14ac:dyDescent="0.25">
      <c r="A296" s="8"/>
      <c r="B296" s="8"/>
      <c r="C296" s="8"/>
      <c r="D296" s="8"/>
      <c r="E296" s="8"/>
      <c r="F296" s="8"/>
      <c r="G296" s="8"/>
      <c r="H296" s="8"/>
      <c r="I296" s="12"/>
      <c r="J296" s="10"/>
      <c r="K296" s="11"/>
      <c r="L296" s="11"/>
      <c r="M296" s="11"/>
      <c r="N296" s="11"/>
      <c r="O296" s="76"/>
      <c r="P296" s="76"/>
      <c r="Q296" s="76"/>
      <c r="R296" s="76"/>
      <c r="S296" s="3"/>
      <c r="T296" s="1"/>
      <c r="U296" s="1"/>
      <c r="V296" s="1"/>
      <c r="W296" s="1"/>
      <c r="X296" s="2"/>
      <c r="Y296" s="1"/>
      <c r="Z296" s="1"/>
      <c r="AA296" s="11"/>
      <c r="AB296" s="11"/>
      <c r="AC296" s="1"/>
      <c r="AD296" s="1"/>
      <c r="AE296" s="1"/>
      <c r="AF296" s="1"/>
      <c r="AG296" s="1"/>
      <c r="AH296" s="1"/>
      <c r="AI296" s="76"/>
      <c r="AJ296" s="76"/>
      <c r="AK296" s="1"/>
      <c r="AL296" s="1"/>
      <c r="AM296" s="1"/>
      <c r="AN296" s="1"/>
      <c r="AO296" s="1"/>
      <c r="AP296" s="61"/>
      <c r="AQ296" s="61"/>
      <c r="AR296" s="76"/>
      <c r="AS296" s="76"/>
      <c r="AT296" s="69"/>
      <c r="AU296" s="77"/>
      <c r="AV296" s="61"/>
      <c r="AW296" s="70"/>
      <c r="AX296" s="70"/>
      <c r="AY296" s="71"/>
      <c r="AZ296" s="70"/>
      <c r="BA296" s="71"/>
      <c r="BB296" s="70"/>
      <c r="BC296" s="78"/>
      <c r="BD296" s="78"/>
      <c r="BE296" s="78">
        <f t="shared" si="87"/>
        <v>0</v>
      </c>
      <c r="BF296" t="str">
        <f t="shared" si="88"/>
        <v/>
      </c>
    </row>
    <row r="297" spans="1:63" ht="15.75" hidden="1" x14ac:dyDescent="0.25">
      <c r="A297" s="8"/>
      <c r="B297" s="8"/>
      <c r="C297" s="8"/>
      <c r="D297" s="8"/>
      <c r="E297" s="8"/>
      <c r="F297" s="8"/>
      <c r="G297" s="8"/>
      <c r="H297" s="8"/>
      <c r="I297" s="12"/>
      <c r="J297" s="10"/>
      <c r="K297" s="11"/>
      <c r="L297" s="11"/>
      <c r="M297" s="11"/>
      <c r="N297" s="11"/>
      <c r="O297" s="76"/>
      <c r="P297" s="76"/>
      <c r="Q297" s="76"/>
      <c r="R297" s="76"/>
      <c r="S297" s="3"/>
      <c r="T297" s="1"/>
      <c r="U297" s="1"/>
      <c r="V297" s="1"/>
      <c r="W297" s="1"/>
      <c r="X297" s="2"/>
      <c r="Y297" s="1"/>
      <c r="Z297" s="1"/>
      <c r="AA297" s="11"/>
      <c r="AB297" s="11"/>
      <c r="AC297" s="1"/>
      <c r="AD297" s="1"/>
      <c r="AE297" s="1"/>
      <c r="AF297" s="1"/>
      <c r="AG297" s="1"/>
      <c r="AH297" s="1"/>
      <c r="AI297" s="76"/>
      <c r="AJ297" s="76"/>
      <c r="AK297" s="1"/>
      <c r="AL297" s="1"/>
      <c r="AM297" s="1"/>
      <c r="AN297" s="1"/>
      <c r="AO297" s="1"/>
      <c r="AP297" s="61"/>
      <c r="AQ297" s="61"/>
      <c r="AR297" s="76"/>
      <c r="AS297" s="76"/>
      <c r="AT297" s="69"/>
      <c r="AU297" s="77"/>
      <c r="AV297" s="61"/>
      <c r="AW297" s="70"/>
      <c r="AX297" s="70"/>
      <c r="AY297" s="71"/>
      <c r="AZ297" s="70"/>
      <c r="BA297" s="71"/>
      <c r="BB297" s="70"/>
      <c r="BC297" s="78"/>
      <c r="BD297" s="78"/>
      <c r="BE297" s="78">
        <f t="shared" si="87"/>
        <v>0</v>
      </c>
      <c r="BF297" t="str">
        <f t="shared" si="88"/>
        <v/>
      </c>
    </row>
    <row r="298" spans="1:63" ht="15.75" hidden="1" x14ac:dyDescent="0.25">
      <c r="A298" s="8"/>
      <c r="B298" s="8"/>
      <c r="C298" s="8"/>
      <c r="D298" s="8"/>
      <c r="E298" s="8"/>
      <c r="F298" s="8"/>
      <c r="G298" s="8"/>
      <c r="H298" s="8"/>
      <c r="I298" s="12"/>
      <c r="J298" s="10"/>
      <c r="K298" s="11"/>
      <c r="L298" s="11"/>
      <c r="M298" s="11"/>
      <c r="N298" s="11"/>
      <c r="O298" s="76"/>
      <c r="P298" s="76"/>
      <c r="Q298" s="76"/>
      <c r="R298" s="76"/>
      <c r="S298" s="3"/>
      <c r="T298" s="1"/>
      <c r="U298" s="1"/>
      <c r="V298" s="1"/>
      <c r="W298" s="1"/>
      <c r="X298" s="2"/>
      <c r="Y298" s="1"/>
      <c r="Z298" s="1"/>
      <c r="AA298" s="11"/>
      <c r="AB298" s="11"/>
      <c r="AC298" s="1"/>
      <c r="AD298" s="1"/>
      <c r="AE298" s="1"/>
      <c r="AF298" s="1"/>
      <c r="AG298" s="1"/>
      <c r="AH298" s="1"/>
      <c r="AI298" s="76"/>
      <c r="AJ298" s="76"/>
      <c r="AK298" s="1"/>
      <c r="AL298" s="1"/>
      <c r="AM298" s="1"/>
      <c r="AN298" s="1"/>
      <c r="AO298" s="1"/>
      <c r="AP298" s="61"/>
      <c r="AQ298" s="61"/>
      <c r="AR298" s="76"/>
      <c r="AS298" s="76"/>
      <c r="AT298" s="69"/>
      <c r="AU298" s="77"/>
      <c r="AV298" s="61"/>
      <c r="AW298" s="70"/>
      <c r="AX298" s="70"/>
      <c r="AY298" s="71"/>
      <c r="AZ298" s="70"/>
      <c r="BA298" s="71"/>
      <c r="BB298" s="70"/>
      <c r="BC298" s="78"/>
      <c r="BD298" s="78"/>
      <c r="BE298" s="78">
        <f t="shared" si="87"/>
        <v>0</v>
      </c>
      <c r="BF298" t="str">
        <f t="shared" si="88"/>
        <v/>
      </c>
    </row>
    <row r="299" spans="1:63" ht="15.75" hidden="1" x14ac:dyDescent="0.25">
      <c r="A299" s="8"/>
      <c r="B299" s="8"/>
      <c r="C299" s="8"/>
      <c r="D299" s="8"/>
      <c r="E299" s="8"/>
      <c r="F299" s="8"/>
      <c r="G299" s="8"/>
      <c r="H299" s="8"/>
      <c r="I299" s="12"/>
      <c r="J299" s="10"/>
      <c r="K299" s="11"/>
      <c r="L299" s="11"/>
      <c r="M299" s="11"/>
      <c r="N299" s="11"/>
      <c r="O299" s="76"/>
      <c r="P299" s="76"/>
      <c r="Q299" s="76"/>
      <c r="R299" s="76"/>
      <c r="S299" s="3"/>
      <c r="T299" s="1"/>
      <c r="U299" s="1"/>
      <c r="V299" s="1"/>
      <c r="W299" s="1"/>
      <c r="X299" s="2"/>
      <c r="Y299" s="1"/>
      <c r="Z299" s="1"/>
      <c r="AA299" s="11"/>
      <c r="AB299" s="11"/>
      <c r="AC299" s="1"/>
      <c r="AD299" s="1"/>
      <c r="AE299" s="1"/>
      <c r="AF299" s="1"/>
      <c r="AG299" s="1"/>
      <c r="AH299" s="1"/>
      <c r="AI299" s="76"/>
      <c r="AJ299" s="76"/>
      <c r="AK299" s="1"/>
      <c r="AL299" s="1"/>
      <c r="AM299" s="1"/>
      <c r="AN299" s="1"/>
      <c r="AO299" s="1"/>
      <c r="AP299" s="61"/>
      <c r="AQ299" s="61"/>
      <c r="AR299" s="76"/>
      <c r="AS299" s="76"/>
      <c r="AT299" s="69"/>
      <c r="AU299" s="77"/>
      <c r="AV299" s="61"/>
      <c r="AW299" s="70"/>
      <c r="AX299" s="70"/>
      <c r="AY299" s="71"/>
      <c r="AZ299" s="70"/>
      <c r="BA299" s="71"/>
      <c r="BB299" s="70"/>
      <c r="BC299" s="78"/>
      <c r="BD299" s="78"/>
      <c r="BE299" s="78">
        <f t="shared" si="87"/>
        <v>0</v>
      </c>
      <c r="BF299" t="str">
        <f t="shared" si="88"/>
        <v/>
      </c>
      <c r="BK299" s="103"/>
    </row>
    <row r="300" spans="1:63" ht="15.75" hidden="1" x14ac:dyDescent="0.25">
      <c r="A300" s="8"/>
      <c r="B300" s="8"/>
      <c r="C300" s="8"/>
      <c r="D300" s="8"/>
      <c r="E300" s="8"/>
      <c r="F300" s="8"/>
      <c r="G300" s="8"/>
      <c r="H300" s="8"/>
      <c r="I300" s="12"/>
      <c r="J300" s="10"/>
      <c r="K300" s="11"/>
      <c r="L300" s="11"/>
      <c r="M300" s="11"/>
      <c r="N300" s="11"/>
      <c r="O300" s="76"/>
      <c r="P300" s="76"/>
      <c r="Q300" s="76"/>
      <c r="R300" s="76"/>
      <c r="S300" s="3"/>
      <c r="T300" s="1"/>
      <c r="U300" s="1"/>
      <c r="V300" s="1"/>
      <c r="W300" s="1"/>
      <c r="X300" s="2"/>
      <c r="Y300" s="1"/>
      <c r="Z300" s="1"/>
      <c r="AA300" s="11"/>
      <c r="AB300" s="11"/>
      <c r="AC300" s="1"/>
      <c r="AD300" s="1"/>
      <c r="AE300" s="1"/>
      <c r="AF300" s="1"/>
      <c r="AG300" s="1"/>
      <c r="AH300" s="1"/>
      <c r="AI300" s="76"/>
      <c r="AJ300" s="76"/>
      <c r="AK300" s="1"/>
      <c r="AL300" s="1"/>
      <c r="AM300" s="1"/>
      <c r="AN300" s="1"/>
      <c r="AO300" s="1"/>
      <c r="AP300" s="61"/>
      <c r="AQ300" s="61"/>
      <c r="AR300" s="76"/>
      <c r="AS300" s="76"/>
      <c r="AT300" s="69"/>
      <c r="AU300" s="77"/>
      <c r="AV300" s="61"/>
      <c r="AW300" s="70"/>
      <c r="AX300" s="70"/>
      <c r="AY300" s="71"/>
      <c r="AZ300" s="70"/>
      <c r="BA300" s="71"/>
      <c r="BB300" s="70"/>
      <c r="BC300" s="78"/>
      <c r="BD300" s="78"/>
      <c r="BE300" s="78">
        <f t="shared" si="87"/>
        <v>0</v>
      </c>
      <c r="BF300" t="str">
        <f t="shared" si="88"/>
        <v/>
      </c>
    </row>
    <row r="301" spans="1:63" ht="15.75" hidden="1" x14ac:dyDescent="0.25">
      <c r="A301" s="8"/>
      <c r="B301" s="8"/>
      <c r="C301" s="8"/>
      <c r="D301" s="8"/>
      <c r="E301" s="8"/>
      <c r="F301" s="8"/>
      <c r="G301" s="8"/>
      <c r="H301" s="8"/>
      <c r="I301" s="12"/>
      <c r="J301" s="10"/>
      <c r="K301" s="11"/>
      <c r="L301" s="11"/>
      <c r="M301" s="11"/>
      <c r="N301" s="11"/>
      <c r="O301" s="76"/>
      <c r="P301" s="76"/>
      <c r="Q301" s="76"/>
      <c r="R301" s="76"/>
      <c r="S301" s="3"/>
      <c r="T301" s="1"/>
      <c r="U301" s="1"/>
      <c r="V301" s="1"/>
      <c r="W301" s="1"/>
      <c r="X301" s="2"/>
      <c r="Y301" s="1"/>
      <c r="Z301" s="1"/>
      <c r="AA301" s="11"/>
      <c r="AB301" s="11"/>
      <c r="AC301" s="1"/>
      <c r="AD301" s="1"/>
      <c r="AE301" s="1"/>
      <c r="AF301" s="1"/>
      <c r="AG301" s="1"/>
      <c r="AH301" s="1"/>
      <c r="AI301" s="76"/>
      <c r="AJ301" s="76"/>
      <c r="AK301" s="1"/>
      <c r="AL301" s="1"/>
      <c r="AM301" s="1"/>
      <c r="AN301" s="1"/>
      <c r="AO301" s="1"/>
      <c r="AP301" s="61"/>
      <c r="AQ301" s="61"/>
      <c r="AR301" s="76"/>
      <c r="AS301" s="76"/>
      <c r="AT301" s="69"/>
      <c r="AU301" s="77"/>
      <c r="AV301" s="61"/>
      <c r="AW301" s="70"/>
      <c r="AX301" s="70"/>
      <c r="AY301" s="71"/>
      <c r="AZ301" s="70"/>
      <c r="BA301" s="71"/>
      <c r="BB301" s="70"/>
      <c r="BC301" s="78"/>
      <c r="BD301" s="78"/>
      <c r="BE301" s="78">
        <f t="shared" si="87"/>
        <v>0</v>
      </c>
      <c r="BF301" t="str">
        <f t="shared" si="88"/>
        <v/>
      </c>
    </row>
    <row r="302" spans="1:63" ht="15.75" hidden="1" x14ac:dyDescent="0.25">
      <c r="A302" s="8"/>
      <c r="B302" s="8"/>
      <c r="C302" s="8"/>
      <c r="D302" s="8"/>
      <c r="E302" s="8"/>
      <c r="F302" s="8"/>
      <c r="G302" s="8"/>
      <c r="H302" s="8"/>
      <c r="I302" s="12"/>
      <c r="J302" s="10"/>
      <c r="K302" s="11"/>
      <c r="L302" s="11"/>
      <c r="M302" s="11"/>
      <c r="N302" s="11"/>
      <c r="O302" s="76"/>
      <c r="P302" s="76"/>
      <c r="Q302" s="76"/>
      <c r="R302" s="76"/>
      <c r="S302" s="3"/>
      <c r="T302" s="1"/>
      <c r="U302" s="1"/>
      <c r="V302" s="1"/>
      <c r="W302" s="1"/>
      <c r="X302" s="2"/>
      <c r="Y302" s="1"/>
      <c r="Z302" s="1"/>
      <c r="AA302" s="11"/>
      <c r="AB302" s="11"/>
      <c r="AC302" s="1"/>
      <c r="AD302" s="1"/>
      <c r="AE302" s="1"/>
      <c r="AF302" s="1"/>
      <c r="AG302" s="1"/>
      <c r="AH302" s="1"/>
      <c r="AI302" s="76"/>
      <c r="AJ302" s="76"/>
      <c r="AK302" s="1"/>
      <c r="AL302" s="1"/>
      <c r="AM302" s="1"/>
      <c r="AN302" s="1"/>
      <c r="AO302" s="1"/>
      <c r="AP302" s="61"/>
      <c r="AQ302" s="61"/>
      <c r="AR302" s="76"/>
      <c r="AS302" s="76"/>
      <c r="AT302" s="69"/>
      <c r="AU302" s="77"/>
      <c r="AV302" s="61"/>
      <c r="AW302" s="70"/>
      <c r="AX302" s="70"/>
      <c r="AY302" s="71"/>
      <c r="AZ302" s="70"/>
      <c r="BA302" s="71"/>
      <c r="BB302" s="70"/>
      <c r="BC302" s="78"/>
      <c r="BD302" s="78"/>
      <c r="BE302" s="78">
        <f t="shared" si="87"/>
        <v>0</v>
      </c>
      <c r="BF302" t="str">
        <f t="shared" si="88"/>
        <v/>
      </c>
    </row>
    <row r="303" spans="1:63" ht="15.75" hidden="1" x14ac:dyDescent="0.25">
      <c r="A303" s="8"/>
      <c r="B303" s="8"/>
      <c r="C303" s="8"/>
      <c r="D303" s="8"/>
      <c r="E303" s="8"/>
      <c r="F303" s="8"/>
      <c r="G303" s="8"/>
      <c r="H303" s="8"/>
      <c r="I303" s="12"/>
      <c r="J303" s="10"/>
      <c r="K303" s="11"/>
      <c r="L303" s="11"/>
      <c r="M303" s="11"/>
      <c r="N303" s="11"/>
      <c r="O303" s="76"/>
      <c r="P303" s="76"/>
      <c r="Q303" s="76"/>
      <c r="R303" s="76"/>
      <c r="S303" s="3"/>
      <c r="T303" s="1"/>
      <c r="U303" s="1"/>
      <c r="V303" s="1"/>
      <c r="W303" s="1"/>
      <c r="X303" s="2"/>
      <c r="Y303" s="1"/>
      <c r="Z303" s="1"/>
      <c r="AA303" s="11"/>
      <c r="AB303" s="11"/>
      <c r="AC303" s="1"/>
      <c r="AD303" s="1"/>
      <c r="AE303" s="1"/>
      <c r="AF303" s="1"/>
      <c r="AG303" s="1"/>
      <c r="AH303" s="1"/>
      <c r="AI303" s="76"/>
      <c r="AJ303" s="76"/>
      <c r="AK303" s="1"/>
      <c r="AL303" s="1"/>
      <c r="AM303" s="1"/>
      <c r="AN303" s="1"/>
      <c r="AO303" s="1"/>
      <c r="AP303" s="61"/>
      <c r="AQ303" s="61"/>
      <c r="AR303" s="76"/>
      <c r="AS303" s="76"/>
      <c r="AT303" s="69"/>
      <c r="AU303" s="77"/>
      <c r="AV303" s="61"/>
      <c r="AW303" s="70"/>
      <c r="AX303" s="70"/>
      <c r="AY303" s="71"/>
      <c r="AZ303" s="70"/>
      <c r="BA303" s="71"/>
      <c r="BB303" s="70"/>
      <c r="BC303" s="78"/>
      <c r="BD303" s="78"/>
      <c r="BE303" s="78">
        <f t="shared" si="87"/>
        <v>0</v>
      </c>
      <c r="BF303" t="str">
        <f t="shared" si="88"/>
        <v/>
      </c>
    </row>
    <row r="304" spans="1:63" ht="15.75" hidden="1" x14ac:dyDescent="0.25">
      <c r="A304" s="8"/>
      <c r="B304" s="8"/>
      <c r="C304" s="8"/>
      <c r="D304" s="8"/>
      <c r="E304" s="8"/>
      <c r="F304" s="8"/>
      <c r="G304" s="8"/>
      <c r="H304" s="8"/>
      <c r="I304" s="12"/>
      <c r="J304" s="10"/>
      <c r="K304" s="11"/>
      <c r="L304" s="11"/>
      <c r="M304" s="11"/>
      <c r="N304" s="11"/>
      <c r="O304" s="76"/>
      <c r="P304" s="76"/>
      <c r="Q304" s="76"/>
      <c r="R304" s="76"/>
      <c r="S304" s="3"/>
      <c r="T304" s="1"/>
      <c r="U304" s="1"/>
      <c r="V304" s="1"/>
      <c r="W304" s="1"/>
      <c r="X304" s="2"/>
      <c r="Y304" s="1"/>
      <c r="Z304" s="1"/>
      <c r="AA304" s="11"/>
      <c r="AB304" s="11"/>
      <c r="AC304" s="1"/>
      <c r="AD304" s="1"/>
      <c r="AE304" s="1"/>
      <c r="AF304" s="1"/>
      <c r="AG304" s="1"/>
      <c r="AH304" s="1"/>
      <c r="AI304" s="76"/>
      <c r="AJ304" s="76"/>
      <c r="AK304" s="1"/>
      <c r="AL304" s="1"/>
      <c r="AM304" s="1"/>
      <c r="AN304" s="1"/>
      <c r="AO304" s="1"/>
      <c r="AP304" s="61"/>
      <c r="AQ304" s="61"/>
      <c r="AR304" s="76"/>
      <c r="AS304" s="76"/>
      <c r="AT304" s="69"/>
      <c r="AU304" s="77"/>
      <c r="AV304" s="61"/>
      <c r="AW304" s="70"/>
      <c r="AX304" s="70"/>
      <c r="AY304" s="71"/>
      <c r="AZ304" s="70"/>
      <c r="BA304" s="71"/>
      <c r="BB304" s="70"/>
      <c r="BC304" s="78"/>
      <c r="BD304" s="78"/>
      <c r="BE304" s="78">
        <f t="shared" si="87"/>
        <v>0</v>
      </c>
      <c r="BF304" t="str">
        <f t="shared" si="88"/>
        <v/>
      </c>
    </row>
    <row r="305" spans="1:58" ht="15.75" hidden="1" x14ac:dyDescent="0.25">
      <c r="A305" s="8"/>
      <c r="B305" s="8"/>
      <c r="C305" s="8"/>
      <c r="D305" s="8"/>
      <c r="E305" s="8"/>
      <c r="F305" s="8"/>
      <c r="G305" s="8"/>
      <c r="H305" s="8"/>
      <c r="I305" s="12"/>
      <c r="J305" s="10"/>
      <c r="K305" s="11"/>
      <c r="L305" s="11"/>
      <c r="M305" s="11"/>
      <c r="N305" s="11"/>
      <c r="O305" s="76"/>
      <c r="P305" s="76"/>
      <c r="Q305" s="76"/>
      <c r="R305" s="76"/>
      <c r="S305" s="3"/>
      <c r="T305" s="1"/>
      <c r="U305" s="1"/>
      <c r="V305" s="1"/>
      <c r="W305" s="1"/>
      <c r="X305" s="2"/>
      <c r="Y305" s="1"/>
      <c r="Z305" s="1"/>
      <c r="AA305" s="11"/>
      <c r="AB305" s="11"/>
      <c r="AC305" s="1"/>
      <c r="AD305" s="1"/>
      <c r="AE305" s="1"/>
      <c r="AF305" s="1"/>
      <c r="AG305" s="1"/>
      <c r="AH305" s="1"/>
      <c r="AI305" s="76"/>
      <c r="AJ305" s="76"/>
      <c r="AK305" s="1"/>
      <c r="AL305" s="1"/>
      <c r="AM305" s="1"/>
      <c r="AN305" s="1"/>
      <c r="AO305" s="1"/>
      <c r="AP305" s="61"/>
      <c r="AQ305" s="61"/>
      <c r="AR305" s="76"/>
      <c r="AS305" s="76"/>
      <c r="AT305" s="69"/>
      <c r="AU305" s="77"/>
      <c r="AV305" s="61"/>
      <c r="AW305" s="70"/>
      <c r="AX305" s="70"/>
      <c r="AY305" s="71"/>
      <c r="AZ305" s="70"/>
      <c r="BA305" s="71"/>
      <c r="BB305" s="70"/>
      <c r="BC305" s="78"/>
      <c r="BD305" s="78"/>
      <c r="BE305" s="78">
        <f t="shared" si="87"/>
        <v>0</v>
      </c>
      <c r="BF305" t="str">
        <f t="shared" si="88"/>
        <v/>
      </c>
    </row>
    <row r="306" spans="1:58" ht="15.75" hidden="1" x14ac:dyDescent="0.25">
      <c r="A306" s="8"/>
      <c r="B306" s="8"/>
      <c r="C306" s="8"/>
      <c r="D306" s="8"/>
      <c r="E306" s="8"/>
      <c r="F306" s="8"/>
      <c r="G306" s="8"/>
      <c r="H306" s="8"/>
      <c r="I306" s="12"/>
      <c r="J306" s="10"/>
      <c r="K306" s="11"/>
      <c r="L306" s="11"/>
      <c r="M306" s="11"/>
      <c r="N306" s="11"/>
      <c r="O306" s="76"/>
      <c r="P306" s="76"/>
      <c r="Q306" s="76"/>
      <c r="R306" s="76"/>
      <c r="S306" s="3"/>
      <c r="T306" s="1"/>
      <c r="U306" s="1"/>
      <c r="V306" s="1"/>
      <c r="W306" s="1"/>
      <c r="X306" s="2"/>
      <c r="Y306" s="1"/>
      <c r="Z306" s="1"/>
      <c r="AA306" s="11"/>
      <c r="AB306" s="11"/>
      <c r="AC306" s="1"/>
      <c r="AD306" s="1"/>
      <c r="AE306" s="1"/>
      <c r="AF306" s="1"/>
      <c r="AG306" s="1"/>
      <c r="AH306" s="1"/>
      <c r="AI306" s="76"/>
      <c r="AJ306" s="76"/>
      <c r="AK306" s="1"/>
      <c r="AL306" s="1"/>
      <c r="AM306" s="1"/>
      <c r="AN306" s="1"/>
      <c r="AO306" s="1"/>
      <c r="AP306" s="61"/>
      <c r="AQ306" s="61"/>
      <c r="AR306" s="76"/>
      <c r="AS306" s="76"/>
      <c r="AT306" s="69"/>
      <c r="AU306" s="77"/>
      <c r="AV306" s="61"/>
      <c r="AW306" s="70"/>
      <c r="AX306" s="70"/>
      <c r="AY306" s="71"/>
      <c r="AZ306" s="70"/>
      <c r="BA306" s="71"/>
      <c r="BB306" s="70"/>
      <c r="BC306" s="78"/>
      <c r="BD306" s="78"/>
      <c r="BE306" s="78">
        <f t="shared" si="87"/>
        <v>0</v>
      </c>
      <c r="BF306" t="str">
        <f t="shared" si="88"/>
        <v/>
      </c>
    </row>
    <row r="307" spans="1:58" ht="15.75" hidden="1" x14ac:dyDescent="0.25">
      <c r="A307" s="8"/>
      <c r="B307" s="8"/>
      <c r="C307" s="8"/>
      <c r="D307" s="8"/>
      <c r="E307" s="8"/>
      <c r="F307" s="8"/>
      <c r="G307" s="8"/>
      <c r="H307" s="8"/>
      <c r="I307" s="12"/>
      <c r="J307" s="10"/>
      <c r="K307" s="11"/>
      <c r="L307" s="11"/>
      <c r="M307" s="11"/>
      <c r="N307" s="11"/>
      <c r="O307" s="76"/>
      <c r="P307" s="76"/>
      <c r="Q307" s="76"/>
      <c r="R307" s="76"/>
      <c r="S307" s="3"/>
      <c r="T307" s="1"/>
      <c r="U307" s="1"/>
      <c r="V307" s="1"/>
      <c r="W307" s="1"/>
      <c r="X307" s="2"/>
      <c r="Y307" s="1"/>
      <c r="Z307" s="1"/>
      <c r="AA307" s="11"/>
      <c r="AB307" s="11"/>
      <c r="AC307" s="1"/>
      <c r="AD307" s="1"/>
      <c r="AE307" s="1"/>
      <c r="AF307" s="1"/>
      <c r="AG307" s="1"/>
      <c r="AH307" s="1"/>
      <c r="AI307" s="76"/>
      <c r="AJ307" s="76"/>
      <c r="AK307" s="1"/>
      <c r="AL307" s="1"/>
      <c r="AM307" s="1"/>
      <c r="AN307" s="1"/>
      <c r="AO307" s="1"/>
      <c r="AP307" s="61"/>
      <c r="AQ307" s="61"/>
      <c r="AR307" s="76"/>
      <c r="AS307" s="76"/>
      <c r="AT307" s="69"/>
      <c r="AU307" s="77"/>
      <c r="AV307" s="61"/>
      <c r="AW307" s="70"/>
      <c r="AX307" s="70"/>
      <c r="AY307" s="71"/>
      <c r="AZ307" s="70"/>
      <c r="BA307" s="71"/>
      <c r="BB307" s="70"/>
      <c r="BC307" s="78"/>
      <c r="BD307" s="78"/>
      <c r="BE307" s="78">
        <f t="shared" si="87"/>
        <v>0</v>
      </c>
      <c r="BF307" t="str">
        <f t="shared" si="88"/>
        <v/>
      </c>
    </row>
    <row r="308" spans="1:58" ht="15.75" hidden="1" x14ac:dyDescent="0.25">
      <c r="A308" s="8"/>
      <c r="B308" s="8"/>
      <c r="C308" s="8"/>
      <c r="D308" s="8"/>
      <c r="E308" s="8"/>
      <c r="F308" s="8"/>
      <c r="G308" s="8"/>
      <c r="H308" s="8"/>
      <c r="I308" s="12"/>
      <c r="J308" s="10"/>
      <c r="K308" s="11"/>
      <c r="L308" s="11"/>
      <c r="M308" s="11"/>
      <c r="N308" s="11"/>
      <c r="O308" s="76"/>
      <c r="P308" s="76"/>
      <c r="Q308" s="76"/>
      <c r="R308" s="76"/>
      <c r="S308" s="3"/>
      <c r="T308" s="1"/>
      <c r="U308" s="1"/>
      <c r="V308" s="1"/>
      <c r="W308" s="1"/>
      <c r="X308" s="2"/>
      <c r="Y308" s="1"/>
      <c r="Z308" s="1"/>
      <c r="AA308" s="11"/>
      <c r="AB308" s="11"/>
      <c r="AC308" s="1"/>
      <c r="AD308" s="1"/>
      <c r="AE308" s="1"/>
      <c r="AF308" s="1"/>
      <c r="AG308" s="1"/>
      <c r="AH308" s="1"/>
      <c r="AI308" s="76"/>
      <c r="AJ308" s="76"/>
      <c r="AK308" s="1"/>
      <c r="AL308" s="1"/>
      <c r="AM308" s="1"/>
      <c r="AN308" s="1"/>
      <c r="AO308" s="1"/>
      <c r="AP308" s="61"/>
      <c r="AQ308" s="61"/>
      <c r="AR308" s="76"/>
      <c r="AS308" s="76"/>
      <c r="AT308" s="69"/>
      <c r="AU308" s="77"/>
      <c r="AV308" s="61"/>
      <c r="AW308" s="70"/>
      <c r="AX308" s="70"/>
      <c r="AY308" s="71"/>
      <c r="AZ308" s="70"/>
      <c r="BA308" s="71"/>
      <c r="BB308" s="70"/>
      <c r="BC308" s="78"/>
      <c r="BD308" s="78"/>
      <c r="BE308" s="78">
        <f t="shared" si="87"/>
        <v>0</v>
      </c>
      <c r="BF308" t="str">
        <f t="shared" si="88"/>
        <v/>
      </c>
    </row>
    <row r="309" spans="1:58" ht="15.75" hidden="1" x14ac:dyDescent="0.25">
      <c r="A309" s="8"/>
      <c r="B309" s="8"/>
      <c r="C309" s="8"/>
      <c r="D309" s="8"/>
      <c r="E309" s="8"/>
      <c r="F309" s="8"/>
      <c r="G309" s="8"/>
      <c r="H309" s="8"/>
      <c r="I309" s="12"/>
      <c r="J309" s="10"/>
      <c r="K309" s="11"/>
      <c r="L309" s="11"/>
      <c r="M309" s="11"/>
      <c r="N309" s="11"/>
      <c r="O309" s="76"/>
      <c r="P309" s="76"/>
      <c r="Q309" s="76"/>
      <c r="R309" s="76"/>
      <c r="S309" s="3"/>
      <c r="T309" s="1"/>
      <c r="U309" s="1"/>
      <c r="V309" s="1"/>
      <c r="W309" s="1"/>
      <c r="X309" s="2"/>
      <c r="Y309" s="1"/>
      <c r="Z309" s="1"/>
      <c r="AA309" s="11"/>
      <c r="AB309" s="11"/>
      <c r="AC309" s="1"/>
      <c r="AD309" s="1"/>
      <c r="AE309" s="1"/>
      <c r="AF309" s="1"/>
      <c r="AG309" s="1"/>
      <c r="AH309" s="1"/>
      <c r="AI309" s="76"/>
      <c r="AJ309" s="76"/>
      <c r="AK309" s="1"/>
      <c r="AL309" s="1"/>
      <c r="AM309" s="1"/>
      <c r="AN309" s="1"/>
      <c r="AO309" s="1"/>
      <c r="AP309" s="61"/>
      <c r="AQ309" s="61"/>
      <c r="AR309" s="76"/>
      <c r="AS309" s="76"/>
      <c r="AT309" s="69"/>
      <c r="AU309" s="77"/>
      <c r="AV309" s="61"/>
      <c r="AW309" s="70"/>
      <c r="AX309" s="70"/>
      <c r="AY309" s="71"/>
      <c r="AZ309" s="70"/>
      <c r="BA309" s="71"/>
      <c r="BB309" s="70"/>
      <c r="BC309" s="78"/>
      <c r="BD309" s="78"/>
      <c r="BE309" s="78">
        <f t="shared" si="87"/>
        <v>0</v>
      </c>
      <c r="BF309" t="str">
        <f t="shared" si="88"/>
        <v/>
      </c>
    </row>
    <row r="310" spans="1:58" ht="15.75" hidden="1" x14ac:dyDescent="0.25">
      <c r="A310" s="8"/>
      <c r="B310" s="8"/>
      <c r="C310" s="8"/>
      <c r="D310" s="8"/>
      <c r="E310" s="8"/>
      <c r="F310" s="8"/>
      <c r="G310" s="8"/>
      <c r="H310" s="8"/>
      <c r="I310" s="12"/>
      <c r="J310" s="10"/>
      <c r="K310" s="11"/>
      <c r="L310" s="11"/>
      <c r="M310" s="11"/>
      <c r="N310" s="11"/>
      <c r="O310" s="76"/>
      <c r="P310" s="76"/>
      <c r="Q310" s="76"/>
      <c r="R310" s="76"/>
      <c r="S310" s="3"/>
      <c r="T310" s="1"/>
      <c r="U310" s="1"/>
      <c r="V310" s="1"/>
      <c r="W310" s="1"/>
      <c r="X310" s="2"/>
      <c r="Y310" s="1"/>
      <c r="Z310" s="1"/>
      <c r="AA310" s="11"/>
      <c r="AB310" s="11"/>
      <c r="AC310" s="1"/>
      <c r="AD310" s="1"/>
      <c r="AE310" s="1"/>
      <c r="AF310" s="1"/>
      <c r="AG310" s="1"/>
      <c r="AH310" s="1"/>
      <c r="AI310" s="76"/>
      <c r="AJ310" s="76"/>
      <c r="AK310" s="1"/>
      <c r="AL310" s="1"/>
      <c r="AM310" s="1"/>
      <c r="AN310" s="1"/>
      <c r="AO310" s="1"/>
      <c r="AP310" s="61"/>
      <c r="AQ310" s="61"/>
      <c r="AR310" s="76"/>
      <c r="AS310" s="76"/>
      <c r="AT310" s="69"/>
      <c r="AU310" s="77"/>
      <c r="AV310" s="61"/>
      <c r="AW310" s="70"/>
      <c r="AX310" s="70"/>
      <c r="AY310" s="71"/>
      <c r="AZ310" s="70"/>
      <c r="BA310" s="71"/>
      <c r="BB310" s="70"/>
      <c r="BC310" s="78"/>
      <c r="BD310" s="78"/>
      <c r="BE310" s="78">
        <f t="shared" si="87"/>
        <v>0</v>
      </c>
      <c r="BF310" t="str">
        <f t="shared" si="88"/>
        <v/>
      </c>
    </row>
    <row r="311" spans="1:58" ht="15.75" hidden="1" x14ac:dyDescent="0.25">
      <c r="A311" s="8"/>
      <c r="B311" s="8"/>
      <c r="C311" s="8"/>
      <c r="D311" s="8"/>
      <c r="E311" s="8"/>
      <c r="F311" s="8"/>
      <c r="G311" s="8"/>
      <c r="H311" s="8"/>
      <c r="I311" s="12"/>
      <c r="J311" s="10"/>
      <c r="K311" s="11"/>
      <c r="L311" s="11"/>
      <c r="M311" s="11"/>
      <c r="N311" s="11"/>
      <c r="O311" s="76"/>
      <c r="P311" s="76"/>
      <c r="Q311" s="76"/>
      <c r="R311" s="76"/>
      <c r="S311" s="3"/>
      <c r="T311" s="1"/>
      <c r="U311" s="1"/>
      <c r="V311" s="1"/>
      <c r="W311" s="1"/>
      <c r="X311" s="2"/>
      <c r="Y311" s="1"/>
      <c r="Z311" s="1"/>
      <c r="AA311" s="11"/>
      <c r="AB311" s="11"/>
      <c r="AC311" s="1"/>
      <c r="AD311" s="1"/>
      <c r="AE311" s="1"/>
      <c r="AF311" s="1"/>
      <c r="AG311" s="1"/>
      <c r="AH311" s="1"/>
      <c r="AI311" s="76"/>
      <c r="AJ311" s="76"/>
      <c r="AK311" s="1"/>
      <c r="AL311" s="1"/>
      <c r="AM311" s="1"/>
      <c r="AN311" s="1"/>
      <c r="AO311" s="1"/>
      <c r="AP311" s="61"/>
      <c r="AQ311" s="61"/>
      <c r="AR311" s="76"/>
      <c r="AS311" s="76"/>
      <c r="AT311" s="69"/>
      <c r="AU311" s="77"/>
      <c r="AV311" s="61"/>
      <c r="AW311" s="70"/>
      <c r="AX311" s="70"/>
      <c r="AY311" s="71"/>
      <c r="AZ311" s="70"/>
      <c r="BA311" s="71"/>
      <c r="BB311" s="70"/>
      <c r="BC311" s="78"/>
      <c r="BD311" s="78"/>
      <c r="BE311" s="78">
        <f t="shared" si="87"/>
        <v>0</v>
      </c>
      <c r="BF311" t="str">
        <f t="shared" si="88"/>
        <v/>
      </c>
    </row>
    <row r="312" spans="1:58" ht="15.75" hidden="1" x14ac:dyDescent="0.25">
      <c r="A312" s="8"/>
      <c r="B312" s="8"/>
      <c r="C312" s="8"/>
      <c r="D312" s="8"/>
      <c r="E312" s="8"/>
      <c r="F312" s="8"/>
      <c r="G312" s="8"/>
      <c r="H312" s="8"/>
      <c r="I312" s="12"/>
      <c r="J312" s="10"/>
      <c r="K312" s="11"/>
      <c r="L312" s="11"/>
      <c r="M312" s="11"/>
      <c r="N312" s="11"/>
      <c r="O312" s="76"/>
      <c r="P312" s="76"/>
      <c r="Q312" s="76"/>
      <c r="R312" s="76"/>
      <c r="S312" s="3"/>
      <c r="T312" s="1"/>
      <c r="U312" s="1"/>
      <c r="V312" s="1"/>
      <c r="W312" s="1"/>
      <c r="X312" s="2"/>
      <c r="Y312" s="1"/>
      <c r="Z312" s="1"/>
      <c r="AA312" s="11"/>
      <c r="AB312" s="11"/>
      <c r="AC312" s="1"/>
      <c r="AD312" s="1"/>
      <c r="AE312" s="1"/>
      <c r="AF312" s="1"/>
      <c r="AG312" s="1"/>
      <c r="AH312" s="1"/>
      <c r="AI312" s="76"/>
      <c r="AJ312" s="76"/>
      <c r="AK312" s="1"/>
      <c r="AL312" s="1"/>
      <c r="AM312" s="1"/>
      <c r="AN312" s="1"/>
      <c r="AO312" s="1"/>
      <c r="AP312" s="61"/>
      <c r="AQ312" s="61"/>
      <c r="AR312" s="76"/>
      <c r="AS312" s="76"/>
      <c r="AT312" s="69"/>
      <c r="AU312" s="77"/>
      <c r="AV312" s="61"/>
      <c r="AW312" s="70"/>
      <c r="AX312" s="70"/>
      <c r="AY312" s="71"/>
      <c r="AZ312" s="70"/>
      <c r="BA312" s="71"/>
      <c r="BB312" s="70"/>
      <c r="BC312" s="78"/>
      <c r="BD312" s="78"/>
      <c r="BE312" s="78">
        <f t="shared" si="87"/>
        <v>0</v>
      </c>
      <c r="BF312" t="str">
        <f t="shared" si="88"/>
        <v/>
      </c>
    </row>
    <row r="313" spans="1:58" ht="15.75" hidden="1" x14ac:dyDescent="0.25">
      <c r="A313" s="8"/>
      <c r="B313" s="8"/>
      <c r="C313" s="8"/>
      <c r="D313" s="8"/>
      <c r="E313" s="8"/>
      <c r="F313" s="8"/>
      <c r="G313" s="8"/>
      <c r="H313" s="8"/>
      <c r="I313" s="12"/>
      <c r="J313" s="10"/>
      <c r="K313" s="11"/>
      <c r="L313" s="11"/>
      <c r="M313" s="11"/>
      <c r="N313" s="11"/>
      <c r="O313" s="76"/>
      <c r="P313" s="76"/>
      <c r="Q313" s="76"/>
      <c r="R313" s="76"/>
      <c r="S313" s="3"/>
      <c r="T313" s="1"/>
      <c r="U313" s="1"/>
      <c r="V313" s="1"/>
      <c r="W313" s="1"/>
      <c r="X313" s="2"/>
      <c r="Y313" s="1"/>
      <c r="Z313" s="1"/>
      <c r="AA313" s="11"/>
      <c r="AB313" s="11"/>
      <c r="AC313" s="1"/>
      <c r="AD313" s="1"/>
      <c r="AE313" s="1"/>
      <c r="AF313" s="1"/>
      <c r="AG313" s="1"/>
      <c r="AH313" s="1"/>
      <c r="AI313" s="76"/>
      <c r="AJ313" s="76"/>
      <c r="AK313" s="1"/>
      <c r="AL313" s="1"/>
      <c r="AM313" s="1"/>
      <c r="AN313" s="1"/>
      <c r="AO313" s="1"/>
      <c r="AP313" s="61"/>
      <c r="AQ313" s="61"/>
      <c r="AR313" s="76"/>
      <c r="AS313" s="76"/>
      <c r="AT313" s="69"/>
      <c r="AU313" s="77"/>
      <c r="AV313" s="61"/>
      <c r="AW313" s="70"/>
      <c r="AX313" s="70"/>
      <c r="AY313" s="71"/>
      <c r="AZ313" s="70"/>
      <c r="BA313" s="71"/>
      <c r="BB313" s="70"/>
      <c r="BC313" s="78"/>
      <c r="BD313" s="78"/>
      <c r="BE313" s="78">
        <f t="shared" si="87"/>
        <v>0</v>
      </c>
      <c r="BF313" t="str">
        <f t="shared" si="88"/>
        <v/>
      </c>
    </row>
    <row r="314" spans="1:58" ht="15.75" hidden="1" x14ac:dyDescent="0.25">
      <c r="A314" s="8"/>
      <c r="B314" s="8"/>
      <c r="C314" s="8"/>
      <c r="D314" s="8"/>
      <c r="E314" s="8"/>
      <c r="F314" s="8"/>
      <c r="G314" s="8"/>
      <c r="H314" s="8"/>
      <c r="I314" s="12"/>
      <c r="J314" s="10"/>
      <c r="K314" s="11"/>
      <c r="L314" s="11"/>
      <c r="M314" s="11"/>
      <c r="N314" s="11"/>
      <c r="O314" s="76"/>
      <c r="P314" s="76"/>
      <c r="Q314" s="76"/>
      <c r="R314" s="76"/>
      <c r="S314" s="3"/>
      <c r="T314" s="1"/>
      <c r="U314" s="1"/>
      <c r="V314" s="1"/>
      <c r="W314" s="1"/>
      <c r="X314" s="2"/>
      <c r="Y314" s="1"/>
      <c r="Z314" s="1"/>
      <c r="AA314" s="11"/>
      <c r="AB314" s="11"/>
      <c r="AC314" s="1"/>
      <c r="AD314" s="1"/>
      <c r="AE314" s="1"/>
      <c r="AF314" s="1"/>
      <c r="AG314" s="1"/>
      <c r="AH314" s="1"/>
      <c r="AI314" s="76"/>
      <c r="AJ314" s="76"/>
      <c r="AK314" s="1"/>
      <c r="AL314" s="1"/>
      <c r="AM314" s="1"/>
      <c r="AN314" s="1"/>
      <c r="AO314" s="1"/>
      <c r="AP314" s="61"/>
      <c r="AQ314" s="61"/>
      <c r="AR314" s="76"/>
      <c r="AS314" s="76"/>
      <c r="AT314" s="69"/>
      <c r="AU314" s="77"/>
      <c r="AV314" s="61"/>
      <c r="AW314" s="70"/>
      <c r="AX314" s="70"/>
      <c r="AY314" s="71"/>
      <c r="AZ314" s="70"/>
      <c r="BA314" s="71"/>
      <c r="BB314" s="70"/>
      <c r="BC314" s="78"/>
      <c r="BD314" s="78"/>
      <c r="BE314" s="78">
        <f t="shared" si="87"/>
        <v>0</v>
      </c>
      <c r="BF314" t="str">
        <f t="shared" si="88"/>
        <v/>
      </c>
    </row>
    <row r="315" spans="1:58" ht="35.25" hidden="1" customHeight="1" x14ac:dyDescent="0.25">
      <c r="A315" s="8"/>
      <c r="B315" s="8"/>
      <c r="C315" s="8"/>
      <c r="D315" s="8"/>
      <c r="E315" s="8"/>
      <c r="F315" s="8"/>
      <c r="G315" s="8"/>
      <c r="H315" s="8"/>
      <c r="I315" s="12"/>
      <c r="J315" s="10"/>
      <c r="K315" s="11"/>
      <c r="L315" s="11"/>
      <c r="M315" s="11"/>
      <c r="N315" s="11"/>
      <c r="O315" s="76"/>
      <c r="P315" s="76"/>
      <c r="Q315" s="76"/>
      <c r="R315" s="76"/>
      <c r="S315" s="3"/>
      <c r="T315" s="1"/>
      <c r="U315" s="1"/>
      <c r="V315" s="1"/>
      <c r="W315" s="1"/>
      <c r="X315" s="2"/>
      <c r="Y315" s="1"/>
      <c r="Z315" s="1"/>
      <c r="AA315" s="11"/>
      <c r="AB315" s="11"/>
      <c r="AC315" s="1"/>
      <c r="AD315" s="1"/>
      <c r="AE315" s="1"/>
      <c r="AF315" s="1"/>
      <c r="AG315" s="1"/>
      <c r="AH315" s="1"/>
      <c r="AI315" s="76"/>
      <c r="AJ315" s="76"/>
      <c r="AK315" s="1"/>
      <c r="AL315" s="1"/>
      <c r="AM315" s="1"/>
      <c r="AN315" s="1"/>
      <c r="AO315" s="1"/>
      <c r="AP315" s="61"/>
      <c r="AQ315" s="61"/>
      <c r="AR315" s="76"/>
      <c r="AS315" s="76"/>
      <c r="AT315" s="69"/>
      <c r="AU315" s="77"/>
      <c r="AV315" s="61"/>
      <c r="AW315" s="70"/>
      <c r="AX315" s="70"/>
      <c r="AY315" s="71"/>
      <c r="AZ315" s="70"/>
      <c r="BA315" s="71"/>
      <c r="BB315" s="70"/>
      <c r="BC315" s="78"/>
      <c r="BD315" s="78"/>
      <c r="BE315" s="78">
        <f t="shared" si="87"/>
        <v>0</v>
      </c>
      <c r="BF315" t="str">
        <f t="shared" si="88"/>
        <v/>
      </c>
    </row>
    <row r="316" spans="1:58" ht="15.75" hidden="1" customHeight="1" x14ac:dyDescent="0.25">
      <c r="A316" s="8"/>
      <c r="B316" s="8"/>
      <c r="C316" s="8"/>
      <c r="D316" s="8"/>
      <c r="E316" s="8"/>
      <c r="F316" s="8"/>
      <c r="G316" s="8"/>
      <c r="H316" s="8"/>
      <c r="I316" s="12"/>
      <c r="J316" s="10"/>
      <c r="K316" s="11"/>
      <c r="L316" s="11"/>
      <c r="M316" s="11"/>
      <c r="N316" s="11"/>
      <c r="O316" s="76"/>
      <c r="P316" s="76"/>
      <c r="Q316" s="76"/>
      <c r="R316" s="76"/>
      <c r="S316" s="3"/>
      <c r="T316" s="1"/>
      <c r="U316" s="1"/>
      <c r="V316" s="1"/>
      <c r="W316" s="1"/>
      <c r="X316" s="2"/>
      <c r="Y316" s="1"/>
      <c r="Z316" s="1"/>
      <c r="AA316" s="11"/>
      <c r="AB316" s="11"/>
      <c r="AC316" s="1"/>
      <c r="AD316" s="1"/>
      <c r="AE316" s="1"/>
      <c r="AF316" s="1"/>
      <c r="AG316" s="1"/>
      <c r="AH316" s="1"/>
      <c r="AI316" s="76"/>
      <c r="AJ316" s="76"/>
      <c r="AK316" s="1"/>
      <c r="AL316" s="1"/>
      <c r="AM316" s="1"/>
      <c r="AN316" s="1"/>
      <c r="AO316" s="1"/>
      <c r="AP316" s="61"/>
      <c r="AQ316" s="61"/>
      <c r="AR316" s="76"/>
      <c r="AS316" s="76"/>
      <c r="AT316" s="69"/>
      <c r="AU316" s="77"/>
      <c r="AV316" s="61"/>
      <c r="AW316" s="70"/>
      <c r="AX316" s="70"/>
      <c r="AY316" s="71"/>
      <c r="AZ316" s="70"/>
      <c r="BA316" s="71"/>
      <c r="BB316" s="70"/>
      <c r="BC316" s="78"/>
      <c r="BD316" s="78"/>
      <c r="BE316" s="78">
        <f t="shared" si="87"/>
        <v>0</v>
      </c>
      <c r="BF316" t="str">
        <f t="shared" si="88"/>
        <v/>
      </c>
    </row>
    <row r="317" spans="1:58" ht="29.25" hidden="1" customHeight="1" x14ac:dyDescent="0.25">
      <c r="A317" s="8"/>
      <c r="B317" s="8"/>
      <c r="C317" s="8"/>
      <c r="D317" s="8"/>
      <c r="E317" s="8"/>
      <c r="F317" s="8"/>
      <c r="G317" s="8"/>
      <c r="H317" s="8"/>
      <c r="I317" s="12"/>
      <c r="J317" s="10"/>
      <c r="K317" s="11"/>
      <c r="L317" s="11"/>
      <c r="M317" s="11"/>
      <c r="N317" s="11"/>
      <c r="O317" s="76"/>
      <c r="P317" s="76"/>
      <c r="Q317" s="76"/>
      <c r="R317" s="76"/>
      <c r="S317" s="3"/>
      <c r="T317" s="1"/>
      <c r="U317" s="1"/>
      <c r="V317" s="1"/>
      <c r="W317" s="1"/>
      <c r="X317" s="2"/>
      <c r="Y317" s="1"/>
      <c r="Z317" s="1"/>
      <c r="AA317" s="11"/>
      <c r="AB317" s="11"/>
      <c r="AC317" s="1"/>
      <c r="AD317" s="1"/>
      <c r="AE317" s="1"/>
      <c r="AF317" s="1"/>
      <c r="AG317" s="1"/>
      <c r="AH317" s="1"/>
      <c r="AI317" s="76"/>
      <c r="AJ317" s="76"/>
      <c r="AK317" s="1"/>
      <c r="AL317" s="1"/>
      <c r="AM317" s="1"/>
      <c r="AN317" s="1"/>
      <c r="AO317" s="1"/>
      <c r="AP317" s="61"/>
      <c r="AQ317" s="61"/>
      <c r="AR317" s="76"/>
      <c r="AS317" s="76"/>
      <c r="AT317" s="69"/>
      <c r="AU317" s="77"/>
      <c r="AV317" s="61"/>
      <c r="AW317" s="70"/>
      <c r="AX317" s="70"/>
      <c r="AY317" s="71"/>
      <c r="AZ317" s="70"/>
      <c r="BA317" s="71"/>
      <c r="BB317" s="70"/>
      <c r="BC317" s="78"/>
      <c r="BD317" s="78"/>
      <c r="BE317" s="78">
        <f t="shared" si="87"/>
        <v>0</v>
      </c>
      <c r="BF317" t="str">
        <f t="shared" si="88"/>
        <v/>
      </c>
    </row>
    <row r="318" spans="1:58" ht="29.25" hidden="1" customHeight="1" x14ac:dyDescent="0.25">
      <c r="A318" s="8"/>
      <c r="B318" s="8"/>
      <c r="C318" s="8"/>
      <c r="D318" s="8"/>
      <c r="E318" s="8"/>
      <c r="F318" s="8"/>
      <c r="G318" s="8"/>
      <c r="H318" s="8"/>
      <c r="I318" s="12"/>
      <c r="J318" s="10"/>
      <c r="K318" s="11"/>
      <c r="L318" s="11"/>
      <c r="M318" s="11"/>
      <c r="N318" s="11"/>
      <c r="O318" s="76"/>
      <c r="P318" s="76"/>
      <c r="Q318" s="76"/>
      <c r="R318" s="76"/>
      <c r="S318" s="3"/>
      <c r="T318" s="1"/>
      <c r="U318" s="1"/>
      <c r="V318" s="1"/>
      <c r="W318" s="1"/>
      <c r="X318" s="2"/>
      <c r="Y318" s="1"/>
      <c r="Z318" s="1"/>
      <c r="AA318" s="11"/>
      <c r="AB318" s="11"/>
      <c r="AC318" s="1"/>
      <c r="AD318" s="1"/>
      <c r="AE318" s="1"/>
      <c r="AF318" s="1"/>
      <c r="AG318" s="1"/>
      <c r="AH318" s="1"/>
      <c r="AI318" s="76"/>
      <c r="AJ318" s="76"/>
      <c r="AK318" s="1"/>
      <c r="AL318" s="1"/>
      <c r="AM318" s="1"/>
      <c r="AN318" s="1"/>
      <c r="AO318" s="1"/>
      <c r="AP318" s="61"/>
      <c r="AQ318" s="61"/>
      <c r="AR318" s="76"/>
      <c r="AS318" s="76"/>
      <c r="AT318" s="69"/>
      <c r="AU318" s="77"/>
      <c r="AV318" s="61"/>
      <c r="AW318" s="70"/>
      <c r="AX318" s="70"/>
      <c r="AY318" s="71"/>
      <c r="AZ318" s="70"/>
      <c r="BA318" s="71"/>
      <c r="BB318" s="70"/>
      <c r="BC318" s="78"/>
      <c r="BD318" s="78"/>
      <c r="BE318" s="78">
        <f t="shared" si="87"/>
        <v>0</v>
      </c>
      <c r="BF318" t="str">
        <f t="shared" si="88"/>
        <v/>
      </c>
    </row>
    <row r="319" spans="1:58" ht="29.25" hidden="1" customHeight="1" x14ac:dyDescent="0.25">
      <c r="A319" s="8"/>
      <c r="B319" s="8"/>
      <c r="C319" s="8"/>
      <c r="D319" s="8"/>
      <c r="E319" s="8"/>
      <c r="F319" s="8"/>
      <c r="G319" s="8"/>
      <c r="H319" s="8"/>
      <c r="I319" s="12"/>
      <c r="J319" s="10"/>
      <c r="K319" s="11"/>
      <c r="L319" s="11"/>
      <c r="M319" s="11"/>
      <c r="N319" s="11"/>
      <c r="O319" s="76"/>
      <c r="P319" s="76"/>
      <c r="Q319" s="76"/>
      <c r="R319" s="76"/>
      <c r="S319" s="3"/>
      <c r="T319" s="1"/>
      <c r="U319" s="1"/>
      <c r="V319" s="1"/>
      <c r="W319" s="1"/>
      <c r="X319" s="2"/>
      <c r="Y319" s="1"/>
      <c r="Z319" s="1"/>
      <c r="AA319" s="11"/>
      <c r="AB319" s="11"/>
      <c r="AC319" s="1"/>
      <c r="AD319" s="1"/>
      <c r="AE319" s="1"/>
      <c r="AF319" s="1"/>
      <c r="AG319" s="1"/>
      <c r="AH319" s="1"/>
      <c r="AI319" s="76"/>
      <c r="AJ319" s="76"/>
      <c r="AK319" s="1"/>
      <c r="AL319" s="1"/>
      <c r="AM319" s="1"/>
      <c r="AN319" s="1"/>
      <c r="AO319" s="1"/>
      <c r="AP319" s="61"/>
      <c r="AQ319" s="61"/>
      <c r="AR319" s="76"/>
      <c r="AS319" s="76"/>
      <c r="AT319" s="69"/>
      <c r="AU319" s="77"/>
      <c r="AV319" s="61"/>
      <c r="AW319" s="70"/>
      <c r="AX319" s="70"/>
      <c r="AY319" s="71"/>
      <c r="AZ319" s="70"/>
      <c r="BA319" s="71"/>
      <c r="BB319" s="70"/>
      <c r="BC319" s="78"/>
      <c r="BD319" s="78"/>
      <c r="BE319" s="78">
        <f t="shared" si="87"/>
        <v>0</v>
      </c>
      <c r="BF319" t="str">
        <f t="shared" si="88"/>
        <v/>
      </c>
    </row>
    <row r="320" spans="1:58" ht="15.75" hidden="1" x14ac:dyDescent="0.25">
      <c r="A320" s="8"/>
      <c r="B320" s="8"/>
      <c r="C320" s="8"/>
      <c r="D320" s="8"/>
      <c r="E320" s="8"/>
      <c r="F320" s="8"/>
      <c r="G320" s="8"/>
      <c r="H320" s="8"/>
      <c r="I320" s="12"/>
      <c r="J320" s="10"/>
      <c r="K320" s="11"/>
      <c r="L320" s="11"/>
      <c r="M320" s="11"/>
      <c r="N320" s="11"/>
      <c r="O320" s="76"/>
      <c r="P320" s="76"/>
      <c r="Q320" s="76"/>
      <c r="R320" s="76"/>
      <c r="S320" s="3"/>
      <c r="T320" s="1"/>
      <c r="U320" s="1"/>
      <c r="V320" s="1"/>
      <c r="W320" s="1"/>
      <c r="X320" s="2"/>
      <c r="Y320" s="1"/>
      <c r="Z320" s="1"/>
      <c r="AA320" s="11"/>
      <c r="AB320" s="11"/>
      <c r="AC320" s="1"/>
      <c r="AD320" s="1"/>
      <c r="AE320" s="1"/>
      <c r="AF320" s="1"/>
      <c r="AG320" s="1"/>
      <c r="AH320" s="1"/>
      <c r="AI320" s="76"/>
      <c r="AJ320" s="76"/>
      <c r="AK320" s="1"/>
      <c r="AL320" s="1"/>
      <c r="AM320" s="1"/>
      <c r="AN320" s="1"/>
      <c r="AO320" s="1"/>
      <c r="AP320" s="61"/>
      <c r="AQ320" s="61"/>
      <c r="AR320" s="76"/>
      <c r="AS320" s="76"/>
      <c r="AT320" s="69"/>
      <c r="AU320" s="77"/>
      <c r="AV320" s="61"/>
      <c r="AW320" s="70"/>
      <c r="AX320" s="70"/>
      <c r="AY320" s="71"/>
      <c r="AZ320" s="70"/>
      <c r="BA320" s="71"/>
      <c r="BB320" s="70"/>
      <c r="BC320" s="78"/>
      <c r="BD320" s="78"/>
      <c r="BE320" s="78">
        <f t="shared" si="87"/>
        <v>0</v>
      </c>
      <c r="BF320" t="str">
        <f t="shared" si="88"/>
        <v/>
      </c>
    </row>
    <row r="321" spans="1:63" ht="15.75" hidden="1" x14ac:dyDescent="0.25">
      <c r="A321" s="8"/>
      <c r="B321" s="8"/>
      <c r="C321" s="8"/>
      <c r="D321" s="8"/>
      <c r="E321" s="8"/>
      <c r="F321" s="8"/>
      <c r="G321" s="8"/>
      <c r="H321" s="8"/>
      <c r="I321" s="12"/>
      <c r="J321" s="10"/>
      <c r="K321" s="11"/>
      <c r="L321" s="11"/>
      <c r="M321" s="11"/>
      <c r="N321" s="11"/>
      <c r="O321" s="76"/>
      <c r="P321" s="76"/>
      <c r="Q321" s="76"/>
      <c r="R321" s="76"/>
      <c r="S321" s="3"/>
      <c r="T321" s="1"/>
      <c r="U321" s="1"/>
      <c r="V321" s="1"/>
      <c r="W321" s="1"/>
      <c r="X321" s="2"/>
      <c r="Y321" s="1"/>
      <c r="Z321" s="1"/>
      <c r="AA321" s="11"/>
      <c r="AB321" s="11"/>
      <c r="AC321" s="1"/>
      <c r="AD321" s="1"/>
      <c r="AE321" s="1"/>
      <c r="AF321" s="1"/>
      <c r="AG321" s="1"/>
      <c r="AH321" s="1"/>
      <c r="AI321" s="76"/>
      <c r="AJ321" s="76"/>
      <c r="AK321" s="1"/>
      <c r="AL321" s="1"/>
      <c r="AM321" s="1"/>
      <c r="AN321" s="1"/>
      <c r="AO321" s="1"/>
      <c r="AP321" s="61"/>
      <c r="AQ321" s="61"/>
      <c r="AR321" s="76"/>
      <c r="AS321" s="76"/>
      <c r="AT321" s="69"/>
      <c r="AU321" s="77"/>
      <c r="AV321" s="61"/>
      <c r="AW321" s="70"/>
      <c r="AX321" s="70"/>
      <c r="AY321" s="71"/>
      <c r="AZ321" s="70"/>
      <c r="BA321" s="71"/>
      <c r="BB321" s="70"/>
      <c r="BC321" s="78"/>
      <c r="BD321" s="78"/>
      <c r="BE321" s="78">
        <f t="shared" si="87"/>
        <v>0</v>
      </c>
      <c r="BF321" t="str">
        <f t="shared" si="88"/>
        <v/>
      </c>
    </row>
    <row r="322" spans="1:63" ht="15.75" hidden="1" x14ac:dyDescent="0.25">
      <c r="A322" s="8"/>
      <c r="B322" s="8"/>
      <c r="C322" s="8"/>
      <c r="D322" s="8"/>
      <c r="E322" s="8"/>
      <c r="F322" s="8"/>
      <c r="G322" s="8"/>
      <c r="H322" s="8"/>
      <c r="I322" s="12"/>
      <c r="J322" s="10"/>
      <c r="K322" s="11"/>
      <c r="L322" s="11"/>
      <c r="M322" s="11"/>
      <c r="N322" s="11"/>
      <c r="O322" s="76"/>
      <c r="P322" s="76"/>
      <c r="Q322" s="76"/>
      <c r="R322" s="76"/>
      <c r="S322" s="3"/>
      <c r="T322" s="1"/>
      <c r="U322" s="1"/>
      <c r="V322" s="1"/>
      <c r="W322" s="1"/>
      <c r="X322" s="2"/>
      <c r="Y322" s="1"/>
      <c r="Z322" s="1"/>
      <c r="AA322" s="11"/>
      <c r="AB322" s="11"/>
      <c r="AC322" s="1"/>
      <c r="AD322" s="1"/>
      <c r="AE322" s="1"/>
      <c r="AF322" s="1"/>
      <c r="AG322" s="1"/>
      <c r="AH322" s="1"/>
      <c r="AI322" s="76"/>
      <c r="AJ322" s="76"/>
      <c r="AK322" s="1"/>
      <c r="AL322" s="1"/>
      <c r="AM322" s="1"/>
      <c r="AN322" s="1"/>
      <c r="AO322" s="1"/>
      <c r="AP322" s="61"/>
      <c r="AQ322" s="61"/>
      <c r="AR322" s="76"/>
      <c r="AS322" s="76"/>
      <c r="AT322" s="69"/>
      <c r="AU322" s="77"/>
      <c r="AV322" s="61"/>
      <c r="AW322" s="70"/>
      <c r="AX322" s="70"/>
      <c r="AY322" s="71"/>
      <c r="AZ322" s="70"/>
      <c r="BA322" s="71"/>
      <c r="BB322" s="70"/>
      <c r="BC322" s="78"/>
      <c r="BD322" s="78"/>
      <c r="BE322" s="78">
        <f t="shared" ref="BE322:BE361" si="89">MAX($BC322-$BD322,0)</f>
        <v>0</v>
      </c>
      <c r="BF322" t="str">
        <f t="shared" ref="BF322:BF361" si="90">IF($AX322=0,"",IF($AX322=1,$AW322,"MULTIRUA / VER MAPA"))</f>
        <v/>
      </c>
    </row>
    <row r="323" spans="1:63" ht="15.75" hidden="1" x14ac:dyDescent="0.25">
      <c r="A323" s="8"/>
      <c r="B323" s="8"/>
      <c r="C323" s="8"/>
      <c r="D323" s="8"/>
      <c r="E323" s="8"/>
      <c r="F323" s="8"/>
      <c r="G323" s="8"/>
      <c r="H323" s="8"/>
      <c r="I323" s="12"/>
      <c r="J323" s="10"/>
      <c r="K323" s="11"/>
      <c r="L323" s="11"/>
      <c r="M323" s="11"/>
      <c r="N323" s="11"/>
      <c r="O323" s="76"/>
      <c r="P323" s="76"/>
      <c r="Q323" s="76"/>
      <c r="R323" s="76"/>
      <c r="S323" s="3"/>
      <c r="T323" s="1"/>
      <c r="U323" s="1"/>
      <c r="V323" s="1"/>
      <c r="W323" s="1"/>
      <c r="X323" s="2"/>
      <c r="Y323" s="1"/>
      <c r="Z323" s="1"/>
      <c r="AA323" s="11"/>
      <c r="AB323" s="11"/>
      <c r="AC323" s="1"/>
      <c r="AD323" s="1"/>
      <c r="AE323" s="1"/>
      <c r="AF323" s="1"/>
      <c r="AG323" s="1"/>
      <c r="AH323" s="1"/>
      <c r="AI323" s="76"/>
      <c r="AJ323" s="76"/>
      <c r="AK323" s="1"/>
      <c r="AL323" s="1"/>
      <c r="AM323" s="1"/>
      <c r="AN323" s="1"/>
      <c r="AO323" s="1"/>
      <c r="AP323" s="61"/>
      <c r="AQ323" s="61"/>
      <c r="AR323" s="76"/>
      <c r="AS323" s="76"/>
      <c r="AT323" s="69"/>
      <c r="AU323" s="77"/>
      <c r="AV323" s="61"/>
      <c r="AW323" s="70"/>
      <c r="AX323" s="70"/>
      <c r="AY323" s="71"/>
      <c r="AZ323" s="70"/>
      <c r="BA323" s="71"/>
      <c r="BB323" s="70"/>
      <c r="BC323" s="78"/>
      <c r="BD323" s="78"/>
      <c r="BE323" s="78">
        <f t="shared" si="89"/>
        <v>0</v>
      </c>
      <c r="BF323" t="str">
        <f t="shared" si="90"/>
        <v/>
      </c>
    </row>
    <row r="324" spans="1:63" ht="15.75" hidden="1" x14ac:dyDescent="0.25">
      <c r="A324" s="8"/>
      <c r="B324" s="8"/>
      <c r="C324" s="8"/>
      <c r="D324" s="8"/>
      <c r="E324" s="8"/>
      <c r="F324" s="8"/>
      <c r="G324" s="8"/>
      <c r="H324" s="8"/>
      <c r="I324" s="12"/>
      <c r="J324" s="10"/>
      <c r="K324" s="11"/>
      <c r="L324" s="11"/>
      <c r="M324" s="11"/>
      <c r="N324" s="11"/>
      <c r="O324" s="76"/>
      <c r="P324" s="76"/>
      <c r="Q324" s="76"/>
      <c r="R324" s="76"/>
      <c r="S324" s="3"/>
      <c r="T324" s="1"/>
      <c r="U324" s="1"/>
      <c r="V324" s="1"/>
      <c r="W324" s="1"/>
      <c r="X324" s="2"/>
      <c r="Y324" s="1"/>
      <c r="Z324" s="1"/>
      <c r="AA324" s="11"/>
      <c r="AB324" s="11"/>
      <c r="AC324" s="1"/>
      <c r="AD324" s="1"/>
      <c r="AE324" s="1"/>
      <c r="AF324" s="1"/>
      <c r="AG324" s="1"/>
      <c r="AH324" s="1"/>
      <c r="AI324" s="76"/>
      <c r="AJ324" s="76"/>
      <c r="AK324" s="1"/>
      <c r="AL324" s="1"/>
      <c r="AM324" s="1"/>
      <c r="AN324" s="1"/>
      <c r="AO324" s="1"/>
      <c r="AP324" s="61"/>
      <c r="AQ324" s="61"/>
      <c r="AR324" s="76"/>
      <c r="AS324" s="76"/>
      <c r="AT324" s="69"/>
      <c r="AU324" s="77"/>
      <c r="AV324" s="61"/>
      <c r="AW324" s="70"/>
      <c r="AX324" s="70"/>
      <c r="AY324" s="71"/>
      <c r="AZ324" s="70"/>
      <c r="BA324" s="71"/>
      <c r="BB324" s="70"/>
      <c r="BC324" s="78"/>
      <c r="BD324" s="78"/>
      <c r="BE324" s="78">
        <f t="shared" si="89"/>
        <v>0</v>
      </c>
      <c r="BF324" t="str">
        <f t="shared" si="90"/>
        <v/>
      </c>
    </row>
    <row r="325" spans="1:63" ht="15.75" hidden="1" x14ac:dyDescent="0.25">
      <c r="A325" s="8"/>
      <c r="B325" s="8"/>
      <c r="C325" s="8"/>
      <c r="D325" s="8"/>
      <c r="E325" s="8"/>
      <c r="F325" s="8"/>
      <c r="G325" s="8"/>
      <c r="H325" s="8"/>
      <c r="I325" s="12"/>
      <c r="J325" s="10"/>
      <c r="K325" s="11"/>
      <c r="L325" s="11"/>
      <c r="M325" s="11"/>
      <c r="N325" s="11"/>
      <c r="O325" s="76"/>
      <c r="P325" s="76"/>
      <c r="Q325" s="76"/>
      <c r="R325" s="76"/>
      <c r="S325" s="3"/>
      <c r="T325" s="1"/>
      <c r="U325" s="1"/>
      <c r="V325" s="1"/>
      <c r="W325" s="1"/>
      <c r="X325" s="2"/>
      <c r="Y325" s="1"/>
      <c r="Z325" s="1"/>
      <c r="AA325" s="11"/>
      <c r="AB325" s="11"/>
      <c r="AC325" s="1"/>
      <c r="AD325" s="1"/>
      <c r="AE325" s="1"/>
      <c r="AF325" s="1"/>
      <c r="AG325" s="1"/>
      <c r="AH325" s="1"/>
      <c r="AI325" s="76"/>
      <c r="AJ325" s="76"/>
      <c r="AK325" s="1"/>
      <c r="AL325" s="1"/>
      <c r="AM325" s="1"/>
      <c r="AN325" s="1"/>
      <c r="AO325" s="1"/>
      <c r="AP325" s="61"/>
      <c r="AQ325" s="61"/>
      <c r="AR325" s="76"/>
      <c r="AS325" s="76"/>
      <c r="AT325" s="69"/>
      <c r="AU325" s="77"/>
      <c r="AV325" s="61"/>
      <c r="AW325" s="70"/>
      <c r="AX325" s="70"/>
      <c r="AY325" s="71"/>
      <c r="AZ325" s="70"/>
      <c r="BA325" s="71"/>
      <c r="BB325" s="70"/>
      <c r="BC325" s="78"/>
      <c r="BD325" s="78"/>
      <c r="BE325" s="78">
        <f t="shared" si="89"/>
        <v>0</v>
      </c>
      <c r="BF325" t="str">
        <f t="shared" si="90"/>
        <v/>
      </c>
    </row>
    <row r="326" spans="1:63" ht="15.75" hidden="1" x14ac:dyDescent="0.25">
      <c r="A326" s="8"/>
      <c r="B326" s="8"/>
      <c r="C326" s="8"/>
      <c r="D326" s="8"/>
      <c r="E326" s="8"/>
      <c r="F326" s="8"/>
      <c r="G326" s="8"/>
      <c r="H326" s="8"/>
      <c r="I326" s="12"/>
      <c r="J326" s="10"/>
      <c r="K326" s="11"/>
      <c r="L326" s="11"/>
      <c r="M326" s="11"/>
      <c r="N326" s="11"/>
      <c r="O326" s="76"/>
      <c r="P326" s="76"/>
      <c r="Q326" s="76"/>
      <c r="R326" s="76"/>
      <c r="S326" s="3"/>
      <c r="T326" s="1"/>
      <c r="U326" s="1"/>
      <c r="V326" s="1"/>
      <c r="W326" s="1"/>
      <c r="X326" s="2"/>
      <c r="Y326" s="1"/>
      <c r="Z326" s="1"/>
      <c r="AA326" s="11"/>
      <c r="AB326" s="11"/>
      <c r="AC326" s="1"/>
      <c r="AD326" s="1"/>
      <c r="AE326" s="1"/>
      <c r="AF326" s="1"/>
      <c r="AG326" s="1"/>
      <c r="AH326" s="1"/>
      <c r="AI326" s="76"/>
      <c r="AJ326" s="76"/>
      <c r="AK326" s="1"/>
      <c r="AL326" s="1"/>
      <c r="AM326" s="1"/>
      <c r="AN326" s="1"/>
      <c r="AO326" s="1"/>
      <c r="AP326" s="61"/>
      <c r="AQ326" s="61"/>
      <c r="AR326" s="76"/>
      <c r="AS326" s="76"/>
      <c r="AT326" s="69"/>
      <c r="AU326" s="77"/>
      <c r="AV326" s="61"/>
      <c r="AW326" s="70"/>
      <c r="AX326" s="70"/>
      <c r="AY326" s="71"/>
      <c r="AZ326" s="70"/>
      <c r="BA326" s="71"/>
      <c r="BB326" s="70"/>
      <c r="BC326" s="78"/>
      <c r="BD326" s="78"/>
      <c r="BE326" s="78">
        <f t="shared" si="89"/>
        <v>0</v>
      </c>
      <c r="BF326" t="str">
        <f t="shared" si="90"/>
        <v/>
      </c>
    </row>
    <row r="327" spans="1:63" ht="15.75" hidden="1" x14ac:dyDescent="0.25">
      <c r="A327" s="8"/>
      <c r="B327" s="8"/>
      <c r="C327" s="8"/>
      <c r="D327" s="8"/>
      <c r="E327" s="8"/>
      <c r="F327" s="8"/>
      <c r="G327" s="8"/>
      <c r="H327" s="8"/>
      <c r="I327" s="12"/>
      <c r="J327" s="10"/>
      <c r="K327" s="11"/>
      <c r="L327" s="11"/>
      <c r="M327" s="11"/>
      <c r="N327" s="11"/>
      <c r="O327" s="76"/>
      <c r="P327" s="76"/>
      <c r="Q327" s="76"/>
      <c r="R327" s="76"/>
      <c r="S327" s="3"/>
      <c r="T327" s="1"/>
      <c r="U327" s="1"/>
      <c r="V327" s="1"/>
      <c r="W327" s="1"/>
      <c r="X327" s="2"/>
      <c r="Y327" s="1"/>
      <c r="Z327" s="1"/>
      <c r="AA327" s="11"/>
      <c r="AB327" s="11"/>
      <c r="AC327" s="1"/>
      <c r="AD327" s="1"/>
      <c r="AE327" s="1"/>
      <c r="AF327" s="1"/>
      <c r="AG327" s="1"/>
      <c r="AH327" s="1"/>
      <c r="AI327" s="76"/>
      <c r="AJ327" s="76"/>
      <c r="AK327" s="1"/>
      <c r="AL327" s="1"/>
      <c r="AM327" s="1"/>
      <c r="AN327" s="1"/>
      <c r="AO327" s="1"/>
      <c r="AP327" s="61"/>
      <c r="AQ327" s="61"/>
      <c r="AR327" s="76"/>
      <c r="AS327" s="76"/>
      <c r="AT327" s="69"/>
      <c r="AU327" s="77"/>
      <c r="AV327" s="61"/>
      <c r="AW327" s="70"/>
      <c r="AX327" s="70"/>
      <c r="AY327" s="71"/>
      <c r="AZ327" s="70"/>
      <c r="BA327" s="71"/>
      <c r="BB327" s="70"/>
      <c r="BC327" s="78"/>
      <c r="BD327" s="78"/>
      <c r="BE327" s="78">
        <f t="shared" si="89"/>
        <v>0</v>
      </c>
      <c r="BF327" t="str">
        <f t="shared" si="90"/>
        <v/>
      </c>
    </row>
    <row r="328" spans="1:63" ht="15.75" hidden="1" x14ac:dyDescent="0.25">
      <c r="A328" s="8"/>
      <c r="B328" s="8"/>
      <c r="C328" s="8"/>
      <c r="D328" s="8"/>
      <c r="E328" s="8"/>
      <c r="F328" s="8"/>
      <c r="G328" s="8"/>
      <c r="H328" s="8"/>
      <c r="I328" s="12"/>
      <c r="J328" s="10"/>
      <c r="K328" s="11"/>
      <c r="L328" s="11"/>
      <c r="M328" s="11"/>
      <c r="N328" s="11"/>
      <c r="O328" s="76"/>
      <c r="P328" s="76"/>
      <c r="Q328" s="76"/>
      <c r="R328" s="76"/>
      <c r="S328" s="3"/>
      <c r="T328" s="1"/>
      <c r="U328" s="1"/>
      <c r="V328" s="1"/>
      <c r="W328" s="1"/>
      <c r="X328" s="2"/>
      <c r="Y328" s="1"/>
      <c r="Z328" s="1"/>
      <c r="AA328" s="11"/>
      <c r="AB328" s="11"/>
      <c r="AC328" s="1"/>
      <c r="AD328" s="1"/>
      <c r="AE328" s="1"/>
      <c r="AF328" s="1"/>
      <c r="AG328" s="1"/>
      <c r="AH328" s="1"/>
      <c r="AI328" s="76"/>
      <c r="AJ328" s="76"/>
      <c r="AK328" s="1"/>
      <c r="AL328" s="1"/>
      <c r="AM328" s="1"/>
      <c r="AN328" s="1"/>
      <c r="AO328" s="1"/>
      <c r="AP328" s="61"/>
      <c r="AQ328" s="61"/>
      <c r="AR328" s="76"/>
      <c r="AS328" s="76"/>
      <c r="AT328" s="69"/>
      <c r="AU328" s="77"/>
      <c r="AV328" s="61"/>
      <c r="AW328" s="70"/>
      <c r="AX328" s="70"/>
      <c r="AY328" s="71"/>
      <c r="AZ328" s="70"/>
      <c r="BA328" s="71"/>
      <c r="BB328" s="70"/>
      <c r="BC328" s="78"/>
      <c r="BD328" s="78"/>
      <c r="BE328" s="78">
        <f t="shared" si="89"/>
        <v>0</v>
      </c>
      <c r="BF328" t="str">
        <f t="shared" si="90"/>
        <v/>
      </c>
    </row>
    <row r="329" spans="1:63" ht="15.75" hidden="1" x14ac:dyDescent="0.25">
      <c r="A329" s="8"/>
      <c r="B329" s="8"/>
      <c r="C329" s="8"/>
      <c r="D329" s="8"/>
      <c r="E329" s="8"/>
      <c r="F329" s="8"/>
      <c r="G329" s="8"/>
      <c r="H329" s="8"/>
      <c r="I329" s="12"/>
      <c r="J329" s="10"/>
      <c r="K329" s="11"/>
      <c r="L329" s="11"/>
      <c r="M329" s="11"/>
      <c r="N329" s="11"/>
      <c r="O329" s="76"/>
      <c r="P329" s="76"/>
      <c r="Q329" s="76"/>
      <c r="R329" s="76"/>
      <c r="S329" s="3"/>
      <c r="T329" s="1"/>
      <c r="U329" s="1"/>
      <c r="V329" s="1"/>
      <c r="W329" s="1"/>
      <c r="X329" s="2"/>
      <c r="Y329" s="1"/>
      <c r="Z329" s="1"/>
      <c r="AA329" s="11"/>
      <c r="AB329" s="11"/>
      <c r="AC329" s="1"/>
      <c r="AD329" s="1"/>
      <c r="AE329" s="1"/>
      <c r="AF329" s="1"/>
      <c r="AG329" s="1"/>
      <c r="AH329" s="1"/>
      <c r="AI329" s="76"/>
      <c r="AJ329" s="76"/>
      <c r="AK329" s="1"/>
      <c r="AL329" s="1"/>
      <c r="AM329" s="1"/>
      <c r="AN329" s="1"/>
      <c r="AO329" s="1"/>
      <c r="AP329" s="61"/>
      <c r="AQ329" s="61"/>
      <c r="AR329" s="76"/>
      <c r="AS329" s="76"/>
      <c r="AT329" s="69"/>
      <c r="AU329" s="77"/>
      <c r="AV329" s="61"/>
      <c r="AW329" s="70"/>
      <c r="AX329" s="70"/>
      <c r="AY329" s="71"/>
      <c r="AZ329" s="70"/>
      <c r="BA329" s="71"/>
      <c r="BB329" s="70"/>
      <c r="BC329" s="78"/>
      <c r="BD329" s="78"/>
      <c r="BE329" s="78">
        <f t="shared" si="89"/>
        <v>0</v>
      </c>
      <c r="BF329" t="str">
        <f t="shared" si="90"/>
        <v/>
      </c>
    </row>
    <row r="330" spans="1:63" ht="15.75" hidden="1" x14ac:dyDescent="0.25">
      <c r="A330" s="8"/>
      <c r="B330" s="8"/>
      <c r="C330" s="8"/>
      <c r="D330" s="8"/>
      <c r="E330" s="8"/>
      <c r="F330" s="8"/>
      <c r="G330" s="8"/>
      <c r="H330" s="8"/>
      <c r="I330" s="12"/>
      <c r="J330" s="10"/>
      <c r="K330" s="11"/>
      <c r="L330" s="11"/>
      <c r="M330" s="11"/>
      <c r="N330" s="11"/>
      <c r="O330" s="76"/>
      <c r="P330" s="76"/>
      <c r="Q330" s="76"/>
      <c r="R330" s="76"/>
      <c r="S330" s="3"/>
      <c r="T330" s="1"/>
      <c r="U330" s="1"/>
      <c r="V330" s="1"/>
      <c r="W330" s="1"/>
      <c r="X330" s="2"/>
      <c r="Y330" s="1"/>
      <c r="Z330" s="1"/>
      <c r="AA330" s="11"/>
      <c r="AB330" s="11"/>
      <c r="AC330" s="1"/>
      <c r="AD330" s="1"/>
      <c r="AE330" s="1"/>
      <c r="AF330" s="1"/>
      <c r="AG330" s="1"/>
      <c r="AH330" s="1"/>
      <c r="AI330" s="76"/>
      <c r="AJ330" s="76"/>
      <c r="AK330" s="1"/>
      <c r="AL330" s="1"/>
      <c r="AM330" s="1"/>
      <c r="AN330" s="1"/>
      <c r="AO330" s="1"/>
      <c r="AP330" s="61"/>
      <c r="AQ330" s="61"/>
      <c r="AR330" s="76"/>
      <c r="AS330" s="76"/>
      <c r="AT330" s="69"/>
      <c r="AU330" s="77"/>
      <c r="AV330" s="61"/>
      <c r="AW330" s="70"/>
      <c r="AX330" s="70"/>
      <c r="AY330" s="71"/>
      <c r="AZ330" s="70"/>
      <c r="BA330" s="71"/>
      <c r="BB330" s="70"/>
      <c r="BC330" s="78"/>
      <c r="BD330" s="78"/>
      <c r="BE330" s="78">
        <f t="shared" si="89"/>
        <v>0</v>
      </c>
      <c r="BF330" t="str">
        <f t="shared" si="90"/>
        <v/>
      </c>
    </row>
    <row r="331" spans="1:63" ht="15.75" hidden="1" x14ac:dyDescent="0.25">
      <c r="A331" s="8"/>
      <c r="B331" s="8"/>
      <c r="C331" s="8"/>
      <c r="D331" s="8"/>
      <c r="E331" s="8"/>
      <c r="F331" s="8"/>
      <c r="G331" s="8"/>
      <c r="H331" s="8"/>
      <c r="I331" s="12"/>
      <c r="J331" s="10"/>
      <c r="K331" s="11"/>
      <c r="L331" s="11"/>
      <c r="M331" s="11"/>
      <c r="N331" s="11"/>
      <c r="O331" s="76"/>
      <c r="P331" s="76"/>
      <c r="Q331" s="76"/>
      <c r="R331" s="76"/>
      <c r="S331" s="3"/>
      <c r="T331" s="1"/>
      <c r="U331" s="1"/>
      <c r="V331" s="1"/>
      <c r="W331" s="1"/>
      <c r="X331" s="2"/>
      <c r="Y331" s="1"/>
      <c r="Z331" s="1"/>
      <c r="AA331" s="11"/>
      <c r="AB331" s="11"/>
      <c r="AC331" s="1"/>
      <c r="AD331" s="1"/>
      <c r="AE331" s="1"/>
      <c r="AF331" s="1"/>
      <c r="AG331" s="1"/>
      <c r="AH331" s="1"/>
      <c r="AI331" s="76"/>
      <c r="AJ331" s="76"/>
      <c r="AK331" s="1"/>
      <c r="AL331" s="1"/>
      <c r="AM331" s="1"/>
      <c r="AN331" s="1"/>
      <c r="AO331" s="1"/>
      <c r="AP331" s="61"/>
      <c r="AQ331" s="61"/>
      <c r="AR331" s="76"/>
      <c r="AS331" s="76"/>
      <c r="AT331" s="69"/>
      <c r="AU331" s="77"/>
      <c r="AV331" s="61"/>
      <c r="AW331" s="70"/>
      <c r="AX331" s="70"/>
      <c r="AY331" s="71"/>
      <c r="AZ331" s="70"/>
      <c r="BA331" s="71"/>
      <c r="BB331" s="70"/>
      <c r="BC331" s="78"/>
      <c r="BD331" s="78"/>
      <c r="BE331" s="78">
        <f t="shared" si="89"/>
        <v>0</v>
      </c>
      <c r="BF331" t="str">
        <f t="shared" si="90"/>
        <v/>
      </c>
    </row>
    <row r="332" spans="1:63" ht="15.75" hidden="1" x14ac:dyDescent="0.25">
      <c r="A332" s="8"/>
      <c r="B332" s="8"/>
      <c r="C332" s="8"/>
      <c r="D332" s="8"/>
      <c r="E332" s="8"/>
      <c r="F332" s="8"/>
      <c r="G332" s="8"/>
      <c r="H332" s="8"/>
      <c r="I332" s="12"/>
      <c r="J332" s="10"/>
      <c r="K332" s="11"/>
      <c r="L332" s="11"/>
      <c r="M332" s="11"/>
      <c r="N332" s="11"/>
      <c r="O332" s="76"/>
      <c r="P332" s="76"/>
      <c r="Q332" s="76"/>
      <c r="R332" s="76"/>
      <c r="S332" s="3"/>
      <c r="T332" s="1"/>
      <c r="U332" s="1"/>
      <c r="V332" s="1"/>
      <c r="W332" s="1"/>
      <c r="X332" s="2"/>
      <c r="Y332" s="1"/>
      <c r="Z332" s="1"/>
      <c r="AA332" s="11"/>
      <c r="AB332" s="11"/>
      <c r="AC332" s="1"/>
      <c r="AD332" s="1"/>
      <c r="AE332" s="1"/>
      <c r="AF332" s="1"/>
      <c r="AG332" s="1"/>
      <c r="AH332" s="1"/>
      <c r="AI332" s="76"/>
      <c r="AJ332" s="76"/>
      <c r="AK332" s="1"/>
      <c r="AL332" s="1"/>
      <c r="AM332" s="1"/>
      <c r="AN332" s="1"/>
      <c r="AO332" s="1"/>
      <c r="AP332" s="61"/>
      <c r="AQ332" s="61"/>
      <c r="AR332" s="76"/>
      <c r="AS332" s="76"/>
      <c r="AT332" s="69"/>
      <c r="AU332" s="77"/>
      <c r="AV332" s="61"/>
      <c r="AW332" s="70"/>
      <c r="AX332" s="70"/>
      <c r="AY332" s="71"/>
      <c r="AZ332" s="70"/>
      <c r="BA332" s="71"/>
      <c r="BB332" s="70"/>
      <c r="BC332" s="78"/>
      <c r="BD332" s="78"/>
      <c r="BE332" s="78">
        <f t="shared" si="89"/>
        <v>0</v>
      </c>
      <c r="BF332" t="str">
        <f t="shared" si="90"/>
        <v/>
      </c>
    </row>
    <row r="333" spans="1:63" ht="15.75" hidden="1" x14ac:dyDescent="0.25">
      <c r="A333" s="8"/>
      <c r="B333" s="8"/>
      <c r="C333" s="8"/>
      <c r="D333" s="8"/>
      <c r="E333" s="8"/>
      <c r="F333" s="8"/>
      <c r="G333" s="8"/>
      <c r="H333" s="8"/>
      <c r="I333" s="12"/>
      <c r="J333" s="10"/>
      <c r="K333" s="11"/>
      <c r="L333" s="11"/>
      <c r="M333" s="11"/>
      <c r="N333" s="11"/>
      <c r="O333" s="76"/>
      <c r="P333" s="76"/>
      <c r="Q333" s="76"/>
      <c r="R333" s="76"/>
      <c r="S333" s="3"/>
      <c r="T333" s="1"/>
      <c r="U333" s="1"/>
      <c r="V333" s="1"/>
      <c r="W333" s="1"/>
      <c r="X333" s="2"/>
      <c r="Y333" s="1"/>
      <c r="Z333" s="1"/>
      <c r="AA333" s="11"/>
      <c r="AB333" s="11"/>
      <c r="AC333" s="1"/>
      <c r="AD333" s="1"/>
      <c r="AE333" s="1"/>
      <c r="AF333" s="1"/>
      <c r="AG333" s="1"/>
      <c r="AH333" s="1"/>
      <c r="AI333" s="76"/>
      <c r="AJ333" s="76"/>
      <c r="AK333" s="1"/>
      <c r="AL333" s="1"/>
      <c r="AM333" s="1"/>
      <c r="AN333" s="1"/>
      <c r="AO333" s="1"/>
      <c r="AP333" s="61"/>
      <c r="AQ333" s="61"/>
      <c r="AR333" s="76"/>
      <c r="AS333" s="76"/>
      <c r="AT333" s="69"/>
      <c r="AU333" s="77"/>
      <c r="AV333" s="61"/>
      <c r="AW333" s="70"/>
      <c r="AX333" s="70"/>
      <c r="AY333" s="71"/>
      <c r="AZ333" s="70"/>
      <c r="BA333" s="71"/>
      <c r="BB333" s="70"/>
      <c r="BC333" s="78"/>
      <c r="BD333" s="78"/>
      <c r="BE333" s="78">
        <f t="shared" si="89"/>
        <v>0</v>
      </c>
      <c r="BF333" t="str">
        <f t="shared" si="90"/>
        <v/>
      </c>
    </row>
    <row r="334" spans="1:63" ht="15.75" hidden="1" x14ac:dyDescent="0.25">
      <c r="A334" s="8"/>
      <c r="B334" s="8"/>
      <c r="C334" s="8"/>
      <c r="D334" s="8"/>
      <c r="E334" s="8"/>
      <c r="F334" s="8"/>
      <c r="G334" s="8"/>
      <c r="H334" s="8"/>
      <c r="I334" s="12"/>
      <c r="J334" s="10"/>
      <c r="K334" s="11"/>
      <c r="L334" s="11"/>
      <c r="M334" s="11"/>
      <c r="N334" s="11"/>
      <c r="O334" s="76"/>
      <c r="P334" s="76"/>
      <c r="Q334" s="76"/>
      <c r="R334" s="76"/>
      <c r="S334" s="3"/>
      <c r="T334" s="1"/>
      <c r="U334" s="1"/>
      <c r="V334" s="1"/>
      <c r="W334" s="1"/>
      <c r="X334" s="2"/>
      <c r="Y334" s="1"/>
      <c r="Z334" s="1"/>
      <c r="AA334" s="11"/>
      <c r="AB334" s="11"/>
      <c r="AC334" s="1"/>
      <c r="AD334" s="1"/>
      <c r="AE334" s="1"/>
      <c r="AF334" s="1"/>
      <c r="AG334" s="1"/>
      <c r="AH334" s="1"/>
      <c r="AI334" s="76"/>
      <c r="AJ334" s="76"/>
      <c r="AK334" s="1"/>
      <c r="AL334" s="1"/>
      <c r="AM334" s="1"/>
      <c r="AN334" s="1"/>
      <c r="AO334" s="1"/>
      <c r="AP334" s="61"/>
      <c r="AQ334" s="61"/>
      <c r="AR334" s="76"/>
      <c r="AS334" s="76"/>
      <c r="AT334" s="69"/>
      <c r="AU334" s="77"/>
      <c r="AV334" s="61"/>
      <c r="AW334" s="70"/>
      <c r="AX334" s="70"/>
      <c r="AY334" s="71"/>
      <c r="AZ334" s="70"/>
      <c r="BA334" s="71"/>
      <c r="BB334" s="70"/>
      <c r="BC334" s="78"/>
      <c r="BD334" s="78"/>
      <c r="BE334" s="78">
        <f t="shared" si="89"/>
        <v>0</v>
      </c>
      <c r="BF334" t="str">
        <f t="shared" si="90"/>
        <v/>
      </c>
    </row>
    <row r="335" spans="1:63" ht="15.75" hidden="1" x14ac:dyDescent="0.25">
      <c r="A335" s="8"/>
      <c r="B335" s="99"/>
      <c r="C335" s="99"/>
      <c r="D335" s="99"/>
      <c r="E335" s="99"/>
      <c r="F335" s="99"/>
      <c r="G335" s="99"/>
      <c r="H335" s="99"/>
      <c r="I335" s="100"/>
      <c r="J335" s="10"/>
      <c r="K335" s="11"/>
      <c r="L335" s="11"/>
      <c r="M335" s="11"/>
      <c r="N335" s="11"/>
      <c r="O335" s="76"/>
      <c r="P335" s="76"/>
      <c r="Q335" s="76"/>
      <c r="R335" s="76"/>
      <c r="S335" s="3"/>
      <c r="T335" s="1"/>
      <c r="U335" s="1"/>
      <c r="V335" s="1"/>
      <c r="W335" s="1"/>
      <c r="X335" s="2"/>
      <c r="Y335" s="1"/>
      <c r="Z335" s="1"/>
      <c r="AA335" s="11"/>
      <c r="AB335" s="11"/>
      <c r="AC335" s="1"/>
      <c r="AD335" s="1"/>
      <c r="AE335" s="1"/>
      <c r="AF335" s="1"/>
      <c r="AG335" s="1"/>
      <c r="AH335" s="1"/>
      <c r="AI335" s="76"/>
      <c r="AJ335" s="76"/>
      <c r="AK335" s="1"/>
      <c r="AL335" s="1"/>
      <c r="AM335" s="1"/>
      <c r="AN335" s="1"/>
      <c r="AO335" s="1"/>
      <c r="AP335" s="61"/>
      <c r="AQ335" s="61"/>
      <c r="AR335" s="76"/>
      <c r="AS335" s="76"/>
      <c r="AT335" s="69"/>
      <c r="AU335" s="77"/>
      <c r="AV335" s="61"/>
      <c r="AW335" s="70"/>
      <c r="AX335" s="70"/>
      <c r="AY335" s="71"/>
      <c r="AZ335" s="70"/>
      <c r="BA335" s="71"/>
      <c r="BB335" s="70"/>
      <c r="BC335" s="78"/>
      <c r="BD335" s="78"/>
      <c r="BE335" s="78">
        <f t="shared" si="89"/>
        <v>0</v>
      </c>
      <c r="BF335" t="str">
        <f t="shared" si="90"/>
        <v/>
      </c>
    </row>
    <row r="336" spans="1:63" ht="15.75" hidden="1" x14ac:dyDescent="0.25">
      <c r="A336" s="83"/>
      <c r="B336" s="8"/>
      <c r="C336" s="8"/>
      <c r="D336" s="8"/>
      <c r="E336" s="8"/>
      <c r="F336" s="8"/>
      <c r="G336" s="83"/>
      <c r="H336" s="99"/>
      <c r="I336" s="12"/>
      <c r="J336" s="10"/>
      <c r="K336" s="11"/>
      <c r="L336" s="17"/>
      <c r="M336" s="17"/>
      <c r="N336" s="11"/>
      <c r="O336" s="76"/>
      <c r="P336" s="79"/>
      <c r="Q336" s="79"/>
      <c r="R336" s="79"/>
      <c r="S336" s="3"/>
      <c r="T336" s="1"/>
      <c r="U336" s="143"/>
      <c r="V336" s="143"/>
      <c r="W336" s="143"/>
      <c r="X336" s="4"/>
      <c r="Y336" s="143"/>
      <c r="Z336" s="143"/>
      <c r="AA336" s="17"/>
      <c r="AB336" s="17"/>
      <c r="AC336" s="143"/>
      <c r="AD336" s="143"/>
      <c r="AE336" s="143"/>
      <c r="AF336" s="143"/>
      <c r="AG336" s="143"/>
      <c r="AH336" s="143"/>
      <c r="AI336" s="79"/>
      <c r="AJ336" s="79"/>
      <c r="AK336" s="143"/>
      <c r="AL336" s="143"/>
      <c r="AM336" s="143"/>
      <c r="AN336" s="143"/>
      <c r="AO336" s="143"/>
      <c r="AP336" s="62"/>
      <c r="AQ336" s="62"/>
      <c r="AR336" s="79"/>
      <c r="AS336" s="79"/>
      <c r="AT336" s="72"/>
      <c r="AU336" s="80"/>
      <c r="AV336" s="62"/>
      <c r="AW336" s="70"/>
      <c r="AX336" s="70"/>
      <c r="AY336" s="71"/>
      <c r="AZ336" s="70"/>
      <c r="BA336" s="71"/>
      <c r="BB336" s="70"/>
      <c r="BC336" s="78"/>
      <c r="BD336" s="78"/>
      <c r="BE336" s="78">
        <f t="shared" si="89"/>
        <v>0</v>
      </c>
      <c r="BF336" t="str">
        <f t="shared" si="90"/>
        <v/>
      </c>
      <c r="BK336" s="103"/>
    </row>
    <row r="337" spans="1:63" ht="15.75" hidden="1" x14ac:dyDescent="0.25">
      <c r="A337" s="83"/>
      <c r="B337" s="8"/>
      <c r="C337" s="8"/>
      <c r="D337" s="8"/>
      <c r="E337" s="8"/>
      <c r="F337" s="8"/>
      <c r="G337" s="83"/>
      <c r="H337" s="99"/>
      <c r="I337" s="12"/>
      <c r="J337" s="10"/>
      <c r="K337" s="11"/>
      <c r="L337" s="17"/>
      <c r="M337" s="17"/>
      <c r="N337" s="11"/>
      <c r="O337" s="76"/>
      <c r="P337" s="79"/>
      <c r="Q337" s="79"/>
      <c r="R337" s="79"/>
      <c r="S337" s="3"/>
      <c r="T337" s="1"/>
      <c r="U337" s="143"/>
      <c r="V337" s="143"/>
      <c r="W337" s="143"/>
      <c r="X337" s="4"/>
      <c r="Y337" s="143"/>
      <c r="Z337" s="143"/>
      <c r="AA337" s="17"/>
      <c r="AB337" s="17"/>
      <c r="AC337" s="143"/>
      <c r="AD337" s="143"/>
      <c r="AE337" s="143"/>
      <c r="AF337" s="143"/>
      <c r="AG337" s="143"/>
      <c r="AH337" s="143"/>
      <c r="AI337" s="79"/>
      <c r="AJ337" s="79"/>
      <c r="AK337" s="143"/>
      <c r="AL337" s="143"/>
      <c r="AM337" s="143"/>
      <c r="AN337" s="143"/>
      <c r="AO337" s="143"/>
      <c r="AP337" s="62"/>
      <c r="AQ337" s="62"/>
      <c r="AR337" s="79"/>
      <c r="AS337" s="79"/>
      <c r="AT337" s="72"/>
      <c r="AU337" s="80"/>
      <c r="AV337" s="62"/>
      <c r="AW337" s="70"/>
      <c r="AX337" s="70"/>
      <c r="AY337" s="71"/>
      <c r="AZ337" s="70"/>
      <c r="BA337" s="71"/>
      <c r="BB337" s="70"/>
      <c r="BC337" s="78"/>
      <c r="BD337" s="78"/>
      <c r="BE337" s="78">
        <f t="shared" si="89"/>
        <v>0</v>
      </c>
      <c r="BF337" t="str">
        <f t="shared" si="90"/>
        <v/>
      </c>
      <c r="BK337" s="103"/>
    </row>
    <row r="338" spans="1:63" ht="15.75" hidden="1" x14ac:dyDescent="0.25">
      <c r="A338" s="83"/>
      <c r="B338" s="8"/>
      <c r="C338" s="8"/>
      <c r="D338" s="8"/>
      <c r="E338" s="8"/>
      <c r="F338" s="8"/>
      <c r="G338" s="83"/>
      <c r="H338" s="99"/>
      <c r="I338" s="12"/>
      <c r="J338" s="10"/>
      <c r="K338" s="11"/>
      <c r="L338" s="17"/>
      <c r="M338" s="17"/>
      <c r="N338" s="11"/>
      <c r="O338" s="76"/>
      <c r="P338" s="79"/>
      <c r="Q338" s="79"/>
      <c r="R338" s="79"/>
      <c r="S338" s="3"/>
      <c r="T338" s="1"/>
      <c r="U338" s="143"/>
      <c r="V338" s="143"/>
      <c r="W338" s="143"/>
      <c r="X338" s="4"/>
      <c r="Y338" s="143"/>
      <c r="Z338" s="143"/>
      <c r="AA338" s="17"/>
      <c r="AB338" s="17"/>
      <c r="AC338" s="143"/>
      <c r="AD338" s="143"/>
      <c r="AE338" s="143"/>
      <c r="AF338" s="143"/>
      <c r="AG338" s="143"/>
      <c r="AH338" s="143"/>
      <c r="AI338" s="79"/>
      <c r="AJ338" s="79"/>
      <c r="AK338" s="143"/>
      <c r="AL338" s="143"/>
      <c r="AM338" s="143"/>
      <c r="AN338" s="143"/>
      <c r="AO338" s="143"/>
      <c r="AP338" s="62"/>
      <c r="AQ338" s="62"/>
      <c r="AR338" s="79"/>
      <c r="AS338" s="79"/>
      <c r="AT338" s="72"/>
      <c r="AU338" s="80"/>
      <c r="AV338" s="62"/>
      <c r="AW338" s="70"/>
      <c r="AX338" s="70"/>
      <c r="AY338" s="71"/>
      <c r="AZ338" s="70"/>
      <c r="BA338" s="71"/>
      <c r="BB338" s="70"/>
      <c r="BC338" s="78"/>
      <c r="BD338" s="78"/>
      <c r="BE338" s="78">
        <f t="shared" si="89"/>
        <v>0</v>
      </c>
      <c r="BF338" t="str">
        <f t="shared" si="90"/>
        <v/>
      </c>
      <c r="BK338" s="103"/>
    </row>
    <row r="339" spans="1:63" ht="15.75" hidden="1" x14ac:dyDescent="0.25">
      <c r="A339" s="83"/>
      <c r="B339" s="8"/>
      <c r="C339" s="8"/>
      <c r="D339" s="8"/>
      <c r="E339" s="8"/>
      <c r="F339" s="8"/>
      <c r="G339" s="83"/>
      <c r="H339" s="99"/>
      <c r="I339" s="12"/>
      <c r="J339" s="10"/>
      <c r="K339" s="11"/>
      <c r="L339" s="17"/>
      <c r="M339" s="17"/>
      <c r="N339" s="11"/>
      <c r="O339" s="76"/>
      <c r="P339" s="79"/>
      <c r="Q339" s="79"/>
      <c r="R339" s="79"/>
      <c r="S339" s="3"/>
      <c r="T339" s="1"/>
      <c r="U339" s="143"/>
      <c r="V339" s="143"/>
      <c r="W339" s="143"/>
      <c r="X339" s="4"/>
      <c r="Y339" s="143"/>
      <c r="Z339" s="143"/>
      <c r="AA339" s="17"/>
      <c r="AB339" s="17"/>
      <c r="AC339" s="143"/>
      <c r="AD339" s="143"/>
      <c r="AE339" s="143"/>
      <c r="AF339" s="143"/>
      <c r="AG339" s="143"/>
      <c r="AH339" s="143"/>
      <c r="AI339" s="79"/>
      <c r="AJ339" s="79"/>
      <c r="AK339" s="143"/>
      <c r="AL339" s="143"/>
      <c r="AM339" s="143"/>
      <c r="AN339" s="143"/>
      <c r="AO339" s="143"/>
      <c r="AP339" s="62"/>
      <c r="AQ339" s="62"/>
      <c r="AR339" s="79"/>
      <c r="AS339" s="79"/>
      <c r="AT339" s="72"/>
      <c r="AU339" s="80"/>
      <c r="AV339" s="62"/>
      <c r="AW339" s="70"/>
      <c r="AX339" s="70"/>
      <c r="AY339" s="71"/>
      <c r="AZ339" s="70"/>
      <c r="BA339" s="71"/>
      <c r="BB339" s="70"/>
      <c r="BC339" s="78"/>
      <c r="BD339" s="78"/>
      <c r="BE339" s="78">
        <f t="shared" si="89"/>
        <v>0</v>
      </c>
      <c r="BF339" t="str">
        <f t="shared" si="90"/>
        <v/>
      </c>
      <c r="BK339" s="103"/>
    </row>
    <row r="340" spans="1:63" ht="15.75" hidden="1" x14ac:dyDescent="0.25">
      <c r="A340" s="83"/>
      <c r="B340" s="8"/>
      <c r="C340" s="8"/>
      <c r="D340" s="8"/>
      <c r="E340" s="8"/>
      <c r="F340" s="8"/>
      <c r="G340" s="83"/>
      <c r="H340" s="99"/>
      <c r="I340" s="12"/>
      <c r="J340" s="10"/>
      <c r="K340" s="11"/>
      <c r="L340" s="17"/>
      <c r="M340" s="17"/>
      <c r="N340" s="11"/>
      <c r="O340" s="76"/>
      <c r="P340" s="79"/>
      <c r="Q340" s="79"/>
      <c r="R340" s="79"/>
      <c r="S340" s="3"/>
      <c r="T340" s="1"/>
      <c r="U340" s="143"/>
      <c r="V340" s="143"/>
      <c r="W340" s="143"/>
      <c r="X340" s="4"/>
      <c r="Y340" s="143"/>
      <c r="Z340" s="143"/>
      <c r="AA340" s="17"/>
      <c r="AB340" s="17"/>
      <c r="AC340" s="143"/>
      <c r="AD340" s="143"/>
      <c r="AE340" s="143"/>
      <c r="AF340" s="143"/>
      <c r="AG340" s="143"/>
      <c r="AH340" s="143"/>
      <c r="AI340" s="79"/>
      <c r="AJ340" s="79"/>
      <c r="AK340" s="143"/>
      <c r="AL340" s="143"/>
      <c r="AM340" s="143"/>
      <c r="AN340" s="143"/>
      <c r="AO340" s="143"/>
      <c r="AP340" s="62"/>
      <c r="AQ340" s="62"/>
      <c r="AR340" s="79"/>
      <c r="AS340" s="79"/>
      <c r="AT340" s="72"/>
      <c r="AU340" s="80"/>
      <c r="AV340" s="62"/>
      <c r="AW340" s="70"/>
      <c r="AX340" s="70"/>
      <c r="AY340" s="71"/>
      <c r="AZ340" s="70"/>
      <c r="BA340" s="71"/>
      <c r="BB340" s="70"/>
      <c r="BC340" s="78"/>
      <c r="BD340" s="78"/>
      <c r="BE340" s="78">
        <f t="shared" si="89"/>
        <v>0</v>
      </c>
      <c r="BF340" t="str">
        <f t="shared" si="90"/>
        <v/>
      </c>
      <c r="BK340" s="103"/>
    </row>
    <row r="341" spans="1:63" s="121" customFormat="1" ht="15.75" hidden="1" x14ac:dyDescent="0.25">
      <c r="A341" s="122"/>
      <c r="B341" s="123"/>
      <c r="C341" s="123"/>
      <c r="D341" s="123"/>
      <c r="E341" s="123"/>
      <c r="F341" s="123"/>
      <c r="G341" s="122"/>
      <c r="H341" s="124"/>
      <c r="I341" s="125"/>
      <c r="J341" s="10"/>
      <c r="K341" s="126"/>
      <c r="L341" s="127"/>
      <c r="M341" s="127"/>
      <c r="N341" s="126"/>
      <c r="O341" s="128"/>
      <c r="P341" s="129"/>
      <c r="Q341" s="129"/>
      <c r="R341" s="129"/>
      <c r="S341" s="130"/>
      <c r="T341" s="131"/>
      <c r="U341" s="132"/>
      <c r="V341" s="132"/>
      <c r="W341" s="132"/>
      <c r="X341" s="129"/>
      <c r="Y341" s="132"/>
      <c r="Z341" s="132"/>
      <c r="AA341" s="127"/>
      <c r="AB341" s="127"/>
      <c r="AC341" s="132"/>
      <c r="AD341" s="132"/>
      <c r="AE341" s="132"/>
      <c r="AF341" s="132"/>
      <c r="AG341" s="132"/>
      <c r="AH341" s="132"/>
      <c r="AI341" s="129"/>
      <c r="AJ341" s="129"/>
      <c r="AK341" s="132"/>
      <c r="AL341" s="132"/>
      <c r="AM341" s="132"/>
      <c r="AN341" s="132"/>
      <c r="AO341" s="132"/>
      <c r="AP341" s="132"/>
      <c r="AQ341" s="132"/>
      <c r="AR341" s="129"/>
      <c r="AS341" s="129"/>
      <c r="AT341" s="132"/>
      <c r="AU341" s="129"/>
      <c r="AV341" s="132"/>
      <c r="AW341" s="133"/>
      <c r="AX341" s="133"/>
      <c r="AY341" s="133"/>
      <c r="AZ341" s="133"/>
      <c r="BA341" s="133"/>
      <c r="BB341" s="133"/>
      <c r="BC341" s="134"/>
      <c r="BD341" s="134"/>
      <c r="BE341" s="134">
        <f t="shared" si="89"/>
        <v>0</v>
      </c>
      <c r="BF341" s="121" t="str">
        <f t="shared" si="90"/>
        <v/>
      </c>
      <c r="BK341" s="135"/>
    </row>
    <row r="342" spans="1:63" ht="15.75" hidden="1" x14ac:dyDescent="0.25">
      <c r="A342" s="83"/>
      <c r="B342" s="8"/>
      <c r="C342" s="8"/>
      <c r="D342" s="8"/>
      <c r="E342" s="8"/>
      <c r="F342" s="8"/>
      <c r="G342" s="83"/>
      <c r="H342" s="99"/>
      <c r="I342" s="12"/>
      <c r="J342" s="10"/>
      <c r="K342" s="11"/>
      <c r="L342" s="17"/>
      <c r="M342" s="17"/>
      <c r="N342" s="11"/>
      <c r="O342" s="76"/>
      <c r="P342" s="79"/>
      <c r="Q342" s="79"/>
      <c r="R342" s="79"/>
      <c r="S342" s="3"/>
      <c r="T342" s="1"/>
      <c r="U342" s="143"/>
      <c r="V342" s="143"/>
      <c r="W342" s="143"/>
      <c r="X342" s="4"/>
      <c r="Y342" s="143"/>
      <c r="Z342" s="143"/>
      <c r="AA342" s="17"/>
      <c r="AB342" s="17"/>
      <c r="AC342" s="143"/>
      <c r="AD342" s="143"/>
      <c r="AE342" s="143"/>
      <c r="AF342" s="143"/>
      <c r="AG342" s="143"/>
      <c r="AH342" s="143"/>
      <c r="AI342" s="79"/>
      <c r="AJ342" s="79"/>
      <c r="AK342" s="143"/>
      <c r="AL342" s="143"/>
      <c r="AM342" s="143"/>
      <c r="AN342" s="143"/>
      <c r="AO342" s="143"/>
      <c r="AP342" s="62"/>
      <c r="AQ342" s="62"/>
      <c r="AR342" s="79"/>
      <c r="AS342" s="79"/>
      <c r="AT342" s="72"/>
      <c r="AU342" s="80"/>
      <c r="AV342" s="62"/>
      <c r="AW342" s="70"/>
      <c r="AX342" s="70"/>
      <c r="AY342" s="71"/>
      <c r="AZ342" s="70"/>
      <c r="BA342" s="71"/>
      <c r="BB342" s="70"/>
      <c r="BC342" s="78"/>
      <c r="BD342" s="78"/>
      <c r="BE342" s="78">
        <f t="shared" si="89"/>
        <v>0</v>
      </c>
      <c r="BF342" t="str">
        <f t="shared" si="90"/>
        <v/>
      </c>
    </row>
    <row r="343" spans="1:63" ht="15.75" hidden="1" x14ac:dyDescent="0.25">
      <c r="A343" s="83"/>
      <c r="B343" s="8"/>
      <c r="C343" s="8"/>
      <c r="D343" s="8"/>
      <c r="E343" s="8"/>
      <c r="F343" s="8"/>
      <c r="G343" s="83"/>
      <c r="H343" s="99"/>
      <c r="I343" s="12"/>
      <c r="J343" s="10"/>
      <c r="K343" s="11"/>
      <c r="L343" s="17"/>
      <c r="M343" s="17"/>
      <c r="N343" s="11"/>
      <c r="O343" s="76"/>
      <c r="P343" s="79"/>
      <c r="Q343" s="79"/>
      <c r="R343" s="79"/>
      <c r="S343" s="3"/>
      <c r="T343" s="1"/>
      <c r="U343" s="143"/>
      <c r="V343" s="143"/>
      <c r="W343" s="143"/>
      <c r="X343" s="4"/>
      <c r="Y343" s="143"/>
      <c r="Z343" s="143"/>
      <c r="AA343" s="17"/>
      <c r="AB343" s="17"/>
      <c r="AC343" s="143"/>
      <c r="AD343" s="143"/>
      <c r="AE343" s="143"/>
      <c r="AF343" s="143"/>
      <c r="AG343" s="143"/>
      <c r="AH343" s="143"/>
      <c r="AI343" s="79"/>
      <c r="AJ343" s="79"/>
      <c r="AK343" s="143"/>
      <c r="AL343" s="143"/>
      <c r="AM343" s="143"/>
      <c r="AN343" s="143"/>
      <c r="AO343" s="143"/>
      <c r="AP343" s="62"/>
      <c r="AQ343" s="62"/>
      <c r="AR343" s="79"/>
      <c r="AS343" s="79"/>
      <c r="AT343" s="72"/>
      <c r="AU343" s="80"/>
      <c r="AV343" s="62"/>
      <c r="AW343" s="70"/>
      <c r="AX343" s="70"/>
      <c r="AY343" s="71"/>
      <c r="AZ343" s="70"/>
      <c r="BA343" s="71"/>
      <c r="BB343" s="70"/>
      <c r="BC343" s="78"/>
      <c r="BD343" s="78"/>
      <c r="BE343" s="78">
        <f t="shared" si="89"/>
        <v>0</v>
      </c>
      <c r="BF343" t="str">
        <f t="shared" si="90"/>
        <v/>
      </c>
    </row>
    <row r="344" spans="1:63" ht="15.75" hidden="1" x14ac:dyDescent="0.25">
      <c r="A344" s="83"/>
      <c r="B344" s="8"/>
      <c r="C344" s="8"/>
      <c r="D344" s="8"/>
      <c r="E344" s="8"/>
      <c r="F344" s="8"/>
      <c r="G344" s="83"/>
      <c r="H344" s="99"/>
      <c r="I344" s="12"/>
      <c r="J344" s="10"/>
      <c r="K344" s="11"/>
      <c r="L344" s="17"/>
      <c r="M344" s="17"/>
      <c r="N344" s="11"/>
      <c r="O344" s="76"/>
      <c r="P344" s="79"/>
      <c r="Q344" s="79"/>
      <c r="R344" s="79"/>
      <c r="S344" s="3"/>
      <c r="T344" s="1"/>
      <c r="U344" s="143"/>
      <c r="V344" s="143"/>
      <c r="W344" s="143"/>
      <c r="X344" s="4"/>
      <c r="Y344" s="143"/>
      <c r="Z344" s="143"/>
      <c r="AA344" s="17"/>
      <c r="AB344" s="17"/>
      <c r="AC344" s="143"/>
      <c r="AD344" s="143"/>
      <c r="AE344" s="143"/>
      <c r="AF344" s="143"/>
      <c r="AG344" s="143"/>
      <c r="AH344" s="143"/>
      <c r="AI344" s="79"/>
      <c r="AJ344" s="79"/>
      <c r="AK344" s="143"/>
      <c r="AL344" s="143"/>
      <c r="AM344" s="143"/>
      <c r="AN344" s="143"/>
      <c r="AO344" s="143"/>
      <c r="AP344" s="62"/>
      <c r="AQ344" s="62"/>
      <c r="AR344" s="79"/>
      <c r="AS344" s="79"/>
      <c r="AT344" s="72"/>
      <c r="AU344" s="80"/>
      <c r="AV344" s="62"/>
      <c r="AW344" s="70"/>
      <c r="AX344" s="70"/>
      <c r="AY344" s="71"/>
      <c r="AZ344" s="70"/>
      <c r="BA344" s="71"/>
      <c r="BB344" s="70"/>
      <c r="BC344" s="78"/>
      <c r="BD344" s="78"/>
      <c r="BE344" s="78">
        <f t="shared" si="89"/>
        <v>0</v>
      </c>
      <c r="BF344" t="str">
        <f t="shared" si="90"/>
        <v/>
      </c>
    </row>
    <row r="345" spans="1:63" ht="15.75" hidden="1" x14ac:dyDescent="0.25">
      <c r="A345" s="83"/>
      <c r="B345" s="8"/>
      <c r="C345" s="8"/>
      <c r="D345" s="8"/>
      <c r="E345" s="8"/>
      <c r="F345" s="8"/>
      <c r="G345" s="83"/>
      <c r="H345" s="99"/>
      <c r="I345" s="12"/>
      <c r="J345" s="10"/>
      <c r="K345" s="11"/>
      <c r="L345" s="17"/>
      <c r="M345" s="17"/>
      <c r="N345" s="11"/>
      <c r="O345" s="76"/>
      <c r="P345" s="79"/>
      <c r="Q345" s="79"/>
      <c r="R345" s="79"/>
      <c r="S345" s="3"/>
      <c r="T345" s="1"/>
      <c r="U345" s="143"/>
      <c r="V345" s="143"/>
      <c r="W345" s="143"/>
      <c r="X345" s="4"/>
      <c r="Y345" s="143"/>
      <c r="Z345" s="143"/>
      <c r="AA345" s="17"/>
      <c r="AB345" s="17"/>
      <c r="AC345" s="143"/>
      <c r="AD345" s="143"/>
      <c r="AE345" s="143"/>
      <c r="AF345" s="143"/>
      <c r="AG345" s="143"/>
      <c r="AH345" s="143"/>
      <c r="AI345" s="79"/>
      <c r="AJ345" s="79"/>
      <c r="AK345" s="143"/>
      <c r="AL345" s="143"/>
      <c r="AM345" s="143"/>
      <c r="AN345" s="143"/>
      <c r="AO345" s="143"/>
      <c r="AP345" s="62"/>
      <c r="AQ345" s="62"/>
      <c r="AR345" s="79"/>
      <c r="AS345" s="79"/>
      <c r="AT345" s="72"/>
      <c r="AU345" s="80"/>
      <c r="AV345" s="62"/>
      <c r="AW345" s="70"/>
      <c r="AX345" s="70"/>
      <c r="AY345" s="71"/>
      <c r="AZ345" s="70"/>
      <c r="BA345" s="71"/>
      <c r="BB345" s="70"/>
      <c r="BC345" s="78"/>
      <c r="BD345" s="78"/>
      <c r="BE345" s="78">
        <f t="shared" si="89"/>
        <v>0</v>
      </c>
      <c r="BF345" t="str">
        <f t="shared" si="90"/>
        <v/>
      </c>
    </row>
    <row r="346" spans="1:63" ht="15.75" hidden="1" x14ac:dyDescent="0.25">
      <c r="A346" s="83"/>
      <c r="B346" s="8"/>
      <c r="C346" s="8"/>
      <c r="D346" s="8"/>
      <c r="E346" s="8"/>
      <c r="F346" s="8"/>
      <c r="G346" s="83"/>
      <c r="H346" s="99"/>
      <c r="I346" s="12"/>
      <c r="J346" s="10"/>
      <c r="K346" s="11"/>
      <c r="L346" s="17"/>
      <c r="M346" s="17"/>
      <c r="N346" s="11"/>
      <c r="O346" s="76"/>
      <c r="P346" s="79"/>
      <c r="Q346" s="79"/>
      <c r="R346" s="79"/>
      <c r="S346" s="3"/>
      <c r="T346" s="1"/>
      <c r="U346" s="143"/>
      <c r="V346" s="143"/>
      <c r="W346" s="143"/>
      <c r="X346" s="4"/>
      <c r="Y346" s="143"/>
      <c r="Z346" s="143"/>
      <c r="AA346" s="17"/>
      <c r="AB346" s="17"/>
      <c r="AC346" s="143"/>
      <c r="AD346" s="143"/>
      <c r="AE346" s="143"/>
      <c r="AF346" s="143"/>
      <c r="AG346" s="143"/>
      <c r="AH346" s="143"/>
      <c r="AI346" s="79"/>
      <c r="AJ346" s="79"/>
      <c r="AK346" s="143"/>
      <c r="AL346" s="143"/>
      <c r="AM346" s="143"/>
      <c r="AN346" s="143"/>
      <c r="AO346" s="143"/>
      <c r="AP346" s="62"/>
      <c r="AQ346" s="62"/>
      <c r="AR346" s="79"/>
      <c r="AS346" s="79"/>
      <c r="AT346" s="72"/>
      <c r="AU346" s="80"/>
      <c r="AV346" s="62"/>
      <c r="AW346" s="70"/>
      <c r="AX346" s="70"/>
      <c r="AY346" s="71"/>
      <c r="AZ346" s="70"/>
      <c r="BA346" s="71"/>
      <c r="BB346" s="70"/>
      <c r="BC346" s="78"/>
      <c r="BD346" s="78"/>
      <c r="BE346" s="78">
        <f t="shared" si="89"/>
        <v>0</v>
      </c>
      <c r="BF346" t="str">
        <f t="shared" si="90"/>
        <v/>
      </c>
    </row>
    <row r="347" spans="1:63" ht="15.75" hidden="1" x14ac:dyDescent="0.25">
      <c r="A347" s="83"/>
      <c r="B347" s="8"/>
      <c r="C347" s="8"/>
      <c r="D347" s="8"/>
      <c r="E347" s="8"/>
      <c r="F347" s="8"/>
      <c r="G347" s="83"/>
      <c r="H347" s="99"/>
      <c r="I347" s="12"/>
      <c r="J347" s="10"/>
      <c r="K347" s="11"/>
      <c r="L347" s="17"/>
      <c r="M347" s="17"/>
      <c r="N347" s="11"/>
      <c r="O347" s="76"/>
      <c r="P347" s="79"/>
      <c r="Q347" s="79"/>
      <c r="R347" s="79"/>
      <c r="S347" s="3"/>
      <c r="T347" s="1"/>
      <c r="U347" s="143"/>
      <c r="V347" s="143"/>
      <c r="W347" s="143"/>
      <c r="X347" s="4"/>
      <c r="Y347" s="143"/>
      <c r="Z347" s="143"/>
      <c r="AA347" s="17"/>
      <c r="AB347" s="17"/>
      <c r="AC347" s="143"/>
      <c r="AD347" s="143"/>
      <c r="AE347" s="143"/>
      <c r="AF347" s="143"/>
      <c r="AG347" s="143"/>
      <c r="AH347" s="143"/>
      <c r="AI347" s="79"/>
      <c r="AJ347" s="79"/>
      <c r="AK347" s="143"/>
      <c r="AL347" s="143"/>
      <c r="AM347" s="143"/>
      <c r="AN347" s="143"/>
      <c r="AO347" s="143"/>
      <c r="AP347" s="62"/>
      <c r="AQ347" s="62"/>
      <c r="AR347" s="79"/>
      <c r="AS347" s="79"/>
      <c r="AT347" s="72"/>
      <c r="AU347" s="80"/>
      <c r="AV347" s="62"/>
      <c r="AW347" s="70"/>
      <c r="AX347" s="70"/>
      <c r="AY347" s="71"/>
      <c r="AZ347" s="70"/>
      <c r="BA347" s="71"/>
      <c r="BB347" s="70"/>
      <c r="BC347" s="78"/>
      <c r="BD347" s="78"/>
      <c r="BE347" s="78">
        <f t="shared" si="89"/>
        <v>0</v>
      </c>
      <c r="BF347" t="str">
        <f t="shared" si="90"/>
        <v/>
      </c>
    </row>
    <row r="348" spans="1:63" ht="15.75" hidden="1" x14ac:dyDescent="0.25">
      <c r="A348" s="83"/>
      <c r="B348" s="8"/>
      <c r="C348" s="8"/>
      <c r="D348" s="8"/>
      <c r="E348" s="8"/>
      <c r="F348" s="8"/>
      <c r="G348" s="83"/>
      <c r="H348" s="99"/>
      <c r="I348" s="12"/>
      <c r="J348" s="10"/>
      <c r="K348" s="11"/>
      <c r="L348" s="17"/>
      <c r="M348" s="17"/>
      <c r="N348" s="11"/>
      <c r="O348" s="76"/>
      <c r="P348" s="79"/>
      <c r="Q348" s="79"/>
      <c r="R348" s="79"/>
      <c r="S348" s="3"/>
      <c r="T348" s="1"/>
      <c r="U348" s="143"/>
      <c r="V348" s="143"/>
      <c r="W348" s="143"/>
      <c r="X348" s="4"/>
      <c r="Y348" s="143"/>
      <c r="Z348" s="143"/>
      <c r="AA348" s="17"/>
      <c r="AB348" s="17"/>
      <c r="AC348" s="143"/>
      <c r="AD348" s="143"/>
      <c r="AE348" s="143"/>
      <c r="AF348" s="143"/>
      <c r="AG348" s="143"/>
      <c r="AH348" s="143"/>
      <c r="AI348" s="79"/>
      <c r="AJ348" s="79"/>
      <c r="AK348" s="143"/>
      <c r="AL348" s="143"/>
      <c r="AM348" s="143"/>
      <c r="AN348" s="143"/>
      <c r="AO348" s="143"/>
      <c r="AP348" s="62"/>
      <c r="AQ348" s="62"/>
      <c r="AR348" s="79"/>
      <c r="AS348" s="79"/>
      <c r="AT348" s="72"/>
      <c r="AU348" s="80"/>
      <c r="AV348" s="62"/>
      <c r="AW348" s="70"/>
      <c r="AX348" s="70"/>
      <c r="AY348" s="71"/>
      <c r="AZ348" s="70"/>
      <c r="BA348" s="71"/>
      <c r="BB348" s="70"/>
      <c r="BC348" s="78"/>
      <c r="BD348" s="78"/>
      <c r="BE348" s="78">
        <f t="shared" si="89"/>
        <v>0</v>
      </c>
      <c r="BF348" t="str">
        <f t="shared" si="90"/>
        <v/>
      </c>
    </row>
    <row r="349" spans="1:63" ht="15.75" hidden="1" x14ac:dyDescent="0.25">
      <c r="A349" s="83"/>
      <c r="B349" s="8"/>
      <c r="C349" s="8"/>
      <c r="D349" s="8"/>
      <c r="E349" s="8"/>
      <c r="F349" s="8"/>
      <c r="G349" s="83"/>
      <c r="H349" s="99"/>
      <c r="I349" s="12"/>
      <c r="J349" s="10"/>
      <c r="K349" s="11"/>
      <c r="L349" s="17"/>
      <c r="M349" s="17"/>
      <c r="N349" s="11"/>
      <c r="O349" s="76"/>
      <c r="P349" s="79"/>
      <c r="Q349" s="79"/>
      <c r="R349" s="79"/>
      <c r="S349" s="3"/>
      <c r="T349" s="1"/>
      <c r="U349" s="143"/>
      <c r="V349" s="143"/>
      <c r="W349" s="143"/>
      <c r="X349" s="4"/>
      <c r="Y349" s="143"/>
      <c r="Z349" s="143"/>
      <c r="AA349" s="17"/>
      <c r="AB349" s="17"/>
      <c r="AC349" s="143"/>
      <c r="AD349" s="143"/>
      <c r="AE349" s="143"/>
      <c r="AF349" s="143"/>
      <c r="AG349" s="143"/>
      <c r="AH349" s="143"/>
      <c r="AI349" s="79"/>
      <c r="AJ349" s="79"/>
      <c r="AK349" s="143"/>
      <c r="AL349" s="143"/>
      <c r="AM349" s="143"/>
      <c r="AN349" s="143"/>
      <c r="AO349" s="143"/>
      <c r="AP349" s="62"/>
      <c r="AQ349" s="62"/>
      <c r="AR349" s="79"/>
      <c r="AS349" s="79"/>
      <c r="AT349" s="72"/>
      <c r="AU349" s="80"/>
      <c r="AV349" s="62"/>
      <c r="AW349" s="70"/>
      <c r="AX349" s="70"/>
      <c r="AY349" s="71"/>
      <c r="AZ349" s="70"/>
      <c r="BA349" s="71"/>
      <c r="BB349" s="70"/>
      <c r="BC349" s="78"/>
      <c r="BD349" s="78"/>
      <c r="BE349" s="78">
        <f t="shared" si="89"/>
        <v>0</v>
      </c>
      <c r="BF349" t="str">
        <f t="shared" si="90"/>
        <v/>
      </c>
    </row>
    <row r="350" spans="1:63" ht="15.75" hidden="1" x14ac:dyDescent="0.25">
      <c r="A350" s="83"/>
      <c r="B350" s="8"/>
      <c r="C350" s="8"/>
      <c r="D350" s="8"/>
      <c r="E350" s="8"/>
      <c r="F350" s="8"/>
      <c r="G350" s="83"/>
      <c r="H350" s="99"/>
      <c r="I350" s="12"/>
      <c r="J350" s="10"/>
      <c r="K350" s="11"/>
      <c r="L350" s="17"/>
      <c r="M350" s="17"/>
      <c r="N350" s="11"/>
      <c r="O350" s="76"/>
      <c r="P350" s="79"/>
      <c r="Q350" s="79"/>
      <c r="R350" s="79"/>
      <c r="S350" s="3"/>
      <c r="T350" s="1"/>
      <c r="U350" s="143"/>
      <c r="V350" s="143"/>
      <c r="W350" s="143"/>
      <c r="X350" s="4"/>
      <c r="Y350" s="143"/>
      <c r="Z350" s="143"/>
      <c r="AA350" s="17"/>
      <c r="AB350" s="17"/>
      <c r="AC350" s="143"/>
      <c r="AD350" s="143"/>
      <c r="AE350" s="143"/>
      <c r="AF350" s="143"/>
      <c r="AG350" s="143"/>
      <c r="AH350" s="143"/>
      <c r="AI350" s="79"/>
      <c r="AJ350" s="79"/>
      <c r="AK350" s="143"/>
      <c r="AL350" s="143"/>
      <c r="AM350" s="143"/>
      <c r="AN350" s="143"/>
      <c r="AO350" s="143"/>
      <c r="AP350" s="62"/>
      <c r="AQ350" s="62"/>
      <c r="AR350" s="79"/>
      <c r="AS350" s="79"/>
      <c r="AT350" s="72"/>
      <c r="AU350" s="80"/>
      <c r="AV350" s="62"/>
      <c r="AW350" s="70"/>
      <c r="AX350" s="70"/>
      <c r="AY350" s="71"/>
      <c r="AZ350" s="70"/>
      <c r="BA350" s="71"/>
      <c r="BB350" s="70"/>
      <c r="BC350" s="78"/>
      <c r="BD350" s="78"/>
      <c r="BE350" s="78">
        <f t="shared" si="89"/>
        <v>0</v>
      </c>
      <c r="BF350" t="str">
        <f t="shared" si="90"/>
        <v/>
      </c>
    </row>
    <row r="351" spans="1:63" ht="15.75" hidden="1" x14ac:dyDescent="0.25">
      <c r="A351" s="83"/>
      <c r="B351" s="8"/>
      <c r="C351" s="8"/>
      <c r="D351" s="8"/>
      <c r="E351" s="8"/>
      <c r="F351" s="8"/>
      <c r="G351" s="83"/>
      <c r="H351" s="99"/>
      <c r="I351" s="12"/>
      <c r="J351" s="10"/>
      <c r="K351" s="11"/>
      <c r="L351" s="17"/>
      <c r="M351" s="17"/>
      <c r="N351" s="11"/>
      <c r="O351" s="76"/>
      <c r="P351" s="79"/>
      <c r="Q351" s="79"/>
      <c r="R351" s="79"/>
      <c r="S351" s="3"/>
      <c r="T351" s="1"/>
      <c r="U351" s="143"/>
      <c r="V351" s="143"/>
      <c r="W351" s="143"/>
      <c r="X351" s="4"/>
      <c r="Y351" s="143"/>
      <c r="Z351" s="143"/>
      <c r="AA351" s="17"/>
      <c r="AB351" s="17"/>
      <c r="AC351" s="143"/>
      <c r="AD351" s="143"/>
      <c r="AE351" s="143"/>
      <c r="AF351" s="143"/>
      <c r="AG351" s="143"/>
      <c r="AH351" s="143"/>
      <c r="AI351" s="79"/>
      <c r="AJ351" s="79"/>
      <c r="AK351" s="143"/>
      <c r="AL351" s="143"/>
      <c r="AM351" s="143"/>
      <c r="AN351" s="143"/>
      <c r="AO351" s="143"/>
      <c r="AP351" s="62"/>
      <c r="AQ351" s="62"/>
      <c r="AR351" s="79"/>
      <c r="AS351" s="79"/>
      <c r="AT351" s="72"/>
      <c r="AU351" s="80"/>
      <c r="AV351" s="62"/>
      <c r="AW351" s="70"/>
      <c r="AX351" s="70"/>
      <c r="AY351" s="71"/>
      <c r="AZ351" s="70"/>
      <c r="BA351" s="71"/>
      <c r="BB351" s="70"/>
      <c r="BC351" s="78"/>
      <c r="BD351" s="78"/>
      <c r="BE351" s="78">
        <f t="shared" si="89"/>
        <v>0</v>
      </c>
      <c r="BF351" t="str">
        <f t="shared" si="90"/>
        <v/>
      </c>
    </row>
    <row r="352" spans="1:63" ht="15.75" hidden="1" x14ac:dyDescent="0.25">
      <c r="A352" s="83"/>
      <c r="B352" s="8"/>
      <c r="C352" s="8"/>
      <c r="D352" s="8"/>
      <c r="E352" s="8"/>
      <c r="F352" s="8"/>
      <c r="G352" s="83"/>
      <c r="H352" s="99"/>
      <c r="I352" s="12"/>
      <c r="J352" s="10"/>
      <c r="K352" s="11"/>
      <c r="L352" s="17"/>
      <c r="M352" s="17"/>
      <c r="N352" s="11"/>
      <c r="O352" s="76"/>
      <c r="P352" s="79"/>
      <c r="Q352" s="79"/>
      <c r="R352" s="79"/>
      <c r="S352" s="3"/>
      <c r="T352" s="1"/>
      <c r="U352" s="143"/>
      <c r="V352" s="143"/>
      <c r="W352" s="143"/>
      <c r="X352" s="4"/>
      <c r="Y352" s="143"/>
      <c r="Z352" s="143"/>
      <c r="AA352" s="17"/>
      <c r="AB352" s="17"/>
      <c r="AC352" s="143"/>
      <c r="AD352" s="143"/>
      <c r="AE352" s="143"/>
      <c r="AF352" s="143"/>
      <c r="AG352" s="143"/>
      <c r="AH352" s="143"/>
      <c r="AI352" s="79"/>
      <c r="AJ352" s="79"/>
      <c r="AK352" s="143"/>
      <c r="AL352" s="143"/>
      <c r="AM352" s="143"/>
      <c r="AN352" s="143"/>
      <c r="AO352" s="143"/>
      <c r="AP352" s="62"/>
      <c r="AQ352" s="62"/>
      <c r="AR352" s="79"/>
      <c r="AS352" s="79"/>
      <c r="AT352" s="72"/>
      <c r="AU352" s="80"/>
      <c r="AV352" s="62"/>
      <c r="AW352" s="70"/>
      <c r="AX352" s="70"/>
      <c r="AY352" s="71"/>
      <c r="AZ352" s="70"/>
      <c r="BA352" s="71"/>
      <c r="BB352" s="70"/>
      <c r="BC352" s="78"/>
      <c r="BD352" s="78"/>
      <c r="BE352" s="78">
        <f t="shared" si="89"/>
        <v>0</v>
      </c>
      <c r="BF352" t="str">
        <f t="shared" si="90"/>
        <v/>
      </c>
    </row>
    <row r="353" spans="1:65" ht="15.75" hidden="1" x14ac:dyDescent="0.25">
      <c r="A353" s="83"/>
      <c r="B353" s="8"/>
      <c r="C353" s="8"/>
      <c r="D353" s="8"/>
      <c r="E353" s="8"/>
      <c r="F353" s="8"/>
      <c r="G353" s="83"/>
      <c r="H353" s="99"/>
      <c r="I353" s="12"/>
      <c r="J353" s="10"/>
      <c r="K353" s="11"/>
      <c r="L353" s="17"/>
      <c r="M353" s="17"/>
      <c r="N353" s="11"/>
      <c r="O353" s="76"/>
      <c r="P353" s="79"/>
      <c r="Q353" s="79"/>
      <c r="R353" s="79"/>
      <c r="S353" s="3"/>
      <c r="T353" s="1"/>
      <c r="U353" s="143"/>
      <c r="V353" s="143"/>
      <c r="W353" s="143"/>
      <c r="X353" s="4"/>
      <c r="Y353" s="143"/>
      <c r="Z353" s="143"/>
      <c r="AA353" s="17"/>
      <c r="AB353" s="17"/>
      <c r="AC353" s="143"/>
      <c r="AD353" s="143"/>
      <c r="AE353" s="143"/>
      <c r="AF353" s="143"/>
      <c r="AG353" s="143"/>
      <c r="AH353" s="143"/>
      <c r="AI353" s="79"/>
      <c r="AJ353" s="79"/>
      <c r="AK353" s="143"/>
      <c r="AL353" s="143"/>
      <c r="AM353" s="143"/>
      <c r="AN353" s="143"/>
      <c r="AO353" s="143"/>
      <c r="AP353" s="62"/>
      <c r="AQ353" s="62"/>
      <c r="AR353" s="79"/>
      <c r="AS353" s="79"/>
      <c r="AT353" s="72"/>
      <c r="AU353" s="80"/>
      <c r="AV353" s="62"/>
      <c r="AW353" s="70"/>
      <c r="AX353" s="70"/>
      <c r="AY353" s="71"/>
      <c r="AZ353" s="70"/>
      <c r="BA353" s="71"/>
      <c r="BB353" s="70"/>
      <c r="BC353" s="78"/>
      <c r="BD353" s="78"/>
      <c r="BE353" s="78">
        <f t="shared" si="89"/>
        <v>0</v>
      </c>
      <c r="BF353" t="str">
        <f t="shared" si="90"/>
        <v/>
      </c>
    </row>
    <row r="354" spans="1:65" ht="15.75" hidden="1" x14ac:dyDescent="0.25">
      <c r="A354" s="83"/>
      <c r="B354" s="8"/>
      <c r="C354" s="8"/>
      <c r="D354" s="8"/>
      <c r="E354" s="8"/>
      <c r="F354" s="8"/>
      <c r="G354" s="83"/>
      <c r="H354" s="99"/>
      <c r="I354" s="12"/>
      <c r="J354" s="10"/>
      <c r="K354" s="11"/>
      <c r="L354" s="17"/>
      <c r="M354" s="17"/>
      <c r="N354" s="11"/>
      <c r="O354" s="76"/>
      <c r="P354" s="79"/>
      <c r="Q354" s="79"/>
      <c r="R354" s="79"/>
      <c r="S354" s="3"/>
      <c r="T354" s="1"/>
      <c r="U354" s="143"/>
      <c r="V354" s="143"/>
      <c r="W354" s="143"/>
      <c r="X354" s="4"/>
      <c r="Y354" s="143"/>
      <c r="Z354" s="143"/>
      <c r="AA354" s="17"/>
      <c r="AB354" s="17"/>
      <c r="AC354" s="143"/>
      <c r="AD354" s="143"/>
      <c r="AE354" s="143"/>
      <c r="AF354" s="143"/>
      <c r="AG354" s="143"/>
      <c r="AH354" s="143"/>
      <c r="AI354" s="79"/>
      <c r="AJ354" s="79"/>
      <c r="AK354" s="143"/>
      <c r="AL354" s="143"/>
      <c r="AM354" s="143"/>
      <c r="AN354" s="143"/>
      <c r="AO354" s="143"/>
      <c r="AP354" s="62"/>
      <c r="AQ354" s="62"/>
      <c r="AR354" s="79"/>
      <c r="AS354" s="79"/>
      <c r="AT354" s="72"/>
      <c r="AU354" s="80"/>
      <c r="AV354" s="62"/>
      <c r="AW354" s="70"/>
      <c r="AX354" s="70"/>
      <c r="AY354" s="71"/>
      <c r="AZ354" s="70"/>
      <c r="BA354" s="71"/>
      <c r="BB354" s="70"/>
      <c r="BC354" s="78"/>
      <c r="BD354" s="78"/>
      <c r="BE354" s="78">
        <f t="shared" si="89"/>
        <v>0</v>
      </c>
      <c r="BF354" t="str">
        <f t="shared" si="90"/>
        <v/>
      </c>
    </row>
    <row r="355" spans="1:65" ht="15.75" hidden="1" x14ac:dyDescent="0.25">
      <c r="A355" s="83"/>
      <c r="B355" s="8"/>
      <c r="C355" s="8"/>
      <c r="D355" s="8"/>
      <c r="E355" s="8"/>
      <c r="F355" s="8"/>
      <c r="G355" s="83"/>
      <c r="H355" s="99"/>
      <c r="I355" s="12"/>
      <c r="J355" s="10"/>
      <c r="K355" s="11"/>
      <c r="L355" s="17"/>
      <c r="M355" s="17"/>
      <c r="N355" s="11"/>
      <c r="O355" s="76"/>
      <c r="P355" s="79"/>
      <c r="Q355" s="79"/>
      <c r="R355" s="79"/>
      <c r="S355" s="3"/>
      <c r="T355" s="1"/>
      <c r="U355" s="143"/>
      <c r="V355" s="143"/>
      <c r="W355" s="143"/>
      <c r="X355" s="4"/>
      <c r="Y355" s="143"/>
      <c r="Z355" s="143"/>
      <c r="AA355" s="17"/>
      <c r="AB355" s="17"/>
      <c r="AC355" s="143"/>
      <c r="AD355" s="143"/>
      <c r="AE355" s="143"/>
      <c r="AF355" s="143"/>
      <c r="AG355" s="143"/>
      <c r="AH355" s="143"/>
      <c r="AI355" s="79"/>
      <c r="AJ355" s="79"/>
      <c r="AK355" s="143"/>
      <c r="AL355" s="143"/>
      <c r="AM355" s="143"/>
      <c r="AN355" s="143"/>
      <c r="AO355" s="143"/>
      <c r="AP355" s="62"/>
      <c r="AQ355" s="62"/>
      <c r="AR355" s="79"/>
      <c r="AS355" s="79"/>
      <c r="AT355" s="72"/>
      <c r="AU355" s="80"/>
      <c r="AV355" s="62"/>
      <c r="AW355" s="70"/>
      <c r="AX355" s="70"/>
      <c r="AY355" s="71"/>
      <c r="AZ355" s="70"/>
      <c r="BA355" s="71"/>
      <c r="BB355" s="70"/>
      <c r="BC355" s="78"/>
      <c r="BD355" s="78"/>
      <c r="BE355" s="78">
        <f t="shared" si="89"/>
        <v>0</v>
      </c>
      <c r="BF355" t="str">
        <f t="shared" si="90"/>
        <v/>
      </c>
    </row>
    <row r="356" spans="1:65" ht="15.75" hidden="1" x14ac:dyDescent="0.25">
      <c r="A356" s="83"/>
      <c r="B356" s="8"/>
      <c r="C356" s="8"/>
      <c r="D356" s="8"/>
      <c r="E356" s="8"/>
      <c r="F356" s="8"/>
      <c r="G356" s="83"/>
      <c r="H356" s="99"/>
      <c r="I356" s="12"/>
      <c r="J356" s="10"/>
      <c r="K356" s="11"/>
      <c r="L356" s="17"/>
      <c r="M356" s="17"/>
      <c r="N356" s="11"/>
      <c r="O356" s="76"/>
      <c r="P356" s="79"/>
      <c r="Q356" s="79"/>
      <c r="R356" s="79"/>
      <c r="S356" s="3"/>
      <c r="T356" s="1"/>
      <c r="U356" s="143"/>
      <c r="V356" s="143"/>
      <c r="W356" s="143"/>
      <c r="X356" s="4"/>
      <c r="Y356" s="143"/>
      <c r="Z356" s="143"/>
      <c r="AA356" s="17"/>
      <c r="AB356" s="17"/>
      <c r="AC356" s="143"/>
      <c r="AD356" s="143"/>
      <c r="AE356" s="143"/>
      <c r="AF356" s="143"/>
      <c r="AG356" s="143"/>
      <c r="AH356" s="143"/>
      <c r="AI356" s="79"/>
      <c r="AJ356" s="79"/>
      <c r="AK356" s="143"/>
      <c r="AL356" s="143"/>
      <c r="AM356" s="143"/>
      <c r="AN356" s="143"/>
      <c r="AO356" s="143"/>
      <c r="AP356" s="62"/>
      <c r="AQ356" s="62"/>
      <c r="AR356" s="79"/>
      <c r="AS356" s="79"/>
      <c r="AT356" s="72"/>
      <c r="AU356" s="80"/>
      <c r="AV356" s="62"/>
      <c r="AW356" s="70"/>
      <c r="AX356" s="70"/>
      <c r="AY356" s="71"/>
      <c r="AZ356" s="70"/>
      <c r="BA356" s="71"/>
      <c r="BB356" s="70"/>
      <c r="BC356" s="78"/>
      <c r="BD356" s="78"/>
      <c r="BE356" s="78">
        <f t="shared" si="89"/>
        <v>0</v>
      </c>
      <c r="BF356" t="str">
        <f t="shared" si="90"/>
        <v/>
      </c>
    </row>
    <row r="357" spans="1:65" ht="15.75" hidden="1" x14ac:dyDescent="0.25">
      <c r="A357" s="83"/>
      <c r="B357" s="8"/>
      <c r="C357" s="8"/>
      <c r="D357" s="8"/>
      <c r="E357" s="8"/>
      <c r="F357" s="8"/>
      <c r="G357" s="83"/>
      <c r="H357" s="99"/>
      <c r="I357" s="12"/>
      <c r="J357" s="10"/>
      <c r="K357" s="11"/>
      <c r="L357" s="17"/>
      <c r="M357" s="17"/>
      <c r="N357" s="11"/>
      <c r="O357" s="76"/>
      <c r="P357" s="79"/>
      <c r="Q357" s="79"/>
      <c r="R357" s="79"/>
      <c r="S357" s="3"/>
      <c r="T357" s="1"/>
      <c r="U357" s="143"/>
      <c r="V357" s="143"/>
      <c r="W357" s="143"/>
      <c r="X357" s="4"/>
      <c r="Y357" s="143"/>
      <c r="Z357" s="143"/>
      <c r="AA357" s="17"/>
      <c r="AB357" s="17"/>
      <c r="AC357" s="143"/>
      <c r="AD357" s="143"/>
      <c r="AE357" s="143"/>
      <c r="AF357" s="143"/>
      <c r="AG357" s="143"/>
      <c r="AH357" s="143"/>
      <c r="AI357" s="79"/>
      <c r="AJ357" s="79"/>
      <c r="AK357" s="143"/>
      <c r="AL357" s="143"/>
      <c r="AM357" s="143"/>
      <c r="AN357" s="143"/>
      <c r="AO357" s="143"/>
      <c r="AP357" s="62"/>
      <c r="AQ357" s="62"/>
      <c r="AR357" s="79"/>
      <c r="AS357" s="79"/>
      <c r="AT357" s="72"/>
      <c r="AU357" s="80"/>
      <c r="AV357" s="62"/>
      <c r="AW357" s="70"/>
      <c r="AX357" s="70"/>
      <c r="AY357" s="71"/>
      <c r="AZ357" s="70"/>
      <c r="BA357" s="71"/>
      <c r="BB357" s="70"/>
      <c r="BC357" s="78"/>
      <c r="BD357" s="78"/>
      <c r="BE357" s="78">
        <f t="shared" si="89"/>
        <v>0</v>
      </c>
      <c r="BF357" t="str">
        <f t="shared" si="90"/>
        <v/>
      </c>
    </row>
    <row r="358" spans="1:65" ht="15.75" hidden="1" x14ac:dyDescent="0.25">
      <c r="A358" s="83"/>
      <c r="B358" s="8"/>
      <c r="C358" s="8"/>
      <c r="D358" s="8"/>
      <c r="E358" s="8"/>
      <c r="F358" s="8"/>
      <c r="G358" s="83"/>
      <c r="H358" s="99"/>
      <c r="I358" s="12"/>
      <c r="J358" s="10"/>
      <c r="K358" s="11"/>
      <c r="L358" s="17"/>
      <c r="M358" s="17"/>
      <c r="N358" s="11"/>
      <c r="O358" s="76"/>
      <c r="P358" s="79"/>
      <c r="Q358" s="79"/>
      <c r="R358" s="79"/>
      <c r="S358" s="3"/>
      <c r="T358" s="1"/>
      <c r="U358" s="143"/>
      <c r="V358" s="143"/>
      <c r="W358" s="143"/>
      <c r="X358" s="4"/>
      <c r="Y358" s="143"/>
      <c r="Z358" s="143"/>
      <c r="AA358" s="17"/>
      <c r="AB358" s="17"/>
      <c r="AC358" s="143"/>
      <c r="AD358" s="143"/>
      <c r="AE358" s="143"/>
      <c r="AF358" s="143"/>
      <c r="AG358" s="143"/>
      <c r="AH358" s="143"/>
      <c r="AI358" s="79"/>
      <c r="AJ358" s="79"/>
      <c r="AK358" s="143"/>
      <c r="AL358" s="143"/>
      <c r="AM358" s="143"/>
      <c r="AN358" s="143"/>
      <c r="AO358" s="143"/>
      <c r="AP358" s="62"/>
      <c r="AQ358" s="62"/>
      <c r="AR358" s="79"/>
      <c r="AS358" s="79"/>
      <c r="AT358" s="72"/>
      <c r="AU358" s="80"/>
      <c r="AV358" s="62"/>
      <c r="AW358" s="70"/>
      <c r="AX358" s="70"/>
      <c r="AY358" s="71"/>
      <c r="AZ358" s="70"/>
      <c r="BA358" s="71"/>
      <c r="BB358" s="70"/>
      <c r="BC358" s="78"/>
      <c r="BD358" s="78"/>
      <c r="BE358" s="78">
        <f t="shared" si="89"/>
        <v>0</v>
      </c>
      <c r="BF358" t="str">
        <f t="shared" si="90"/>
        <v/>
      </c>
    </row>
    <row r="359" spans="1:65" ht="15.75" hidden="1" x14ac:dyDescent="0.25">
      <c r="A359" s="83"/>
      <c r="B359" s="8"/>
      <c r="C359" s="8"/>
      <c r="D359" s="8"/>
      <c r="E359" s="8"/>
      <c r="F359" s="8"/>
      <c r="G359" s="83"/>
      <c r="H359" s="99"/>
      <c r="I359" s="12"/>
      <c r="J359" s="10"/>
      <c r="K359" s="11"/>
      <c r="L359" s="17"/>
      <c r="M359" s="17"/>
      <c r="N359" s="11"/>
      <c r="O359" s="76"/>
      <c r="P359" s="79"/>
      <c r="Q359" s="79"/>
      <c r="R359" s="79"/>
      <c r="S359" s="3"/>
      <c r="T359" s="1"/>
      <c r="U359" s="143"/>
      <c r="V359" s="143"/>
      <c r="W359" s="143"/>
      <c r="X359" s="4"/>
      <c r="Y359" s="143"/>
      <c r="Z359" s="143"/>
      <c r="AA359" s="17"/>
      <c r="AB359" s="17"/>
      <c r="AC359" s="143"/>
      <c r="AD359" s="143"/>
      <c r="AE359" s="143"/>
      <c r="AF359" s="143"/>
      <c r="AG359" s="143"/>
      <c r="AH359" s="143"/>
      <c r="AI359" s="79"/>
      <c r="AJ359" s="79"/>
      <c r="AK359" s="143"/>
      <c r="AL359" s="143"/>
      <c r="AM359" s="143"/>
      <c r="AN359" s="143"/>
      <c r="AO359" s="143"/>
      <c r="AP359" s="62"/>
      <c r="AQ359" s="62"/>
      <c r="AR359" s="79"/>
      <c r="AS359" s="79"/>
      <c r="AT359" s="72"/>
      <c r="AU359" s="80"/>
      <c r="AV359" s="62"/>
      <c r="AW359" s="70"/>
      <c r="AX359" s="70"/>
      <c r="AY359" s="71"/>
      <c r="AZ359" s="70"/>
      <c r="BA359" s="71"/>
      <c r="BB359" s="70"/>
      <c r="BC359" s="78"/>
      <c r="BD359" s="78"/>
      <c r="BE359" s="78">
        <f t="shared" si="89"/>
        <v>0</v>
      </c>
      <c r="BF359" t="str">
        <f t="shared" si="90"/>
        <v/>
      </c>
    </row>
    <row r="360" spans="1:65" ht="15.75" hidden="1" x14ac:dyDescent="0.25">
      <c r="A360" s="83"/>
      <c r="B360" s="8"/>
      <c r="C360" s="8"/>
      <c r="D360" s="8"/>
      <c r="E360" s="8"/>
      <c r="F360" s="8"/>
      <c r="G360" s="83"/>
      <c r="H360" s="99"/>
      <c r="I360" s="12"/>
      <c r="J360" s="10"/>
      <c r="K360" s="11"/>
      <c r="L360" s="17"/>
      <c r="M360" s="17"/>
      <c r="N360" s="11"/>
      <c r="O360" s="76"/>
      <c r="P360" s="79"/>
      <c r="Q360" s="79"/>
      <c r="R360" s="79"/>
      <c r="S360" s="3"/>
      <c r="T360" s="1"/>
      <c r="U360" s="143"/>
      <c r="V360" s="143"/>
      <c r="W360" s="143"/>
      <c r="X360" s="4"/>
      <c r="Y360" s="143"/>
      <c r="Z360" s="143"/>
      <c r="AA360" s="17"/>
      <c r="AB360" s="17"/>
      <c r="AC360" s="143"/>
      <c r="AD360" s="143"/>
      <c r="AE360" s="143"/>
      <c r="AF360" s="143"/>
      <c r="AG360" s="143"/>
      <c r="AH360" s="143"/>
      <c r="AI360" s="79"/>
      <c r="AJ360" s="79"/>
      <c r="AK360" s="143"/>
      <c r="AL360" s="143"/>
      <c r="AM360" s="143"/>
      <c r="AN360" s="143"/>
      <c r="AO360" s="143"/>
      <c r="AP360" s="62"/>
      <c r="AQ360" s="62"/>
      <c r="AR360" s="79"/>
      <c r="AS360" s="79"/>
      <c r="AT360" s="72"/>
      <c r="AU360" s="80"/>
      <c r="AV360" s="62"/>
      <c r="AW360" s="70"/>
      <c r="AX360" s="70"/>
      <c r="AY360" s="71"/>
      <c r="AZ360" s="70"/>
      <c r="BA360" s="71"/>
      <c r="BB360" s="70"/>
      <c r="BC360" s="78"/>
      <c r="BD360" s="78"/>
      <c r="BE360" s="78">
        <f t="shared" si="89"/>
        <v>0</v>
      </c>
      <c r="BF360" t="str">
        <f t="shared" si="90"/>
        <v/>
      </c>
    </row>
    <row r="361" spans="1:65" ht="15.75" hidden="1" x14ac:dyDescent="0.25">
      <c r="A361" s="83"/>
      <c r="B361" s="8"/>
      <c r="C361" s="8"/>
      <c r="D361" s="8"/>
      <c r="E361" s="8"/>
      <c r="F361" s="8"/>
      <c r="G361" s="83"/>
      <c r="H361" s="99"/>
      <c r="I361" s="12"/>
      <c r="J361" s="10"/>
      <c r="K361" s="11"/>
      <c r="L361" s="17"/>
      <c r="M361" s="17"/>
      <c r="N361" s="11"/>
      <c r="O361" s="76"/>
      <c r="P361" s="79"/>
      <c r="Q361" s="79"/>
      <c r="R361" s="79"/>
      <c r="S361" s="3"/>
      <c r="T361" s="1"/>
      <c r="U361" s="143"/>
      <c r="V361" s="143"/>
      <c r="W361" s="143"/>
      <c r="X361" s="4"/>
      <c r="Y361" s="143"/>
      <c r="Z361" s="143"/>
      <c r="AA361" s="17"/>
      <c r="AB361" s="17"/>
      <c r="AC361" s="143"/>
      <c r="AD361" s="143"/>
      <c r="AE361" s="143"/>
      <c r="AF361" s="143"/>
      <c r="AG361" s="143"/>
      <c r="AH361" s="143"/>
      <c r="AI361" s="79"/>
      <c r="AJ361" s="79"/>
      <c r="AK361" s="143"/>
      <c r="AL361" s="143"/>
      <c r="AM361" s="143"/>
      <c r="AN361" s="143"/>
      <c r="AO361" s="143"/>
      <c r="AP361" s="62"/>
      <c r="AQ361" s="62"/>
      <c r="AR361" s="79"/>
      <c r="AS361" s="79"/>
      <c r="AT361" s="72"/>
      <c r="AU361" s="80"/>
      <c r="AV361" s="62"/>
      <c r="AW361" s="70"/>
      <c r="AX361" s="70"/>
      <c r="AY361" s="71"/>
      <c r="AZ361" s="70"/>
      <c r="BA361" s="71"/>
      <c r="BB361" s="70"/>
      <c r="BC361" s="78"/>
      <c r="BD361" s="78"/>
      <c r="BE361" s="78">
        <f t="shared" si="89"/>
        <v>0</v>
      </c>
      <c r="BF361" t="str">
        <f t="shared" si="90"/>
        <v/>
      </c>
    </row>
    <row r="362" spans="1:65" ht="15.75" hidden="1" x14ac:dyDescent="0.25">
      <c r="A362" s="83"/>
      <c r="B362" s="8"/>
      <c r="C362" s="8"/>
      <c r="D362" s="8"/>
      <c r="E362" s="8"/>
      <c r="F362" s="8"/>
      <c r="G362" s="83"/>
      <c r="H362" s="99"/>
      <c r="I362" s="12"/>
      <c r="J362" s="10"/>
      <c r="K362" s="11"/>
      <c r="L362" s="17"/>
      <c r="M362" s="17"/>
      <c r="N362" s="11"/>
      <c r="O362" s="76"/>
      <c r="P362" s="79"/>
      <c r="Q362" s="79"/>
      <c r="R362" s="79"/>
      <c r="S362" s="3"/>
      <c r="T362" s="1"/>
      <c r="U362" s="143"/>
      <c r="V362" s="62"/>
      <c r="W362" s="62"/>
      <c r="X362" s="79"/>
      <c r="Y362" s="79"/>
      <c r="Z362" s="72"/>
      <c r="AA362" s="80"/>
      <c r="AB362" s="62"/>
      <c r="AC362" s="70"/>
      <c r="AD362" s="16"/>
      <c r="AE362" s="17"/>
      <c r="AF362" s="17"/>
      <c r="AG362" s="17"/>
      <c r="AH362" s="11"/>
      <c r="AI362" s="79"/>
      <c r="AJ362" s="79"/>
      <c r="AK362" s="5"/>
      <c r="AL362" s="143"/>
      <c r="AM362" s="143"/>
      <c r="AN362" s="62"/>
      <c r="AO362" s="62"/>
      <c r="AP362" s="79"/>
      <c r="AQ362" s="79"/>
      <c r="AR362" s="72"/>
      <c r="AS362" s="80"/>
      <c r="AT362" s="62"/>
      <c r="AU362" s="70"/>
      <c r="AV362" s="16"/>
      <c r="AW362" s="17"/>
      <c r="AX362" s="17"/>
      <c r="AY362" s="17"/>
      <c r="AZ362" s="11"/>
      <c r="BA362" s="79"/>
      <c r="BB362" s="79"/>
      <c r="BC362" s="5"/>
      <c r="BD362" s="143"/>
      <c r="BE362" s="143">
        <f t="shared" ref="BE362:BE363" si="91">MAX($BC362-$BD362,0)</f>
        <v>0</v>
      </c>
      <c r="BF362" s="62" t="str">
        <f t="shared" ref="BF362:BF363" si="92">IF($AX362=0,"",IF($AX362=1,$AW362,"MULTIRUA / VER MAPA"))</f>
        <v/>
      </c>
      <c r="BG362" s="62"/>
      <c r="BH362" s="79"/>
      <c r="BI362" s="79"/>
      <c r="BJ362" s="72"/>
      <c r="BK362" s="80"/>
      <c r="BL362" s="62"/>
      <c r="BM362" s="70"/>
    </row>
    <row r="363" spans="1:65" ht="15.75" hidden="1" x14ac:dyDescent="0.25">
      <c r="A363" s="83"/>
      <c r="B363" s="8"/>
      <c r="C363" s="8"/>
      <c r="D363" s="8"/>
      <c r="E363" s="8"/>
      <c r="F363" s="8"/>
      <c r="G363" s="83"/>
      <c r="H363" s="99"/>
      <c r="I363" s="12"/>
      <c r="J363" s="10"/>
      <c r="K363" s="11"/>
      <c r="L363" s="17"/>
      <c r="M363" s="17"/>
      <c r="N363" s="11"/>
      <c r="O363" s="76"/>
      <c r="P363" s="79"/>
      <c r="Q363" s="79"/>
      <c r="R363" s="79"/>
      <c r="S363" s="3"/>
      <c r="T363" s="1"/>
      <c r="U363" s="143"/>
      <c r="V363" s="62"/>
      <c r="W363" s="62"/>
      <c r="X363" s="79"/>
      <c r="Y363" s="79"/>
      <c r="Z363" s="72"/>
      <c r="AA363" s="80"/>
      <c r="AB363" s="62"/>
      <c r="AC363" s="70"/>
      <c r="AD363" s="16"/>
      <c r="AE363" s="17"/>
      <c r="AF363" s="17"/>
      <c r="AG363" s="17"/>
      <c r="AH363" s="11"/>
      <c r="AI363" s="79"/>
      <c r="AJ363" s="79"/>
      <c r="AK363" s="5"/>
      <c r="AL363" s="143"/>
      <c r="AM363" s="143"/>
      <c r="AN363" s="62"/>
      <c r="AO363" s="62"/>
      <c r="AP363" s="79"/>
      <c r="AQ363" s="79"/>
      <c r="AR363" s="72"/>
      <c r="AS363" s="80"/>
      <c r="AT363" s="62"/>
      <c r="AU363" s="70"/>
      <c r="AV363" s="16"/>
      <c r="AW363" s="17"/>
      <c r="AX363" s="17"/>
      <c r="AY363" s="17"/>
      <c r="AZ363" s="11"/>
      <c r="BA363" s="79"/>
      <c r="BB363" s="79"/>
      <c r="BC363" s="5"/>
      <c r="BD363" s="143"/>
      <c r="BE363" s="143">
        <f t="shared" si="91"/>
        <v>0</v>
      </c>
      <c r="BF363" s="62" t="str">
        <f t="shared" si="92"/>
        <v/>
      </c>
      <c r="BG363" s="62"/>
      <c r="BH363" s="79"/>
      <c r="BI363" s="79"/>
      <c r="BJ363" s="72"/>
      <c r="BK363" s="80"/>
      <c r="BL363" s="62"/>
      <c r="BM363" s="70"/>
    </row>
    <row r="364" spans="1:65" ht="15.75" x14ac:dyDescent="0.25">
      <c r="A364" s="83"/>
      <c r="B364" s="8"/>
      <c r="C364" s="8"/>
      <c r="D364" s="8"/>
      <c r="E364" s="83"/>
      <c r="F364" s="83"/>
      <c r="G364" s="83"/>
      <c r="H364" s="89"/>
      <c r="I364" s="12"/>
      <c r="J364" s="10"/>
      <c r="K364" s="11"/>
      <c r="L364" s="17"/>
      <c r="M364" s="17"/>
      <c r="N364" s="11"/>
      <c r="O364" s="76"/>
      <c r="P364" s="79"/>
      <c r="Q364" s="79"/>
      <c r="R364" s="79"/>
      <c r="S364" s="3"/>
      <c r="T364" s="1"/>
      <c r="U364" s="143"/>
      <c r="V364" s="62"/>
      <c r="W364" s="62"/>
      <c r="X364" s="79"/>
      <c r="Y364" s="79"/>
      <c r="Z364" s="72"/>
      <c r="AA364" s="80"/>
      <c r="AB364" s="62"/>
      <c r="AC364" s="62"/>
      <c r="AD364" s="16"/>
      <c r="AE364" s="17"/>
      <c r="AF364" s="17"/>
      <c r="AG364" s="17"/>
      <c r="AH364" s="11"/>
      <c r="AI364" s="79"/>
      <c r="AJ364" s="79"/>
      <c r="AK364" s="5"/>
      <c r="AL364" s="143"/>
      <c r="AM364" s="143"/>
      <c r="AN364" s="62"/>
      <c r="AO364" s="62"/>
      <c r="AP364" s="79"/>
      <c r="AQ364" s="79"/>
      <c r="AR364" s="72"/>
      <c r="AS364" s="80"/>
      <c r="AT364" s="62"/>
      <c r="AU364" s="62"/>
      <c r="AV364" s="16"/>
      <c r="AW364" s="17"/>
      <c r="AX364" s="17"/>
      <c r="AY364" s="17"/>
      <c r="AZ364" s="17"/>
      <c r="BA364" s="79"/>
      <c r="BB364" s="79"/>
      <c r="BC364" s="5"/>
      <c r="BD364" s="143"/>
      <c r="BE364" s="143"/>
      <c r="BF364" s="62"/>
      <c r="BG364" s="62"/>
      <c r="BH364" s="79"/>
      <c r="BI364" s="79"/>
      <c r="BJ364" s="72"/>
      <c r="BK364" s="80"/>
      <c r="BL364" s="62"/>
      <c r="BM364" s="62"/>
    </row>
    <row r="365" spans="1:65" ht="22.9" customHeight="1" x14ac:dyDescent="0.25">
      <c r="A365" s="83"/>
      <c r="B365" s="8"/>
      <c r="C365" s="8"/>
      <c r="D365" s="8"/>
      <c r="E365" s="97"/>
      <c r="F365" s="97"/>
      <c r="G365" s="83"/>
      <c r="H365" s="89"/>
      <c r="I365" s="12"/>
      <c r="J365" s="10"/>
      <c r="K365" s="11"/>
      <c r="L365" s="17"/>
      <c r="M365" s="17"/>
      <c r="N365" s="11"/>
      <c r="O365" s="76"/>
      <c r="P365" s="79"/>
      <c r="Q365" s="79"/>
      <c r="R365" s="79"/>
      <c r="S365" s="3"/>
      <c r="T365" s="1"/>
      <c r="U365" s="143"/>
      <c r="V365" s="62"/>
      <c r="W365" s="62"/>
      <c r="X365" s="79"/>
      <c r="Y365" s="79"/>
      <c r="Z365" s="72"/>
      <c r="AA365" s="80"/>
      <c r="AB365" s="62"/>
      <c r="AC365" s="62"/>
      <c r="AD365" s="16"/>
      <c r="AE365" s="17"/>
      <c r="AF365" s="17"/>
      <c r="AG365" s="17"/>
      <c r="AH365" s="11"/>
      <c r="AI365" s="79"/>
      <c r="AJ365" s="79"/>
      <c r="AK365" s="5"/>
      <c r="AL365" s="143"/>
      <c r="AM365" s="143"/>
      <c r="AN365" s="62"/>
      <c r="AO365" s="62"/>
      <c r="AP365" s="79"/>
      <c r="AQ365" s="79"/>
      <c r="AR365" s="72"/>
      <c r="AS365" s="80"/>
      <c r="AT365" s="62"/>
      <c r="AU365" s="62"/>
      <c r="AV365" s="16"/>
      <c r="AW365" s="17"/>
      <c r="AX365" s="17"/>
      <c r="AY365" s="17"/>
      <c r="AZ365" s="17"/>
      <c r="BA365" s="79"/>
      <c r="BB365" s="79"/>
      <c r="BC365" s="5"/>
      <c r="BD365" s="143"/>
      <c r="BE365" s="143"/>
      <c r="BF365" s="62"/>
      <c r="BG365" s="62"/>
      <c r="BH365" s="79"/>
      <c r="BI365" s="79"/>
      <c r="BJ365" s="72"/>
      <c r="BK365" s="80"/>
      <c r="BL365" s="62"/>
      <c r="BM365" s="62"/>
    </row>
    <row r="366" spans="1:65" ht="15.75" x14ac:dyDescent="0.25">
      <c r="A366" s="83"/>
      <c r="B366" s="8"/>
      <c r="C366" s="8"/>
      <c r="D366" s="8"/>
      <c r="E366" s="83"/>
      <c r="F366" s="83"/>
      <c r="G366" s="83"/>
      <c r="H366" s="89"/>
      <c r="I366" s="12"/>
      <c r="J366" s="10"/>
      <c r="K366" s="11"/>
      <c r="L366" s="17"/>
      <c r="M366" s="17"/>
      <c r="N366" s="11"/>
      <c r="O366" s="76"/>
      <c r="P366" s="79"/>
      <c r="Q366" s="79"/>
      <c r="R366" s="79"/>
      <c r="S366" s="3"/>
      <c r="T366" s="1"/>
      <c r="U366" s="143"/>
      <c r="V366" s="62"/>
      <c r="W366" s="62"/>
      <c r="X366" s="79"/>
      <c r="Y366" s="79"/>
      <c r="Z366" s="72"/>
      <c r="AA366" s="80"/>
      <c r="AB366" s="62"/>
      <c r="AC366" s="62"/>
      <c r="AD366" s="16"/>
      <c r="AE366" s="17"/>
      <c r="AF366" s="17"/>
      <c r="AG366" s="17"/>
      <c r="AH366" s="11"/>
      <c r="AI366" s="79"/>
      <c r="AJ366" s="79"/>
      <c r="AK366" s="5"/>
      <c r="AL366" s="143"/>
      <c r="AM366" s="143"/>
      <c r="AN366" s="62"/>
      <c r="AO366" s="62"/>
      <c r="AP366" s="79"/>
      <c r="AQ366" s="79"/>
      <c r="AR366" s="72"/>
      <c r="AS366" s="80"/>
      <c r="AT366" s="62"/>
      <c r="AU366" s="62"/>
      <c r="AV366" s="16"/>
      <c r="AW366" s="17"/>
      <c r="AX366" s="17"/>
      <c r="AY366" s="17"/>
      <c r="AZ366" s="17"/>
      <c r="BA366" s="79"/>
      <c r="BB366" s="79"/>
      <c r="BC366" s="5"/>
      <c r="BD366" s="143"/>
      <c r="BE366" s="143"/>
      <c r="BF366" s="62"/>
      <c r="BG366" s="62"/>
      <c r="BH366" s="79"/>
      <c r="BI366" s="79"/>
      <c r="BJ366" s="72"/>
      <c r="BK366" s="80"/>
      <c r="BL366" s="62"/>
      <c r="BM366" s="62"/>
    </row>
    <row r="367" spans="1:65" ht="15.75" x14ac:dyDescent="0.25">
      <c r="A367" s="83"/>
      <c r="B367" s="8"/>
      <c r="C367" s="8"/>
      <c r="D367" s="8"/>
      <c r="E367" s="83"/>
      <c r="F367" s="83"/>
      <c r="G367" s="83"/>
      <c r="H367" s="89"/>
      <c r="I367" s="12"/>
      <c r="J367" s="10"/>
      <c r="K367" s="11"/>
      <c r="L367" s="17"/>
      <c r="M367" s="17"/>
      <c r="N367" s="11"/>
      <c r="O367" s="76"/>
      <c r="P367" s="79"/>
      <c r="Q367" s="79"/>
      <c r="R367" s="79"/>
      <c r="S367" s="3"/>
      <c r="T367" s="1"/>
      <c r="U367" s="143"/>
      <c r="V367" s="62"/>
      <c r="W367" s="62"/>
      <c r="X367" s="79"/>
      <c r="Y367" s="79"/>
      <c r="Z367" s="72"/>
      <c r="AA367" s="80"/>
      <c r="AB367" s="62"/>
      <c r="AC367" s="62"/>
      <c r="AD367" s="16"/>
      <c r="AE367" s="17"/>
      <c r="AF367" s="17"/>
      <c r="AG367" s="17"/>
      <c r="AH367" s="11"/>
      <c r="AI367" s="79"/>
      <c r="AJ367" s="79"/>
      <c r="AK367" s="5"/>
      <c r="AL367" s="143"/>
      <c r="AM367" s="143"/>
      <c r="AN367" s="62"/>
      <c r="AO367" s="62"/>
      <c r="AP367" s="79"/>
      <c r="AQ367" s="79"/>
      <c r="AR367" s="72"/>
      <c r="AS367" s="80"/>
      <c r="AT367" s="62"/>
      <c r="AU367" s="62"/>
      <c r="AV367" s="16"/>
      <c r="AW367" s="17"/>
      <c r="AX367" s="17"/>
      <c r="AY367" s="17"/>
      <c r="AZ367" s="17"/>
      <c r="BA367" s="79"/>
      <c r="BB367" s="79"/>
      <c r="BC367" s="5"/>
      <c r="BD367" s="143"/>
      <c r="BE367" s="143"/>
      <c r="BF367" s="62"/>
      <c r="BG367" s="62"/>
      <c r="BH367" s="79"/>
      <c r="BI367" s="79"/>
      <c r="BJ367" s="72"/>
      <c r="BK367" s="80"/>
      <c r="BL367" s="62"/>
      <c r="BM367" s="62"/>
    </row>
    <row r="368" spans="1:65" s="121" customFormat="1" ht="15.75" hidden="1" x14ac:dyDescent="0.25">
      <c r="A368" s="122"/>
      <c r="B368" s="123"/>
      <c r="C368" s="123"/>
      <c r="D368" s="123"/>
      <c r="E368" s="122"/>
      <c r="F368" s="122"/>
      <c r="G368" s="122"/>
      <c r="H368" s="136"/>
      <c r="I368" s="125"/>
      <c r="J368" s="10"/>
      <c r="K368" s="126"/>
      <c r="L368" s="127"/>
      <c r="M368" s="127"/>
      <c r="N368" s="126"/>
      <c r="O368" s="128"/>
      <c r="P368" s="129"/>
      <c r="Q368" s="129"/>
      <c r="R368" s="129"/>
      <c r="S368" s="130"/>
      <c r="T368" s="131"/>
      <c r="U368" s="132"/>
      <c r="V368" s="132"/>
      <c r="W368" s="132"/>
      <c r="X368" s="129"/>
      <c r="Y368" s="129"/>
      <c r="Z368" s="132"/>
      <c r="AA368" s="129"/>
      <c r="AB368" s="132"/>
      <c r="AC368" s="132"/>
      <c r="AD368" s="127"/>
      <c r="AE368" s="127"/>
      <c r="AF368" s="127"/>
      <c r="AG368" s="127"/>
      <c r="AH368" s="126"/>
      <c r="AI368" s="129"/>
      <c r="AJ368" s="129"/>
      <c r="AK368" s="137"/>
      <c r="AL368" s="132"/>
      <c r="AM368" s="132"/>
      <c r="AN368" s="132"/>
      <c r="AO368" s="132"/>
      <c r="AP368" s="129"/>
      <c r="AQ368" s="129"/>
      <c r="AR368" s="132"/>
      <c r="AS368" s="129"/>
      <c r="AT368" s="132"/>
      <c r="AU368" s="132"/>
      <c r="AV368" s="127"/>
      <c r="AW368" s="127"/>
      <c r="AX368" s="127"/>
      <c r="AY368" s="127"/>
      <c r="AZ368" s="127"/>
      <c r="BA368" s="129"/>
      <c r="BB368" s="129"/>
      <c r="BC368" s="137"/>
      <c r="BD368" s="132"/>
      <c r="BE368" s="132"/>
      <c r="BF368" s="132"/>
      <c r="BG368" s="132"/>
      <c r="BH368" s="129"/>
      <c r="BI368" s="129"/>
      <c r="BJ368" s="132"/>
      <c r="BK368" s="129"/>
      <c r="BL368" s="132"/>
      <c r="BM368" s="132"/>
    </row>
    <row r="369" spans="1:57" ht="15.75" x14ac:dyDescent="0.25">
      <c r="A369" s="83"/>
      <c r="B369" s="8"/>
      <c r="C369" s="8"/>
      <c r="D369" s="8"/>
      <c r="E369" s="83"/>
      <c r="F369" s="143"/>
      <c r="G369" s="83"/>
      <c r="H369" s="120"/>
      <c r="I369" s="12"/>
      <c r="J369" s="10"/>
      <c r="K369" s="11"/>
      <c r="L369" s="17"/>
      <c r="M369" s="17"/>
      <c r="N369" s="11"/>
      <c r="O369" s="76"/>
      <c r="P369" s="79"/>
      <c r="Q369" s="79"/>
      <c r="R369" s="79"/>
      <c r="S369" s="3"/>
      <c r="T369" s="1"/>
      <c r="U369" s="143"/>
      <c r="V369" s="1"/>
      <c r="W369" s="1"/>
      <c r="X369" s="2"/>
      <c r="Y369" s="1"/>
      <c r="Z369" s="1"/>
      <c r="AA369" s="11"/>
      <c r="AB369" s="11"/>
      <c r="AC369" s="1"/>
      <c r="AD369" s="1"/>
      <c r="AE369" s="1"/>
      <c r="AF369" s="1"/>
      <c r="AG369" s="1"/>
      <c r="AH369" s="1"/>
      <c r="AI369" s="76"/>
      <c r="AJ369" s="76"/>
      <c r="AK369" s="1"/>
      <c r="AL369" s="1"/>
      <c r="AM369" s="1"/>
      <c r="AN369" s="1"/>
      <c r="AO369" s="1"/>
      <c r="AP369" s="61"/>
      <c r="AQ369" s="61"/>
      <c r="AR369" s="76"/>
      <c r="AS369" s="76"/>
      <c r="AT369" s="69"/>
      <c r="AU369" s="77"/>
      <c r="AV369" s="61"/>
      <c r="AW369" s="70"/>
      <c r="AX369" s="70"/>
      <c r="AY369" s="71"/>
      <c r="AZ369" s="70"/>
      <c r="BA369" s="71"/>
      <c r="BB369" s="70"/>
      <c r="BC369" s="78"/>
      <c r="BD369" s="78"/>
      <c r="BE369" s="78"/>
    </row>
    <row r="370" spans="1:57" ht="15.75" x14ac:dyDescent="0.25">
      <c r="I370" s="88"/>
      <c r="J370" s="87"/>
    </row>
    <row r="371" spans="1:57" x14ac:dyDescent="0.25">
      <c r="J371" s="87"/>
    </row>
    <row r="372" spans="1:57" ht="15" customHeight="1" x14ac:dyDescent="0.25">
      <c r="J372" s="87"/>
    </row>
    <row r="373" spans="1:57" ht="15" customHeight="1" x14ac:dyDescent="0.25">
      <c r="J373" s="87"/>
    </row>
    <row r="374" spans="1:57" ht="15" customHeight="1" x14ac:dyDescent="0.25">
      <c r="J374" s="87"/>
    </row>
    <row r="375" spans="1:57" ht="15" customHeight="1" x14ac:dyDescent="0.25">
      <c r="J375" s="87"/>
    </row>
    <row r="376" spans="1:57" ht="15" customHeight="1" x14ac:dyDescent="0.25">
      <c r="J376" s="87"/>
    </row>
    <row r="377" spans="1:57" ht="15" customHeight="1" x14ac:dyDescent="0.25">
      <c r="J377" s="87"/>
    </row>
    <row r="378" spans="1:57" ht="15" customHeight="1" x14ac:dyDescent="0.25">
      <c r="J378" s="87"/>
    </row>
    <row r="379" spans="1:57" ht="15" customHeight="1" x14ac:dyDescent="0.25">
      <c r="J379" s="87"/>
    </row>
    <row r="380" spans="1:57" ht="15" customHeight="1" x14ac:dyDescent="0.25">
      <c r="J380" s="87"/>
    </row>
    <row r="381" spans="1:57" ht="15" customHeight="1" x14ac:dyDescent="0.25">
      <c r="J381" s="87"/>
    </row>
    <row r="382" spans="1:57" ht="15" customHeight="1" x14ac:dyDescent="0.25">
      <c r="J382" s="87"/>
    </row>
    <row r="383" spans="1:57" ht="15" customHeight="1" x14ac:dyDescent="0.25">
      <c r="J383" s="87"/>
    </row>
    <row r="384" spans="1:57" ht="15" customHeight="1" x14ac:dyDescent="0.25">
      <c r="J384" s="87"/>
    </row>
    <row r="385" spans="10:10" ht="15" customHeight="1" x14ac:dyDescent="0.25">
      <c r="J385" s="87"/>
    </row>
    <row r="386" spans="10:10" ht="15" customHeight="1" x14ac:dyDescent="0.25">
      <c r="J386" s="87"/>
    </row>
    <row r="387" spans="10:10" ht="15" customHeight="1" x14ac:dyDescent="0.25">
      <c r="J387" s="87"/>
    </row>
    <row r="388" spans="10:10" ht="15" customHeight="1" x14ac:dyDescent="0.25">
      <c r="J388" s="87"/>
    </row>
    <row r="389" spans="10:10" ht="15" customHeight="1" x14ac:dyDescent="0.25">
      <c r="J389" s="87"/>
    </row>
    <row r="390" spans="10:10" ht="15" customHeight="1" x14ac:dyDescent="0.25">
      <c r="J390" s="87"/>
    </row>
    <row r="391" spans="10:10" ht="15" customHeight="1" x14ac:dyDescent="0.25">
      <c r="J391" s="87"/>
    </row>
    <row r="392" spans="10:10" ht="15" customHeight="1" x14ac:dyDescent="0.25">
      <c r="J392" s="87"/>
    </row>
    <row r="393" spans="10:10" ht="27" customHeight="1" x14ac:dyDescent="0.25">
      <c r="J393" s="87"/>
    </row>
    <row r="394" spans="10:10" ht="15" customHeight="1" x14ac:dyDescent="0.25">
      <c r="J394" s="87"/>
    </row>
    <row r="395" spans="10:10" ht="15" customHeight="1" x14ac:dyDescent="0.25">
      <c r="J395" s="87"/>
    </row>
    <row r="396" spans="10:10" ht="15" customHeight="1" x14ac:dyDescent="0.25">
      <c r="J396" s="87"/>
    </row>
    <row r="397" spans="10:10" ht="15" customHeight="1" x14ac:dyDescent="0.25">
      <c r="J397" s="87"/>
    </row>
    <row r="398" spans="10:10" ht="15" customHeight="1" x14ac:dyDescent="0.25">
      <c r="J398" s="87"/>
    </row>
    <row r="399" spans="10:10" ht="15" customHeight="1" x14ac:dyDescent="0.25">
      <c r="J399" s="87"/>
    </row>
    <row r="400" spans="10:10" ht="15" customHeight="1" x14ac:dyDescent="0.25">
      <c r="J400" s="87"/>
    </row>
    <row r="401" spans="10:10" ht="15" customHeight="1" x14ac:dyDescent="0.25">
      <c r="J401" s="87"/>
    </row>
    <row r="402" spans="10:10" ht="15" customHeight="1" x14ac:dyDescent="0.25">
      <c r="J402" s="87"/>
    </row>
    <row r="403" spans="10:10" ht="15" customHeight="1" x14ac:dyDescent="0.25">
      <c r="J403" s="87"/>
    </row>
    <row r="404" spans="10:10" ht="15" customHeight="1" x14ac:dyDescent="0.25">
      <c r="J404" s="87"/>
    </row>
    <row r="405" spans="10:10" ht="15" customHeight="1" x14ac:dyDescent="0.25">
      <c r="J405" s="87"/>
    </row>
    <row r="406" spans="10:10" ht="15" customHeight="1" x14ac:dyDescent="0.25">
      <c r="J406" s="87"/>
    </row>
    <row r="407" spans="10:10" ht="15" customHeight="1" x14ac:dyDescent="0.25">
      <c r="J407" s="87"/>
    </row>
    <row r="408" spans="10:10" ht="15" customHeight="1" x14ac:dyDescent="0.25">
      <c r="J408" s="87"/>
    </row>
    <row r="409" spans="10:10" ht="15" customHeight="1" x14ac:dyDescent="0.25">
      <c r="J409" s="87"/>
    </row>
    <row r="410" spans="10:10" ht="15" customHeight="1" x14ac:dyDescent="0.25">
      <c r="J410" s="87"/>
    </row>
    <row r="411" spans="10:10" ht="15" customHeight="1" x14ac:dyDescent="0.25">
      <c r="J411" s="87"/>
    </row>
    <row r="412" spans="10:10" ht="15" customHeight="1" x14ac:dyDescent="0.25">
      <c r="J412" s="87"/>
    </row>
    <row r="413" spans="10:10" ht="15" customHeight="1" x14ac:dyDescent="0.25">
      <c r="J413" s="87"/>
    </row>
    <row r="414" spans="10:10" ht="15" customHeight="1" x14ac:dyDescent="0.25">
      <c r="J414" s="87"/>
    </row>
    <row r="415" spans="10:10" ht="15" customHeight="1" x14ac:dyDescent="0.25">
      <c r="J415" s="87"/>
    </row>
    <row r="416" spans="10:10" ht="15" customHeight="1" x14ac:dyDescent="0.25">
      <c r="J416" s="87"/>
    </row>
    <row r="417" spans="10:10" ht="15" customHeight="1" x14ac:dyDescent="0.25">
      <c r="J417" s="87"/>
    </row>
    <row r="418" spans="10:10" ht="15" customHeight="1" x14ac:dyDescent="0.25">
      <c r="J418" s="87"/>
    </row>
    <row r="419" spans="10:10" ht="15" customHeight="1" x14ac:dyDescent="0.25">
      <c r="J419" s="87"/>
    </row>
    <row r="420" spans="10:10" ht="15" customHeight="1" x14ac:dyDescent="0.25">
      <c r="J420" s="87"/>
    </row>
    <row r="421" spans="10:10" ht="15" customHeight="1" x14ac:dyDescent="0.25">
      <c r="J421" s="87"/>
    </row>
    <row r="422" spans="10:10" ht="15" customHeight="1" x14ac:dyDescent="0.25">
      <c r="J422" s="87"/>
    </row>
    <row r="423" spans="10:10" ht="15" customHeight="1" x14ac:dyDescent="0.25">
      <c r="J423" s="87"/>
    </row>
    <row r="424" spans="10:10" ht="15" customHeight="1" x14ac:dyDescent="0.25">
      <c r="J424" s="87"/>
    </row>
    <row r="425" spans="10:10" ht="15" customHeight="1" x14ac:dyDescent="0.25">
      <c r="J425" s="87"/>
    </row>
    <row r="426" spans="10:10" ht="15" customHeight="1" x14ac:dyDescent="0.25">
      <c r="J426" s="87"/>
    </row>
    <row r="427" spans="10:10" ht="15" customHeight="1" x14ac:dyDescent="0.25">
      <c r="J427" s="87"/>
    </row>
    <row r="428" spans="10:10" ht="15" customHeight="1" x14ac:dyDescent="0.25">
      <c r="J428" s="87"/>
    </row>
    <row r="429" spans="10:10" ht="15" customHeight="1" x14ac:dyDescent="0.25">
      <c r="J429" s="87"/>
    </row>
    <row r="430" spans="10:10" ht="15" customHeight="1" x14ac:dyDescent="0.25">
      <c r="J430" s="87"/>
    </row>
    <row r="431" spans="10:10" ht="15" customHeight="1" x14ac:dyDescent="0.25">
      <c r="J431" s="87"/>
    </row>
    <row r="432" spans="10:10" ht="15" customHeight="1" x14ac:dyDescent="0.25">
      <c r="J432" s="87"/>
    </row>
    <row r="433" spans="10:10" ht="15" customHeight="1" x14ac:dyDescent="0.25">
      <c r="J433" s="87"/>
    </row>
    <row r="434" spans="10:10" ht="15" customHeight="1" x14ac:dyDescent="0.25">
      <c r="J434" s="87"/>
    </row>
    <row r="435" spans="10:10" ht="15" customHeight="1" x14ac:dyDescent="0.25">
      <c r="J435" s="87"/>
    </row>
    <row r="436" spans="10:10" ht="15" customHeight="1" x14ac:dyDescent="0.25">
      <c r="J436" s="87"/>
    </row>
    <row r="437" spans="10:10" ht="15" customHeight="1" x14ac:dyDescent="0.25">
      <c r="J437" s="87"/>
    </row>
    <row r="438" spans="10:10" ht="15" customHeight="1" x14ac:dyDescent="0.25">
      <c r="J438" s="87"/>
    </row>
    <row r="439" spans="10:10" ht="15" customHeight="1" x14ac:dyDescent="0.25">
      <c r="J439" s="87"/>
    </row>
    <row r="440" spans="10:10" ht="15" customHeight="1" x14ac:dyDescent="0.25">
      <c r="J440" s="87"/>
    </row>
    <row r="441" spans="10:10" ht="15" customHeight="1" x14ac:dyDescent="0.25">
      <c r="J441" s="87"/>
    </row>
    <row r="442" spans="10:10" ht="15" customHeight="1" x14ac:dyDescent="0.25">
      <c r="J442" s="87"/>
    </row>
    <row r="443" spans="10:10" ht="15" customHeight="1" x14ac:dyDescent="0.25">
      <c r="J443" s="87"/>
    </row>
    <row r="444" spans="10:10" ht="15" customHeight="1" x14ac:dyDescent="0.25">
      <c r="J444" s="87"/>
    </row>
    <row r="445" spans="10:10" ht="15" customHeight="1" x14ac:dyDescent="0.25">
      <c r="J445" s="87"/>
    </row>
    <row r="446" spans="10:10" ht="15" customHeight="1" x14ac:dyDescent="0.25">
      <c r="J446" s="87"/>
    </row>
    <row r="447" spans="10:10" ht="15" customHeight="1" x14ac:dyDescent="0.25">
      <c r="J447" s="87"/>
    </row>
    <row r="448" spans="10:10" ht="15" customHeight="1" x14ac:dyDescent="0.25">
      <c r="J448" s="87"/>
    </row>
    <row r="449" spans="10:10" ht="15" customHeight="1" x14ac:dyDescent="0.25">
      <c r="J449" s="87"/>
    </row>
    <row r="450" spans="10:10" ht="15" customHeight="1" x14ac:dyDescent="0.25">
      <c r="J450" s="87"/>
    </row>
    <row r="451" spans="10:10" ht="15" customHeight="1" x14ac:dyDescent="0.25">
      <c r="J451" s="87"/>
    </row>
    <row r="452" spans="10:10" ht="15" customHeight="1" x14ac:dyDescent="0.25">
      <c r="J452" s="87"/>
    </row>
    <row r="453" spans="10:10" ht="15" customHeight="1" x14ac:dyDescent="0.25">
      <c r="J453" s="87"/>
    </row>
    <row r="454" spans="10:10" ht="15" customHeight="1" x14ac:dyDescent="0.25">
      <c r="J454" s="87"/>
    </row>
    <row r="455" spans="10:10" ht="15" customHeight="1" x14ac:dyDescent="0.25">
      <c r="J455" s="87"/>
    </row>
    <row r="456" spans="10:10" ht="15" customHeight="1" x14ac:dyDescent="0.25">
      <c r="J456" s="87"/>
    </row>
    <row r="457" spans="10:10" ht="15" customHeight="1" x14ac:dyDescent="0.25">
      <c r="J457" s="87"/>
    </row>
    <row r="458" spans="10:10" ht="15" customHeight="1" x14ac:dyDescent="0.25">
      <c r="J458" s="87"/>
    </row>
    <row r="459" spans="10:10" ht="15" customHeight="1" x14ac:dyDescent="0.25">
      <c r="J459" s="87"/>
    </row>
    <row r="460" spans="10:10" ht="15" customHeight="1" x14ac:dyDescent="0.25">
      <c r="J460" s="87"/>
    </row>
    <row r="461" spans="10:10" ht="15" customHeight="1" x14ac:dyDescent="0.25">
      <c r="J461" s="87"/>
    </row>
    <row r="462" spans="10:10" ht="15" customHeight="1" x14ac:dyDescent="0.25">
      <c r="J462" s="87"/>
    </row>
    <row r="463" spans="10:10" ht="15" customHeight="1" x14ac:dyDescent="0.25">
      <c r="J463" s="87"/>
    </row>
    <row r="464" spans="10:10" ht="15" customHeight="1" x14ac:dyDescent="0.25">
      <c r="J464" s="87"/>
    </row>
    <row r="465" spans="10:10" ht="15" customHeight="1" x14ac:dyDescent="0.25">
      <c r="J465" s="87"/>
    </row>
    <row r="466" spans="10:10" ht="15" customHeight="1" x14ac:dyDescent="0.25">
      <c r="J466" s="87"/>
    </row>
    <row r="467" spans="10:10" ht="15" customHeight="1" x14ac:dyDescent="0.25">
      <c r="J467" s="87"/>
    </row>
    <row r="468" spans="10:10" ht="15" customHeight="1" x14ac:dyDescent="0.25">
      <c r="J468" s="87"/>
    </row>
    <row r="469" spans="10:10" ht="15" customHeight="1" x14ac:dyDescent="0.25">
      <c r="J469" s="87"/>
    </row>
    <row r="470" spans="10:10" ht="15" customHeight="1" x14ac:dyDescent="0.25">
      <c r="J470" s="87"/>
    </row>
    <row r="471" spans="10:10" ht="15" customHeight="1" x14ac:dyDescent="0.25">
      <c r="J471" s="87"/>
    </row>
    <row r="472" spans="10:10" ht="15" customHeight="1" x14ac:dyDescent="0.25">
      <c r="J472" s="87"/>
    </row>
    <row r="473" spans="10:10" ht="15" customHeight="1" x14ac:dyDescent="0.25">
      <c r="J473" s="87"/>
    </row>
    <row r="474" spans="10:10" ht="15" customHeight="1" x14ac:dyDescent="0.25">
      <c r="J474" s="87"/>
    </row>
    <row r="475" spans="10:10" ht="15" customHeight="1" x14ac:dyDescent="0.25">
      <c r="J475" s="87"/>
    </row>
    <row r="476" spans="10:10" ht="15" customHeight="1" x14ac:dyDescent="0.25">
      <c r="J476" s="87"/>
    </row>
    <row r="477" spans="10:10" ht="15" customHeight="1" x14ac:dyDescent="0.25">
      <c r="J477" s="87"/>
    </row>
    <row r="478" spans="10:10" ht="15" customHeight="1" x14ac:dyDescent="0.25">
      <c r="J478" s="87"/>
    </row>
    <row r="479" spans="10:10" ht="15" customHeight="1" x14ac:dyDescent="0.25">
      <c r="J479" s="87"/>
    </row>
    <row r="480" spans="10:10" ht="15" customHeight="1" x14ac:dyDescent="0.25">
      <c r="J480" s="87"/>
    </row>
    <row r="481" spans="10:10" ht="15" customHeight="1" x14ac:dyDescent="0.25">
      <c r="J481" s="87"/>
    </row>
    <row r="482" spans="10:10" ht="15" customHeight="1" x14ac:dyDescent="0.25">
      <c r="J482" s="87"/>
    </row>
    <row r="483" spans="10:10" ht="15" customHeight="1" x14ac:dyDescent="0.25">
      <c r="J483" s="87"/>
    </row>
    <row r="484" spans="10:10" ht="15" customHeight="1" x14ac:dyDescent="0.25">
      <c r="J484" s="87"/>
    </row>
    <row r="485" spans="10:10" ht="15" customHeight="1" x14ac:dyDescent="0.25">
      <c r="J485" s="87"/>
    </row>
    <row r="486" spans="10:10" ht="15" customHeight="1" x14ac:dyDescent="0.25">
      <c r="J486" s="87"/>
    </row>
    <row r="487" spans="10:10" ht="15" customHeight="1" x14ac:dyDescent="0.25">
      <c r="J487" s="87"/>
    </row>
    <row r="488" spans="10:10" ht="15" customHeight="1" x14ac:dyDescent="0.25">
      <c r="J488" s="87"/>
    </row>
    <row r="489" spans="10:10" ht="15" customHeight="1" x14ac:dyDescent="0.25">
      <c r="J489" s="87"/>
    </row>
    <row r="490" spans="10:10" ht="15" customHeight="1" x14ac:dyDescent="0.25">
      <c r="J490" s="87"/>
    </row>
    <row r="491" spans="10:10" ht="15" customHeight="1" x14ac:dyDescent="0.25">
      <c r="J491" s="87"/>
    </row>
    <row r="492" spans="10:10" ht="15" customHeight="1" x14ac:dyDescent="0.25">
      <c r="J492" s="87"/>
    </row>
    <row r="493" spans="10:10" ht="15" customHeight="1" x14ac:dyDescent="0.25">
      <c r="J493" s="87"/>
    </row>
    <row r="494" spans="10:10" ht="15" customHeight="1" x14ac:dyDescent="0.25">
      <c r="J494" s="87"/>
    </row>
    <row r="495" spans="10:10" ht="15" customHeight="1" x14ac:dyDescent="0.25">
      <c r="J495" s="87"/>
    </row>
    <row r="496" spans="10:10" ht="15" customHeight="1" x14ac:dyDescent="0.25">
      <c r="J496" s="87"/>
    </row>
    <row r="497" spans="10:10" ht="15" customHeight="1" x14ac:dyDescent="0.25">
      <c r="J497" s="87"/>
    </row>
    <row r="498" spans="10:10" ht="15" customHeight="1" x14ac:dyDescent="0.25">
      <c r="J498" s="87"/>
    </row>
    <row r="499" spans="10:10" ht="15" customHeight="1" x14ac:dyDescent="0.25">
      <c r="J499" s="87"/>
    </row>
    <row r="500" spans="10:10" ht="15" customHeight="1" x14ac:dyDescent="0.25">
      <c r="J500" s="87"/>
    </row>
    <row r="501" spans="10:10" ht="15" customHeight="1" x14ac:dyDescent="0.25">
      <c r="J501" s="87"/>
    </row>
    <row r="502" spans="10:10" ht="15" customHeight="1" x14ac:dyDescent="0.25">
      <c r="J502" s="87"/>
    </row>
    <row r="503" spans="10:10" ht="15" customHeight="1" x14ac:dyDescent="0.25">
      <c r="J503" s="87"/>
    </row>
    <row r="504" spans="10:10" ht="15" customHeight="1" x14ac:dyDescent="0.25">
      <c r="J504" s="87"/>
    </row>
    <row r="505" spans="10:10" ht="15" customHeight="1" x14ac:dyDescent="0.25">
      <c r="J505" s="87"/>
    </row>
    <row r="506" spans="10:10" ht="15" customHeight="1" x14ac:dyDescent="0.25">
      <c r="J506" s="87"/>
    </row>
    <row r="507" spans="10:10" ht="15" customHeight="1" x14ac:dyDescent="0.25">
      <c r="J507" s="87"/>
    </row>
    <row r="508" spans="10:10" ht="15" customHeight="1" x14ac:dyDescent="0.25">
      <c r="J508" s="87"/>
    </row>
    <row r="509" spans="10:10" ht="15" customHeight="1" x14ac:dyDescent="0.25">
      <c r="J509" s="87"/>
    </row>
    <row r="510" spans="10:10" ht="15" customHeight="1" x14ac:dyDescent="0.25">
      <c r="J510" s="87"/>
    </row>
    <row r="511" spans="10:10" ht="15" customHeight="1" x14ac:dyDescent="0.25">
      <c r="J511" s="87"/>
    </row>
    <row r="512" spans="10:10" ht="15" customHeight="1" x14ac:dyDescent="0.25">
      <c r="J512" s="87"/>
    </row>
    <row r="513" spans="10:10" ht="15" customHeight="1" x14ac:dyDescent="0.25">
      <c r="J513" s="87"/>
    </row>
    <row r="514" spans="10:10" ht="15" customHeight="1" x14ac:dyDescent="0.25">
      <c r="J514" s="87"/>
    </row>
    <row r="515" spans="10:10" ht="15" customHeight="1" x14ac:dyDescent="0.25">
      <c r="J515" s="87"/>
    </row>
    <row r="516" spans="10:10" ht="15" customHeight="1" x14ac:dyDescent="0.25">
      <c r="J516" s="87"/>
    </row>
    <row r="517" spans="10:10" ht="15" customHeight="1" x14ac:dyDescent="0.25">
      <c r="J517" s="87"/>
    </row>
    <row r="518" spans="10:10" ht="15" customHeight="1" x14ac:dyDescent="0.25">
      <c r="J518" s="87"/>
    </row>
    <row r="519" spans="10:10" ht="15" customHeight="1" x14ac:dyDescent="0.25">
      <c r="J519" s="87"/>
    </row>
    <row r="520" spans="10:10" ht="15" customHeight="1" x14ac:dyDescent="0.25">
      <c r="J520" s="87"/>
    </row>
    <row r="521" spans="10:10" ht="15" customHeight="1" x14ac:dyDescent="0.25">
      <c r="J521" s="87"/>
    </row>
    <row r="522" spans="10:10" ht="15" customHeight="1" x14ac:dyDescent="0.25">
      <c r="J522" s="87"/>
    </row>
    <row r="523" spans="10:10" ht="15" customHeight="1" x14ac:dyDescent="0.25">
      <c r="J523" s="87"/>
    </row>
    <row r="524" spans="10:10" ht="15" customHeight="1" x14ac:dyDescent="0.25">
      <c r="J524" s="87"/>
    </row>
    <row r="525" spans="10:10" ht="15" customHeight="1" x14ac:dyDescent="0.25">
      <c r="J525" s="87"/>
    </row>
    <row r="526" spans="10:10" ht="15" customHeight="1" x14ac:dyDescent="0.25">
      <c r="J526" s="87"/>
    </row>
    <row r="527" spans="10:10" ht="15" customHeight="1" x14ac:dyDescent="0.25">
      <c r="J527" s="87"/>
    </row>
    <row r="528" spans="10:10" ht="15" customHeight="1" x14ac:dyDescent="0.25">
      <c r="J528" s="87"/>
    </row>
    <row r="529" spans="10:10" ht="15" customHeight="1" x14ac:dyDescent="0.25">
      <c r="J529" s="87"/>
    </row>
    <row r="530" spans="10:10" ht="15" customHeight="1" x14ac:dyDescent="0.25">
      <c r="J530" s="87"/>
    </row>
    <row r="531" spans="10:10" ht="15" customHeight="1" x14ac:dyDescent="0.25">
      <c r="J531" s="87"/>
    </row>
    <row r="532" spans="10:10" ht="15" customHeight="1" x14ac:dyDescent="0.25">
      <c r="J532" s="87"/>
    </row>
    <row r="533" spans="10:10" ht="15" customHeight="1" x14ac:dyDescent="0.25">
      <c r="J533" s="87"/>
    </row>
    <row r="534" spans="10:10" ht="15" customHeight="1" x14ac:dyDescent="0.25">
      <c r="J534" s="87"/>
    </row>
    <row r="535" spans="10:10" ht="15" customHeight="1" x14ac:dyDescent="0.25">
      <c r="J535" s="87"/>
    </row>
    <row r="536" spans="10:10" ht="15" customHeight="1" x14ac:dyDescent="0.25">
      <c r="J536" s="87"/>
    </row>
    <row r="537" spans="10:10" ht="15" customHeight="1" x14ac:dyDescent="0.25">
      <c r="J537" s="87"/>
    </row>
    <row r="538" spans="10:10" ht="15" customHeight="1" x14ac:dyDescent="0.25">
      <c r="J538" s="87"/>
    </row>
    <row r="539" spans="10:10" ht="15" customHeight="1" x14ac:dyDescent="0.25">
      <c r="J539" s="87"/>
    </row>
    <row r="540" spans="10:10" ht="15" customHeight="1" x14ac:dyDescent="0.25">
      <c r="J540" s="87"/>
    </row>
    <row r="541" spans="10:10" ht="15" customHeight="1" x14ac:dyDescent="0.25">
      <c r="J541" s="87"/>
    </row>
    <row r="542" spans="10:10" ht="15" customHeight="1" x14ac:dyDescent="0.25">
      <c r="J542" s="87"/>
    </row>
    <row r="543" spans="10:10" ht="15" customHeight="1" x14ac:dyDescent="0.25">
      <c r="J543" s="87"/>
    </row>
    <row r="544" spans="10:10" ht="15" customHeight="1" x14ac:dyDescent="0.25">
      <c r="J544" s="87"/>
    </row>
    <row r="545" spans="10:10" ht="15" customHeight="1" x14ac:dyDescent="0.25">
      <c r="J545" s="87"/>
    </row>
    <row r="546" spans="10:10" ht="15" customHeight="1" x14ac:dyDescent="0.25">
      <c r="J546" s="87"/>
    </row>
    <row r="547" spans="10:10" ht="15" customHeight="1" x14ac:dyDescent="0.25">
      <c r="J547" s="87"/>
    </row>
    <row r="548" spans="10:10" ht="15" customHeight="1" x14ac:dyDescent="0.25">
      <c r="J548" s="87"/>
    </row>
    <row r="549" spans="10:10" ht="15" customHeight="1" x14ac:dyDescent="0.25">
      <c r="J549" s="87"/>
    </row>
    <row r="550" spans="10:10" ht="15" customHeight="1" x14ac:dyDescent="0.25">
      <c r="J550" s="87"/>
    </row>
    <row r="551" spans="10:10" ht="15" customHeight="1" x14ac:dyDescent="0.25">
      <c r="J551" s="87"/>
    </row>
    <row r="552" spans="10:10" ht="15" customHeight="1" x14ac:dyDescent="0.25">
      <c r="J552" s="87"/>
    </row>
    <row r="553" spans="10:10" ht="15" customHeight="1" x14ac:dyDescent="0.25">
      <c r="J553" s="87"/>
    </row>
    <row r="554" spans="10:10" ht="15" customHeight="1" x14ac:dyDescent="0.25">
      <c r="J554" s="87"/>
    </row>
    <row r="555" spans="10:10" ht="15" customHeight="1" x14ac:dyDescent="0.25">
      <c r="J555" s="87"/>
    </row>
    <row r="556" spans="10:10" ht="15" customHeight="1" x14ac:dyDescent="0.25">
      <c r="J556" s="87"/>
    </row>
    <row r="557" spans="10:10" ht="15" customHeight="1" x14ac:dyDescent="0.25">
      <c r="J557" s="87"/>
    </row>
    <row r="558" spans="10:10" ht="15" customHeight="1" x14ac:dyDescent="0.25">
      <c r="J558" s="87"/>
    </row>
    <row r="559" spans="10:10" ht="15" customHeight="1" x14ac:dyDescent="0.25">
      <c r="J559" s="87"/>
    </row>
    <row r="560" spans="10:10" ht="15" customHeight="1" x14ac:dyDescent="0.25">
      <c r="J560" s="87"/>
    </row>
    <row r="561" spans="10:10" ht="15" customHeight="1" x14ac:dyDescent="0.25">
      <c r="J561" s="87"/>
    </row>
    <row r="562" spans="10:10" ht="15" customHeight="1" x14ac:dyDescent="0.25">
      <c r="J562" s="87"/>
    </row>
    <row r="563" spans="10:10" ht="15" customHeight="1" x14ac:dyDescent="0.25">
      <c r="J563" s="87"/>
    </row>
    <row r="564" spans="10:10" ht="15" customHeight="1" x14ac:dyDescent="0.25">
      <c r="J564" s="87"/>
    </row>
    <row r="565" spans="10:10" ht="15" customHeight="1" x14ac:dyDescent="0.25">
      <c r="J565" s="87"/>
    </row>
    <row r="566" spans="10:10" ht="15" customHeight="1" x14ac:dyDescent="0.25">
      <c r="J566" s="87"/>
    </row>
    <row r="567" spans="10:10" ht="15" customHeight="1" x14ac:dyDescent="0.25">
      <c r="J567" s="87"/>
    </row>
    <row r="568" spans="10:10" ht="15" customHeight="1" x14ac:dyDescent="0.25">
      <c r="J568" s="87"/>
    </row>
    <row r="569" spans="10:10" ht="15" customHeight="1" x14ac:dyDescent="0.25">
      <c r="J569" s="87"/>
    </row>
    <row r="570" spans="10:10" ht="15" customHeight="1" x14ac:dyDescent="0.25">
      <c r="J570" s="87"/>
    </row>
    <row r="571" spans="10:10" ht="15" customHeight="1" x14ac:dyDescent="0.25">
      <c r="J571" s="87"/>
    </row>
    <row r="572" spans="10:10" ht="15" customHeight="1" x14ac:dyDescent="0.25">
      <c r="J572" s="87"/>
    </row>
    <row r="573" spans="10:10" ht="15" customHeight="1" x14ac:dyDescent="0.25">
      <c r="J573" s="87"/>
    </row>
    <row r="574" spans="10:10" ht="15" customHeight="1" x14ac:dyDescent="0.25">
      <c r="J574" s="87"/>
    </row>
    <row r="575" spans="10:10" ht="15" customHeight="1" x14ac:dyDescent="0.25">
      <c r="J575" s="87"/>
    </row>
    <row r="576" spans="10:10" ht="15" customHeight="1" x14ac:dyDescent="0.25">
      <c r="J576" s="87"/>
    </row>
    <row r="577" spans="10:10" ht="15" customHeight="1" x14ac:dyDescent="0.25">
      <c r="J577" s="87"/>
    </row>
    <row r="578" spans="10:10" ht="15" customHeight="1" x14ac:dyDescent="0.25">
      <c r="J578" s="87"/>
    </row>
    <row r="579" spans="10:10" ht="15" customHeight="1" x14ac:dyDescent="0.25">
      <c r="J579" s="87"/>
    </row>
    <row r="580" spans="10:10" ht="15" customHeight="1" x14ac:dyDescent="0.25">
      <c r="J580" s="87"/>
    </row>
    <row r="581" spans="10:10" ht="15" customHeight="1" x14ac:dyDescent="0.25">
      <c r="J581" s="87"/>
    </row>
    <row r="582" spans="10:10" ht="15" customHeight="1" x14ac:dyDescent="0.25">
      <c r="J582" s="87"/>
    </row>
    <row r="583" spans="10:10" ht="15" customHeight="1" x14ac:dyDescent="0.25">
      <c r="J583" s="87"/>
    </row>
    <row r="584" spans="10:10" ht="15" customHeight="1" x14ac:dyDescent="0.25">
      <c r="J584" s="87"/>
    </row>
    <row r="585" spans="10:10" ht="15" customHeight="1" x14ac:dyDescent="0.25">
      <c r="J585" s="87"/>
    </row>
    <row r="586" spans="10:10" ht="15" customHeight="1" x14ac:dyDescent="0.25">
      <c r="J586" s="87"/>
    </row>
    <row r="587" spans="10:10" ht="15" customHeight="1" x14ac:dyDescent="0.25">
      <c r="J587" s="87"/>
    </row>
    <row r="588" spans="10:10" ht="15" customHeight="1" x14ac:dyDescent="0.25">
      <c r="J588" s="87"/>
    </row>
    <row r="589" spans="10:10" ht="15" customHeight="1" x14ac:dyDescent="0.25">
      <c r="J589" s="87"/>
    </row>
    <row r="590" spans="10:10" ht="15" customHeight="1" x14ac:dyDescent="0.25">
      <c r="J590" s="87"/>
    </row>
    <row r="591" spans="10:10" ht="15" customHeight="1" x14ac:dyDescent="0.25">
      <c r="J591" s="87"/>
    </row>
    <row r="592" spans="10:10" ht="15" customHeight="1" x14ac:dyDescent="0.25">
      <c r="J592" s="87"/>
    </row>
    <row r="593" spans="10:10" ht="15" customHeight="1" x14ac:dyDescent="0.25">
      <c r="J593" s="87"/>
    </row>
    <row r="594" spans="10:10" ht="15" customHeight="1" x14ac:dyDescent="0.25">
      <c r="J594" s="87"/>
    </row>
    <row r="595" spans="10:10" ht="15" customHeight="1" x14ac:dyDescent="0.25">
      <c r="J595" s="87"/>
    </row>
    <row r="596" spans="10:10" ht="15" customHeight="1" x14ac:dyDescent="0.25">
      <c r="J596" s="87"/>
    </row>
    <row r="597" spans="10:10" ht="15" customHeight="1" x14ac:dyDescent="0.25">
      <c r="J597" s="87"/>
    </row>
    <row r="598" spans="10:10" ht="15" customHeight="1" x14ac:dyDescent="0.25">
      <c r="J598" s="87"/>
    </row>
    <row r="599" spans="10:10" ht="15" customHeight="1" x14ac:dyDescent="0.25">
      <c r="J599" s="87"/>
    </row>
    <row r="600" spans="10:10" ht="15" customHeight="1" x14ac:dyDescent="0.25">
      <c r="J600" s="87"/>
    </row>
    <row r="601" spans="10:10" ht="15" customHeight="1" x14ac:dyDescent="0.25">
      <c r="J601" s="87"/>
    </row>
    <row r="602" spans="10:10" ht="15" customHeight="1" x14ac:dyDescent="0.25">
      <c r="J602" s="87"/>
    </row>
    <row r="603" spans="10:10" ht="15" customHeight="1" x14ac:dyDescent="0.25">
      <c r="J603" s="87"/>
    </row>
    <row r="604" spans="10:10" ht="15" customHeight="1" x14ac:dyDescent="0.25">
      <c r="J604" s="87"/>
    </row>
    <row r="605" spans="10:10" ht="15" customHeight="1" x14ac:dyDescent="0.25">
      <c r="J605" s="87"/>
    </row>
    <row r="606" spans="10:10" ht="15" customHeight="1" x14ac:dyDescent="0.25">
      <c r="J606" s="87"/>
    </row>
    <row r="607" spans="10:10" ht="15" customHeight="1" x14ac:dyDescent="0.25">
      <c r="J607" s="87"/>
    </row>
    <row r="608" spans="10:10" ht="15" customHeight="1" x14ac:dyDescent="0.25">
      <c r="J608" s="87"/>
    </row>
    <row r="609" spans="10:10" ht="15" customHeight="1" x14ac:dyDescent="0.25">
      <c r="J609" s="87"/>
    </row>
    <row r="610" spans="10:10" ht="15" customHeight="1" x14ac:dyDescent="0.25">
      <c r="J610" s="87"/>
    </row>
    <row r="611" spans="10:10" ht="15" customHeight="1" x14ac:dyDescent="0.25">
      <c r="J611" s="87"/>
    </row>
    <row r="612" spans="10:10" ht="15" customHeight="1" x14ac:dyDescent="0.25">
      <c r="J612" s="87"/>
    </row>
    <row r="613" spans="10:10" ht="15" customHeight="1" x14ac:dyDescent="0.25">
      <c r="J613" s="87"/>
    </row>
    <row r="614" spans="10:10" ht="15" customHeight="1" x14ac:dyDescent="0.25">
      <c r="J614" s="87"/>
    </row>
    <row r="615" spans="10:10" ht="15" customHeight="1" x14ac:dyDescent="0.25">
      <c r="J615" s="87"/>
    </row>
    <row r="616" spans="10:10" ht="15" customHeight="1" x14ac:dyDescent="0.25">
      <c r="J616" s="87"/>
    </row>
    <row r="617" spans="10:10" ht="15" customHeight="1" x14ac:dyDescent="0.25">
      <c r="J617" s="87"/>
    </row>
    <row r="618" spans="10:10" ht="15" customHeight="1" x14ac:dyDescent="0.25">
      <c r="J618" s="87"/>
    </row>
    <row r="619" spans="10:10" ht="15" customHeight="1" x14ac:dyDescent="0.25">
      <c r="J619" s="87"/>
    </row>
    <row r="620" spans="10:10" ht="15" customHeight="1" x14ac:dyDescent="0.25">
      <c r="J620" s="87"/>
    </row>
    <row r="621" spans="10:10" ht="15" customHeight="1" x14ac:dyDescent="0.25">
      <c r="J621" s="87"/>
    </row>
    <row r="622" spans="10:10" ht="15" customHeight="1" x14ac:dyDescent="0.25">
      <c r="J622" s="87"/>
    </row>
    <row r="623" spans="10:10" ht="15" customHeight="1" x14ac:dyDescent="0.25">
      <c r="J623" s="87"/>
    </row>
    <row r="624" spans="10:10" ht="15" customHeight="1" x14ac:dyDescent="0.25">
      <c r="J624" s="87"/>
    </row>
    <row r="625" spans="10:10" ht="15" customHeight="1" x14ac:dyDescent="0.25">
      <c r="J625" s="87"/>
    </row>
    <row r="626" spans="10:10" ht="15" customHeight="1" x14ac:dyDescent="0.25">
      <c r="J626" s="87"/>
    </row>
    <row r="627" spans="10:10" ht="15" customHeight="1" x14ac:dyDescent="0.25">
      <c r="J627" s="87"/>
    </row>
    <row r="628" spans="10:10" ht="15" customHeight="1" x14ac:dyDescent="0.25">
      <c r="J628" s="87"/>
    </row>
    <row r="629" spans="10:10" ht="15" customHeight="1" x14ac:dyDescent="0.25">
      <c r="J629" s="87"/>
    </row>
    <row r="630" spans="10:10" ht="15" customHeight="1" x14ac:dyDescent="0.25">
      <c r="J630" s="87"/>
    </row>
    <row r="631" spans="10:10" ht="15" customHeight="1" x14ac:dyDescent="0.25">
      <c r="J631" s="87"/>
    </row>
    <row r="632" spans="10:10" ht="15" customHeight="1" x14ac:dyDescent="0.25">
      <c r="J632" s="87"/>
    </row>
    <row r="633" spans="10:10" ht="15" customHeight="1" x14ac:dyDescent="0.25">
      <c r="J633" s="87"/>
    </row>
    <row r="634" spans="10:10" ht="15" customHeight="1" x14ac:dyDescent="0.25">
      <c r="J634" s="87"/>
    </row>
    <row r="635" spans="10:10" ht="15" customHeight="1" x14ac:dyDescent="0.25">
      <c r="J635" s="87"/>
    </row>
    <row r="636" spans="10:10" ht="15" customHeight="1" x14ac:dyDescent="0.25">
      <c r="J636" s="87"/>
    </row>
    <row r="637" spans="10:10" ht="15" customHeight="1" x14ac:dyDescent="0.25">
      <c r="J637" s="87"/>
    </row>
    <row r="638" spans="10:10" ht="15" customHeight="1" x14ac:dyDescent="0.25">
      <c r="J638" s="87"/>
    </row>
    <row r="639" spans="10:10" ht="15" customHeight="1" x14ac:dyDescent="0.25">
      <c r="J639" s="87"/>
    </row>
    <row r="640" spans="10:10" ht="15" customHeight="1" x14ac:dyDescent="0.25">
      <c r="J640" s="87"/>
    </row>
    <row r="641" spans="10:10" ht="15" customHeight="1" x14ac:dyDescent="0.25">
      <c r="J641" s="87"/>
    </row>
    <row r="642" spans="10:10" ht="15" customHeight="1" x14ac:dyDescent="0.25">
      <c r="J642" s="87"/>
    </row>
    <row r="643" spans="10:10" ht="15" customHeight="1" x14ac:dyDescent="0.25">
      <c r="J643" s="87"/>
    </row>
    <row r="644" spans="10:10" ht="15" customHeight="1" x14ac:dyDescent="0.25">
      <c r="J644" s="87"/>
    </row>
    <row r="645" spans="10:10" ht="15" customHeight="1" x14ac:dyDescent="0.25">
      <c r="J645" s="87"/>
    </row>
    <row r="646" spans="10:10" ht="15" customHeight="1" x14ac:dyDescent="0.25">
      <c r="J646" s="87"/>
    </row>
    <row r="647" spans="10:10" ht="15" customHeight="1" x14ac:dyDescent="0.25">
      <c r="J647" s="87"/>
    </row>
    <row r="648" spans="10:10" ht="15" customHeight="1" x14ac:dyDescent="0.25">
      <c r="J648" s="87"/>
    </row>
    <row r="649" spans="10:10" ht="15" customHeight="1" x14ac:dyDescent="0.25">
      <c r="J649" s="87"/>
    </row>
    <row r="650" spans="10:10" ht="15" customHeight="1" x14ac:dyDescent="0.25">
      <c r="J650" s="87"/>
    </row>
    <row r="651" spans="10:10" ht="15" customHeight="1" x14ac:dyDescent="0.25">
      <c r="J651" s="87"/>
    </row>
    <row r="652" spans="10:10" ht="15" customHeight="1" x14ac:dyDescent="0.25">
      <c r="J652" s="87"/>
    </row>
    <row r="653" spans="10:10" ht="15" customHeight="1" x14ac:dyDescent="0.25">
      <c r="J653" s="87"/>
    </row>
    <row r="654" spans="10:10" ht="15" customHeight="1" x14ac:dyDescent="0.25">
      <c r="J654" s="87"/>
    </row>
    <row r="655" spans="10:10" ht="15" customHeight="1" x14ac:dyDescent="0.25">
      <c r="J655" s="87"/>
    </row>
    <row r="656" spans="10:10" ht="15" customHeight="1" x14ac:dyDescent="0.25">
      <c r="J656" s="87"/>
    </row>
    <row r="657" spans="10:10" ht="15" customHeight="1" x14ac:dyDescent="0.25">
      <c r="J657" s="87"/>
    </row>
    <row r="658" spans="10:10" ht="15" customHeight="1" x14ac:dyDescent="0.25">
      <c r="J658" s="87"/>
    </row>
    <row r="659" spans="10:10" ht="15" customHeight="1" x14ac:dyDescent="0.25">
      <c r="J659" s="87"/>
    </row>
    <row r="660" spans="10:10" ht="15" customHeight="1" x14ac:dyDescent="0.25">
      <c r="J660" s="87"/>
    </row>
    <row r="661" spans="10:10" ht="15" customHeight="1" x14ac:dyDescent="0.25">
      <c r="J661" s="87"/>
    </row>
    <row r="662" spans="10:10" ht="15" customHeight="1" x14ac:dyDescent="0.25">
      <c r="J662" s="87"/>
    </row>
    <row r="663" spans="10:10" ht="15" customHeight="1" x14ac:dyDescent="0.25">
      <c r="J663" s="87"/>
    </row>
    <row r="664" spans="10:10" ht="15" customHeight="1" x14ac:dyDescent="0.25">
      <c r="J664" s="87"/>
    </row>
    <row r="665" spans="10:10" ht="15" customHeight="1" x14ac:dyDescent="0.25">
      <c r="J665" s="87"/>
    </row>
    <row r="666" spans="10:10" ht="15" customHeight="1" x14ac:dyDescent="0.25">
      <c r="J666" s="87"/>
    </row>
    <row r="667" spans="10:10" ht="15" customHeight="1" x14ac:dyDescent="0.25">
      <c r="J667" s="87"/>
    </row>
    <row r="668" spans="10:10" ht="15" customHeight="1" x14ac:dyDescent="0.25">
      <c r="J668" s="87"/>
    </row>
    <row r="669" spans="10:10" ht="15" customHeight="1" x14ac:dyDescent="0.25">
      <c r="J669" s="87"/>
    </row>
    <row r="670" spans="10:10" ht="15" customHeight="1" x14ac:dyDescent="0.25">
      <c r="J670" s="87"/>
    </row>
    <row r="671" spans="10:10" ht="15" customHeight="1" x14ac:dyDescent="0.25">
      <c r="J671" s="87"/>
    </row>
    <row r="672" spans="10:10" ht="15" customHeight="1" x14ac:dyDescent="0.25">
      <c r="J672" s="87"/>
    </row>
    <row r="673" spans="10:10" ht="15" customHeight="1" x14ac:dyDescent="0.25">
      <c r="J673" s="87"/>
    </row>
    <row r="674" spans="10:10" ht="15" customHeight="1" x14ac:dyDescent="0.25">
      <c r="J674" s="87"/>
    </row>
    <row r="675" spans="10:10" ht="15" customHeight="1" x14ac:dyDescent="0.25">
      <c r="J675" s="87"/>
    </row>
    <row r="676" spans="10:10" ht="15" customHeight="1" x14ac:dyDescent="0.25">
      <c r="J676" s="87"/>
    </row>
    <row r="677" spans="10:10" ht="15" customHeight="1" x14ac:dyDescent="0.25">
      <c r="J677" s="87"/>
    </row>
    <row r="678" spans="10:10" ht="15" customHeight="1" x14ac:dyDescent="0.25">
      <c r="J678" s="87"/>
    </row>
    <row r="679" spans="10:10" ht="15" customHeight="1" x14ac:dyDescent="0.25">
      <c r="J679" s="87"/>
    </row>
    <row r="680" spans="10:10" ht="15" customHeight="1" x14ac:dyDescent="0.25">
      <c r="J680" s="87"/>
    </row>
    <row r="681" spans="10:10" ht="15" customHeight="1" x14ac:dyDescent="0.25">
      <c r="J681" s="87"/>
    </row>
    <row r="682" spans="10:10" ht="15" customHeight="1" x14ac:dyDescent="0.25">
      <c r="J682" s="87"/>
    </row>
    <row r="683" spans="10:10" ht="15" customHeight="1" x14ac:dyDescent="0.25">
      <c r="J683" s="87"/>
    </row>
    <row r="684" spans="10:10" ht="15" customHeight="1" x14ac:dyDescent="0.25">
      <c r="J684" s="87"/>
    </row>
    <row r="685" spans="10:10" ht="15" customHeight="1" x14ac:dyDescent="0.25">
      <c r="J685" s="87"/>
    </row>
    <row r="686" spans="10:10" ht="15" customHeight="1" x14ac:dyDescent="0.25">
      <c r="J686" s="87"/>
    </row>
    <row r="687" spans="10:10" ht="15" customHeight="1" x14ac:dyDescent="0.25">
      <c r="J687" s="87"/>
    </row>
    <row r="688" spans="10:10" ht="15" customHeight="1" x14ac:dyDescent="0.25">
      <c r="J688" s="87"/>
    </row>
    <row r="689" spans="10:10" ht="15" customHeight="1" x14ac:dyDescent="0.25">
      <c r="J689" s="87"/>
    </row>
    <row r="690" spans="10:10" ht="15" customHeight="1" x14ac:dyDescent="0.25">
      <c r="J690" s="87"/>
    </row>
    <row r="691" spans="10:10" ht="15" customHeight="1" x14ac:dyDescent="0.25">
      <c r="J691" s="87"/>
    </row>
    <row r="692" spans="10:10" ht="15" customHeight="1" x14ac:dyDescent="0.25">
      <c r="J692" s="87"/>
    </row>
    <row r="693" spans="10:10" ht="15" customHeight="1" x14ac:dyDescent="0.25">
      <c r="J693" s="87"/>
    </row>
    <row r="694" spans="10:10" ht="15" customHeight="1" x14ac:dyDescent="0.25">
      <c r="J694" s="87"/>
    </row>
    <row r="695" spans="10:10" ht="15" customHeight="1" x14ac:dyDescent="0.25">
      <c r="J695" s="87"/>
    </row>
    <row r="696" spans="10:10" ht="15" customHeight="1" x14ac:dyDescent="0.25">
      <c r="J696" s="87"/>
    </row>
    <row r="697" spans="10:10" ht="15" customHeight="1" x14ac:dyDescent="0.25">
      <c r="J697" s="87"/>
    </row>
    <row r="698" spans="10:10" ht="15" customHeight="1" x14ac:dyDescent="0.25">
      <c r="J698" s="87"/>
    </row>
    <row r="699" spans="10:10" ht="15" customHeight="1" x14ac:dyDescent="0.25">
      <c r="J699" s="87"/>
    </row>
    <row r="700" spans="10:10" ht="15" customHeight="1" x14ac:dyDescent="0.25">
      <c r="J700" s="87"/>
    </row>
    <row r="701" spans="10:10" ht="15" customHeight="1" x14ac:dyDescent="0.25">
      <c r="J701" s="87"/>
    </row>
    <row r="702" spans="10:10" ht="15" customHeight="1" x14ac:dyDescent="0.25">
      <c r="J702" s="87"/>
    </row>
    <row r="703" spans="10:10" ht="15" customHeight="1" x14ac:dyDescent="0.25">
      <c r="J703" s="87"/>
    </row>
    <row r="704" spans="10:10" ht="15" customHeight="1" x14ac:dyDescent="0.25">
      <c r="J704" s="87"/>
    </row>
    <row r="705" spans="10:10" ht="15" customHeight="1" x14ac:dyDescent="0.25">
      <c r="J705" s="87"/>
    </row>
    <row r="706" spans="10:10" ht="15" customHeight="1" x14ac:dyDescent="0.25">
      <c r="J706" s="87"/>
    </row>
    <row r="707" spans="10:10" ht="15" customHeight="1" x14ac:dyDescent="0.25">
      <c r="J707" s="87"/>
    </row>
    <row r="708" spans="10:10" ht="15" customHeight="1" x14ac:dyDescent="0.25">
      <c r="J708" s="87"/>
    </row>
    <row r="709" spans="10:10" ht="15" customHeight="1" x14ac:dyDescent="0.25">
      <c r="J709" s="87"/>
    </row>
    <row r="710" spans="10:10" ht="15" customHeight="1" x14ac:dyDescent="0.25">
      <c r="J710" s="87"/>
    </row>
    <row r="711" spans="10:10" ht="15" customHeight="1" x14ac:dyDescent="0.25">
      <c r="J711" s="87"/>
    </row>
    <row r="712" spans="10:10" ht="15" customHeight="1" x14ac:dyDescent="0.25">
      <c r="J712" s="87"/>
    </row>
    <row r="713" spans="10:10" ht="15" customHeight="1" x14ac:dyDescent="0.25">
      <c r="J713" s="87"/>
    </row>
    <row r="714" spans="10:10" ht="15" customHeight="1" x14ac:dyDescent="0.25">
      <c r="J714" s="87"/>
    </row>
    <row r="715" spans="10:10" ht="15" customHeight="1" x14ac:dyDescent="0.25">
      <c r="J715" s="87"/>
    </row>
    <row r="716" spans="10:10" ht="15" customHeight="1" x14ac:dyDescent="0.25">
      <c r="J716" s="87"/>
    </row>
    <row r="717" spans="10:10" ht="15" customHeight="1" x14ac:dyDescent="0.25">
      <c r="J717" s="87"/>
    </row>
    <row r="718" spans="10:10" ht="15" customHeight="1" x14ac:dyDescent="0.25">
      <c r="J718" s="87"/>
    </row>
    <row r="719" spans="10:10" ht="15" customHeight="1" x14ac:dyDescent="0.25">
      <c r="J719" s="87"/>
    </row>
    <row r="720" spans="10:10" ht="15" customHeight="1" x14ac:dyDescent="0.25">
      <c r="J720" s="87"/>
    </row>
    <row r="721" spans="10:10" ht="15" customHeight="1" x14ac:dyDescent="0.25">
      <c r="J721" s="87"/>
    </row>
    <row r="722" spans="10:10" ht="15" customHeight="1" x14ac:dyDescent="0.25">
      <c r="J722" s="87"/>
    </row>
    <row r="723" spans="10:10" ht="15" customHeight="1" x14ac:dyDescent="0.25">
      <c r="J723" s="87"/>
    </row>
    <row r="724" spans="10:10" ht="15" customHeight="1" x14ac:dyDescent="0.25">
      <c r="J724" s="87"/>
    </row>
    <row r="725" spans="10:10" ht="15" customHeight="1" x14ac:dyDescent="0.25">
      <c r="J725" s="87"/>
    </row>
    <row r="726" spans="10:10" ht="15" customHeight="1" x14ac:dyDescent="0.25">
      <c r="J726" s="87"/>
    </row>
    <row r="727" spans="10:10" ht="15" customHeight="1" x14ac:dyDescent="0.25">
      <c r="J727" s="87"/>
    </row>
    <row r="728" spans="10:10" ht="15" customHeight="1" x14ac:dyDescent="0.25">
      <c r="J728" s="87"/>
    </row>
    <row r="729" spans="10:10" ht="15" customHeight="1" x14ac:dyDescent="0.25">
      <c r="J729" s="87"/>
    </row>
    <row r="730" spans="10:10" ht="15" customHeight="1" x14ac:dyDescent="0.25">
      <c r="J730" s="87"/>
    </row>
    <row r="731" spans="10:10" ht="15" customHeight="1" x14ac:dyDescent="0.25">
      <c r="J731" s="87"/>
    </row>
    <row r="732" spans="10:10" ht="15" customHeight="1" x14ac:dyDescent="0.25">
      <c r="J732" s="87"/>
    </row>
    <row r="733" spans="10:10" ht="15" customHeight="1" x14ac:dyDescent="0.25">
      <c r="J733" s="87"/>
    </row>
    <row r="734" spans="10:10" ht="15" customHeight="1" x14ac:dyDescent="0.25">
      <c r="J734" s="87"/>
    </row>
    <row r="735" spans="10:10" ht="15" customHeight="1" x14ac:dyDescent="0.25">
      <c r="J735" s="87"/>
    </row>
    <row r="736" spans="10:10" ht="15" customHeight="1" x14ac:dyDescent="0.25">
      <c r="J736" s="87"/>
    </row>
    <row r="737" spans="10:10" ht="15" customHeight="1" x14ac:dyDescent="0.25">
      <c r="J737" s="87"/>
    </row>
    <row r="738" spans="10:10" ht="15" customHeight="1" x14ac:dyDescent="0.25">
      <c r="J738" s="87"/>
    </row>
    <row r="739" spans="10:10" ht="15" customHeight="1" x14ac:dyDescent="0.25">
      <c r="J739" s="87"/>
    </row>
    <row r="740" spans="10:10" ht="15" customHeight="1" x14ac:dyDescent="0.25">
      <c r="J740" s="87"/>
    </row>
    <row r="741" spans="10:10" ht="15" customHeight="1" x14ac:dyDescent="0.25">
      <c r="J741" s="87"/>
    </row>
    <row r="742" spans="10:10" ht="15" customHeight="1" x14ac:dyDescent="0.25">
      <c r="J742" s="87"/>
    </row>
    <row r="743" spans="10:10" ht="15" customHeight="1" x14ac:dyDescent="0.25">
      <c r="J743" s="87"/>
    </row>
    <row r="744" spans="10:10" ht="15" customHeight="1" x14ac:dyDescent="0.25">
      <c r="J744" s="87"/>
    </row>
    <row r="745" spans="10:10" ht="15" customHeight="1" x14ac:dyDescent="0.25">
      <c r="J745" s="87"/>
    </row>
    <row r="746" spans="10:10" ht="15" customHeight="1" x14ac:dyDescent="0.25">
      <c r="J746" s="87"/>
    </row>
    <row r="747" spans="10:10" ht="15" customHeight="1" x14ac:dyDescent="0.25">
      <c r="J747" s="87"/>
    </row>
    <row r="748" spans="10:10" ht="15" customHeight="1" x14ac:dyDescent="0.25">
      <c r="J748" s="87"/>
    </row>
    <row r="749" spans="10:10" ht="15" customHeight="1" x14ac:dyDescent="0.25">
      <c r="J749" s="87"/>
    </row>
    <row r="750" spans="10:10" ht="15" customHeight="1" x14ac:dyDescent="0.25">
      <c r="J750" s="87"/>
    </row>
    <row r="751" spans="10:10" ht="15" customHeight="1" x14ac:dyDescent="0.25">
      <c r="J751" s="87"/>
    </row>
    <row r="752" spans="10:10" ht="15" customHeight="1" x14ac:dyDescent="0.25">
      <c r="J752" s="87"/>
    </row>
    <row r="753" spans="10:10" ht="15" customHeight="1" x14ac:dyDescent="0.25">
      <c r="J753" s="87"/>
    </row>
    <row r="754" spans="10:10" ht="15" customHeight="1" x14ac:dyDescent="0.25">
      <c r="J754" s="87"/>
    </row>
    <row r="755" spans="10:10" ht="15" customHeight="1" x14ac:dyDescent="0.25">
      <c r="J755" s="87"/>
    </row>
    <row r="756" spans="10:10" ht="15" customHeight="1" x14ac:dyDescent="0.25">
      <c r="J756" s="87"/>
    </row>
    <row r="757" spans="10:10" ht="15" customHeight="1" x14ac:dyDescent="0.25">
      <c r="J757" s="87"/>
    </row>
    <row r="758" spans="10:10" ht="15" customHeight="1" x14ac:dyDescent="0.25">
      <c r="J758" s="87"/>
    </row>
    <row r="759" spans="10:10" ht="15" customHeight="1" x14ac:dyDescent="0.25">
      <c r="J759" s="87"/>
    </row>
    <row r="760" spans="10:10" ht="15" customHeight="1" x14ac:dyDescent="0.25">
      <c r="J760" s="87"/>
    </row>
    <row r="761" spans="10:10" ht="15" customHeight="1" x14ac:dyDescent="0.25">
      <c r="J761" s="87"/>
    </row>
    <row r="762" spans="10:10" ht="15" customHeight="1" x14ac:dyDescent="0.25">
      <c r="J762" s="87"/>
    </row>
    <row r="763" spans="10:10" ht="15" customHeight="1" x14ac:dyDescent="0.25">
      <c r="J763" s="87"/>
    </row>
    <row r="764" spans="10:10" ht="15" customHeight="1" x14ac:dyDescent="0.25">
      <c r="J764" s="87"/>
    </row>
    <row r="765" spans="10:10" ht="15" customHeight="1" x14ac:dyDescent="0.25">
      <c r="J765" s="87"/>
    </row>
    <row r="766" spans="10:10" ht="15" customHeight="1" x14ac:dyDescent="0.25">
      <c r="J766" s="87"/>
    </row>
    <row r="767" spans="10:10" ht="15" customHeight="1" x14ac:dyDescent="0.25">
      <c r="J767" s="87"/>
    </row>
    <row r="768" spans="10:10" ht="15" customHeight="1" x14ac:dyDescent="0.25">
      <c r="J768" s="87"/>
    </row>
    <row r="769" spans="10:10" ht="15" customHeight="1" x14ac:dyDescent="0.25">
      <c r="J769" s="87"/>
    </row>
    <row r="770" spans="10:10" ht="15" customHeight="1" x14ac:dyDescent="0.25">
      <c r="J770" s="87"/>
    </row>
    <row r="771" spans="10:10" ht="15" customHeight="1" x14ac:dyDescent="0.25">
      <c r="J771" s="87"/>
    </row>
    <row r="772" spans="10:10" ht="15" customHeight="1" x14ac:dyDescent="0.25">
      <c r="J772" s="87"/>
    </row>
    <row r="773" spans="10:10" ht="15" customHeight="1" x14ac:dyDescent="0.25">
      <c r="J773" s="87"/>
    </row>
    <row r="774" spans="10:10" ht="15" customHeight="1" x14ac:dyDescent="0.25">
      <c r="J774" s="87"/>
    </row>
    <row r="775" spans="10:10" ht="15" customHeight="1" x14ac:dyDescent="0.25">
      <c r="J775" s="87"/>
    </row>
    <row r="776" spans="10:10" ht="15" customHeight="1" x14ac:dyDescent="0.25">
      <c r="J776" s="87"/>
    </row>
    <row r="777" spans="10:10" ht="15" customHeight="1" x14ac:dyDescent="0.25">
      <c r="J777" s="87"/>
    </row>
    <row r="778" spans="10:10" ht="15" customHeight="1" x14ac:dyDescent="0.25">
      <c r="J778" s="87"/>
    </row>
    <row r="779" spans="10:10" ht="15" customHeight="1" x14ac:dyDescent="0.25">
      <c r="J779" s="87"/>
    </row>
    <row r="780" spans="10:10" ht="15" customHeight="1" x14ac:dyDescent="0.25">
      <c r="J780" s="87"/>
    </row>
    <row r="781" spans="10:10" ht="15" customHeight="1" x14ac:dyDescent="0.25">
      <c r="J781" s="87"/>
    </row>
    <row r="782" spans="10:10" ht="15" customHeight="1" x14ac:dyDescent="0.25">
      <c r="J782" s="87"/>
    </row>
    <row r="783" spans="10:10" ht="15" customHeight="1" x14ac:dyDescent="0.25">
      <c r="J783" s="87"/>
    </row>
    <row r="784" spans="10:10" ht="15" customHeight="1" x14ac:dyDescent="0.25">
      <c r="J784" s="87"/>
    </row>
    <row r="785" spans="10:10" ht="15" customHeight="1" x14ac:dyDescent="0.25">
      <c r="J785" s="87"/>
    </row>
    <row r="786" spans="10:10" ht="15" customHeight="1" x14ac:dyDescent="0.25">
      <c r="J786" s="87"/>
    </row>
    <row r="787" spans="10:10" ht="15" customHeight="1" x14ac:dyDescent="0.25">
      <c r="J787" s="87"/>
    </row>
    <row r="788" spans="10:10" ht="15" customHeight="1" x14ac:dyDescent="0.25">
      <c r="J788" s="87"/>
    </row>
    <row r="789" spans="10:10" ht="15" customHeight="1" x14ac:dyDescent="0.25">
      <c r="J789" s="87"/>
    </row>
    <row r="790" spans="10:10" ht="15" customHeight="1" x14ac:dyDescent="0.25">
      <c r="J790" s="87"/>
    </row>
    <row r="791" spans="10:10" ht="15" customHeight="1" x14ac:dyDescent="0.25">
      <c r="J791" s="87"/>
    </row>
    <row r="792" spans="10:10" ht="15" customHeight="1" x14ac:dyDescent="0.25">
      <c r="J792" s="87"/>
    </row>
    <row r="793" spans="10:10" ht="15" customHeight="1" x14ac:dyDescent="0.25">
      <c r="J793" s="87"/>
    </row>
    <row r="794" spans="10:10" ht="15" customHeight="1" x14ac:dyDescent="0.25">
      <c r="J794" s="87"/>
    </row>
    <row r="795" spans="10:10" ht="15" customHeight="1" x14ac:dyDescent="0.25">
      <c r="J795" s="87"/>
    </row>
    <row r="796" spans="10:10" ht="15" customHeight="1" x14ac:dyDescent="0.25">
      <c r="J796" s="87"/>
    </row>
    <row r="797" spans="10:10" ht="15" customHeight="1" x14ac:dyDescent="0.25">
      <c r="J797" s="87"/>
    </row>
    <row r="798" spans="10:10" ht="15" customHeight="1" x14ac:dyDescent="0.25">
      <c r="J798" s="87"/>
    </row>
    <row r="799" spans="10:10" ht="15" customHeight="1" x14ac:dyDescent="0.25">
      <c r="J799" s="87"/>
    </row>
    <row r="800" spans="10:10" ht="15" customHeight="1" x14ac:dyDescent="0.25">
      <c r="J800" s="87"/>
    </row>
    <row r="801" spans="10:10" ht="15" customHeight="1" x14ac:dyDescent="0.25">
      <c r="J801" s="87"/>
    </row>
    <row r="802" spans="10:10" ht="15" customHeight="1" x14ac:dyDescent="0.25">
      <c r="J802" s="87"/>
    </row>
    <row r="803" spans="10:10" ht="15" customHeight="1" x14ac:dyDescent="0.25">
      <c r="J803" s="87"/>
    </row>
    <row r="804" spans="10:10" ht="15" customHeight="1" x14ac:dyDescent="0.25">
      <c r="J804" s="87"/>
    </row>
    <row r="805" spans="10:10" ht="15" customHeight="1" x14ac:dyDescent="0.25">
      <c r="J805" s="87"/>
    </row>
    <row r="806" spans="10:10" ht="15" customHeight="1" x14ac:dyDescent="0.25">
      <c r="J806" s="87"/>
    </row>
    <row r="807" spans="10:10" ht="15" customHeight="1" x14ac:dyDescent="0.25">
      <c r="J807" s="87"/>
    </row>
    <row r="808" spans="10:10" ht="15" customHeight="1" x14ac:dyDescent="0.25">
      <c r="J808" s="87"/>
    </row>
    <row r="809" spans="10:10" ht="15" customHeight="1" x14ac:dyDescent="0.25">
      <c r="J809" s="87"/>
    </row>
    <row r="810" spans="10:10" ht="15" customHeight="1" x14ac:dyDescent="0.25">
      <c r="J810" s="87"/>
    </row>
    <row r="811" spans="10:10" ht="15" customHeight="1" x14ac:dyDescent="0.25">
      <c r="J811" s="87"/>
    </row>
    <row r="812" spans="10:10" ht="15" customHeight="1" x14ac:dyDescent="0.25">
      <c r="J812" s="87"/>
    </row>
    <row r="813" spans="10:10" ht="15" customHeight="1" x14ac:dyDescent="0.25">
      <c r="J813" s="87"/>
    </row>
    <row r="814" spans="10:10" ht="15" customHeight="1" x14ac:dyDescent="0.25">
      <c r="J814" s="87"/>
    </row>
    <row r="815" spans="10:10" ht="15" customHeight="1" x14ac:dyDescent="0.25">
      <c r="J815" s="87"/>
    </row>
    <row r="816" spans="10:10" ht="15" customHeight="1" x14ac:dyDescent="0.25">
      <c r="J816" s="87"/>
    </row>
    <row r="817" spans="10:10" ht="15" customHeight="1" x14ac:dyDescent="0.25">
      <c r="J817" s="87"/>
    </row>
    <row r="818" spans="10:10" ht="15" customHeight="1" x14ac:dyDescent="0.25">
      <c r="J818" s="87"/>
    </row>
    <row r="819" spans="10:10" ht="15" customHeight="1" x14ac:dyDescent="0.25">
      <c r="J819" s="87"/>
    </row>
    <row r="820" spans="10:10" ht="15" customHeight="1" x14ac:dyDescent="0.25">
      <c r="J820" s="87"/>
    </row>
    <row r="821" spans="10:10" ht="15" customHeight="1" x14ac:dyDescent="0.25">
      <c r="J821" s="87"/>
    </row>
    <row r="822" spans="10:10" ht="15" customHeight="1" x14ac:dyDescent="0.25">
      <c r="J822" s="87"/>
    </row>
    <row r="823" spans="10:10" ht="15" customHeight="1" x14ac:dyDescent="0.25">
      <c r="J823" s="87"/>
    </row>
    <row r="824" spans="10:10" ht="15" customHeight="1" x14ac:dyDescent="0.25">
      <c r="J824" s="87"/>
    </row>
    <row r="825" spans="10:10" ht="15" customHeight="1" x14ac:dyDescent="0.25">
      <c r="J825" s="87"/>
    </row>
    <row r="826" spans="10:10" ht="15" customHeight="1" x14ac:dyDescent="0.25">
      <c r="J826" s="87"/>
    </row>
    <row r="827" spans="10:10" ht="15" customHeight="1" x14ac:dyDescent="0.25">
      <c r="J827" s="87"/>
    </row>
    <row r="828" spans="10:10" ht="15" customHeight="1" x14ac:dyDescent="0.25">
      <c r="J828" s="87"/>
    </row>
    <row r="829" spans="10:10" ht="15" customHeight="1" x14ac:dyDescent="0.25">
      <c r="J829" s="87"/>
    </row>
    <row r="830" spans="10:10" ht="15" customHeight="1" x14ac:dyDescent="0.25">
      <c r="J830" s="87"/>
    </row>
    <row r="831" spans="10:10" ht="15" customHeight="1" x14ac:dyDescent="0.25">
      <c r="J831" s="87"/>
    </row>
    <row r="832" spans="10:10" ht="15" customHeight="1" x14ac:dyDescent="0.25">
      <c r="J832" s="87"/>
    </row>
    <row r="833" spans="10:10" ht="15" customHeight="1" x14ac:dyDescent="0.25">
      <c r="J833" s="87"/>
    </row>
    <row r="834" spans="10:10" ht="15" customHeight="1" x14ac:dyDescent="0.25">
      <c r="J834" s="87"/>
    </row>
    <row r="835" spans="10:10" ht="15" customHeight="1" x14ac:dyDescent="0.25">
      <c r="J835" s="87"/>
    </row>
    <row r="836" spans="10:10" ht="15" customHeight="1" x14ac:dyDescent="0.25">
      <c r="J836" s="87"/>
    </row>
    <row r="837" spans="10:10" ht="15" customHeight="1" x14ac:dyDescent="0.25">
      <c r="J837" s="87"/>
    </row>
    <row r="838" spans="10:10" ht="15" customHeight="1" x14ac:dyDescent="0.25">
      <c r="J838" s="87"/>
    </row>
    <row r="839" spans="10:10" ht="15" customHeight="1" x14ac:dyDescent="0.25">
      <c r="J839" s="87"/>
    </row>
    <row r="840" spans="10:10" ht="15" customHeight="1" x14ac:dyDescent="0.25">
      <c r="J840" s="87"/>
    </row>
    <row r="841" spans="10:10" ht="15" customHeight="1" x14ac:dyDescent="0.25">
      <c r="J841" s="87"/>
    </row>
    <row r="842" spans="10:10" ht="15" customHeight="1" x14ac:dyDescent="0.25">
      <c r="J842" s="87"/>
    </row>
    <row r="843" spans="10:10" ht="15" customHeight="1" x14ac:dyDescent="0.25">
      <c r="J843" s="87"/>
    </row>
    <row r="844" spans="10:10" ht="15" customHeight="1" x14ac:dyDescent="0.25">
      <c r="J844" s="87"/>
    </row>
    <row r="845" spans="10:10" ht="15" customHeight="1" x14ac:dyDescent="0.25">
      <c r="J845" s="87"/>
    </row>
    <row r="846" spans="10:10" ht="15" customHeight="1" x14ac:dyDescent="0.25">
      <c r="J846" s="87"/>
    </row>
    <row r="847" spans="10:10" ht="15" customHeight="1" x14ac:dyDescent="0.25">
      <c r="J847" s="87"/>
    </row>
    <row r="848" spans="10:10" ht="15" customHeight="1" x14ac:dyDescent="0.25">
      <c r="J848" s="87"/>
    </row>
    <row r="849" spans="10:10" ht="15" customHeight="1" x14ac:dyDescent="0.25">
      <c r="J849" s="87"/>
    </row>
    <row r="850" spans="10:10" ht="15" customHeight="1" x14ac:dyDescent="0.25">
      <c r="J850" s="87"/>
    </row>
    <row r="851" spans="10:10" ht="15" customHeight="1" x14ac:dyDescent="0.25">
      <c r="J851" s="87"/>
    </row>
    <row r="852" spans="10:10" ht="15" customHeight="1" x14ac:dyDescent="0.25">
      <c r="J852" s="87"/>
    </row>
    <row r="853" spans="10:10" ht="15" customHeight="1" x14ac:dyDescent="0.25">
      <c r="J853" s="87"/>
    </row>
    <row r="854" spans="10:10" ht="15" customHeight="1" x14ac:dyDescent="0.25">
      <c r="J854" s="87"/>
    </row>
    <row r="855" spans="10:10" ht="15" customHeight="1" x14ac:dyDescent="0.25">
      <c r="J855" s="87"/>
    </row>
    <row r="856" spans="10:10" ht="15" customHeight="1" x14ac:dyDescent="0.25">
      <c r="J856" s="87"/>
    </row>
    <row r="857" spans="10:10" ht="15" customHeight="1" x14ac:dyDescent="0.25">
      <c r="J857" s="87"/>
    </row>
    <row r="858" spans="10:10" ht="15" customHeight="1" x14ac:dyDescent="0.25">
      <c r="J858" s="87"/>
    </row>
    <row r="859" spans="10:10" ht="15" customHeight="1" x14ac:dyDescent="0.25">
      <c r="J859" s="87"/>
    </row>
    <row r="860" spans="10:10" ht="15" customHeight="1" x14ac:dyDescent="0.25">
      <c r="J860" s="87"/>
    </row>
    <row r="861" spans="10:10" ht="15" customHeight="1" x14ac:dyDescent="0.25">
      <c r="J861" s="87"/>
    </row>
    <row r="862" spans="10:10" ht="15" customHeight="1" x14ac:dyDescent="0.25">
      <c r="J862" s="87"/>
    </row>
    <row r="863" spans="10:10" ht="15" customHeight="1" x14ac:dyDescent="0.25">
      <c r="J863" s="87"/>
    </row>
    <row r="864" spans="10:10" ht="15" customHeight="1" x14ac:dyDescent="0.25">
      <c r="J864" s="87"/>
    </row>
    <row r="865" spans="10:10" ht="15" customHeight="1" x14ac:dyDescent="0.25">
      <c r="J865" s="87"/>
    </row>
    <row r="866" spans="10:10" ht="15" customHeight="1" x14ac:dyDescent="0.25">
      <c r="J866" s="87"/>
    </row>
    <row r="867" spans="10:10" ht="15" customHeight="1" x14ac:dyDescent="0.25">
      <c r="J867" s="87"/>
    </row>
    <row r="868" spans="10:10" ht="15" customHeight="1" x14ac:dyDescent="0.25">
      <c r="J868" s="87"/>
    </row>
    <row r="869" spans="10:10" ht="15" customHeight="1" x14ac:dyDescent="0.25">
      <c r="J869" s="87"/>
    </row>
    <row r="870" spans="10:10" ht="15" customHeight="1" x14ac:dyDescent="0.25">
      <c r="J870" s="87"/>
    </row>
    <row r="871" spans="10:10" ht="15" customHeight="1" x14ac:dyDescent="0.25">
      <c r="J871" s="87"/>
    </row>
    <row r="872" spans="10:10" ht="15" customHeight="1" x14ac:dyDescent="0.25">
      <c r="J872" s="87"/>
    </row>
    <row r="873" spans="10:10" ht="15" customHeight="1" x14ac:dyDescent="0.25">
      <c r="J873" s="87"/>
    </row>
    <row r="874" spans="10:10" ht="15" customHeight="1" x14ac:dyDescent="0.25">
      <c r="J874" s="87"/>
    </row>
    <row r="875" spans="10:10" ht="15" customHeight="1" x14ac:dyDescent="0.25">
      <c r="J875" s="87"/>
    </row>
    <row r="876" spans="10:10" ht="15" customHeight="1" x14ac:dyDescent="0.25">
      <c r="J876" s="87"/>
    </row>
    <row r="877" spans="10:10" ht="15" customHeight="1" x14ac:dyDescent="0.25">
      <c r="J877" s="87"/>
    </row>
    <row r="878" spans="10:10" ht="15" customHeight="1" x14ac:dyDescent="0.25">
      <c r="J878" s="87"/>
    </row>
    <row r="879" spans="10:10" ht="15" customHeight="1" x14ac:dyDescent="0.25">
      <c r="J879" s="87"/>
    </row>
    <row r="880" spans="10:10" ht="15" customHeight="1" x14ac:dyDescent="0.25">
      <c r="J880" s="87"/>
    </row>
    <row r="881" spans="10:10" ht="15" customHeight="1" x14ac:dyDescent="0.25">
      <c r="J881" s="87"/>
    </row>
    <row r="882" spans="10:10" ht="15" customHeight="1" x14ac:dyDescent="0.25">
      <c r="J882" s="87"/>
    </row>
    <row r="883" spans="10:10" ht="15" customHeight="1" x14ac:dyDescent="0.25">
      <c r="J883" s="87"/>
    </row>
    <row r="884" spans="10:10" ht="15" customHeight="1" x14ac:dyDescent="0.25">
      <c r="J884" s="87"/>
    </row>
    <row r="885" spans="10:10" ht="15" customHeight="1" x14ac:dyDescent="0.25">
      <c r="J885" s="87"/>
    </row>
    <row r="886" spans="10:10" ht="15" customHeight="1" x14ac:dyDescent="0.25">
      <c r="J886" s="87"/>
    </row>
    <row r="887" spans="10:10" ht="15" customHeight="1" x14ac:dyDescent="0.25">
      <c r="J887" s="87"/>
    </row>
    <row r="888" spans="10:10" ht="15" customHeight="1" x14ac:dyDescent="0.25">
      <c r="J888" s="87"/>
    </row>
    <row r="889" spans="10:10" ht="15" customHeight="1" x14ac:dyDescent="0.25">
      <c r="J889" s="87"/>
    </row>
    <row r="890" spans="10:10" ht="15" customHeight="1" x14ac:dyDescent="0.25">
      <c r="J890" s="87"/>
    </row>
    <row r="891" spans="10:10" ht="15" customHeight="1" x14ac:dyDescent="0.25">
      <c r="J891" s="87"/>
    </row>
    <row r="892" spans="10:10" ht="15" customHeight="1" x14ac:dyDescent="0.25">
      <c r="J892" s="87"/>
    </row>
    <row r="893" spans="10:10" ht="15" customHeight="1" x14ac:dyDescent="0.25">
      <c r="J893" s="87"/>
    </row>
    <row r="894" spans="10:10" ht="15" customHeight="1" x14ac:dyDescent="0.25">
      <c r="J894" s="87"/>
    </row>
    <row r="895" spans="10:10" ht="15" customHeight="1" x14ac:dyDescent="0.25">
      <c r="J895" s="87"/>
    </row>
    <row r="896" spans="10:10" ht="15" customHeight="1" x14ac:dyDescent="0.25">
      <c r="J896" s="87"/>
    </row>
    <row r="897" spans="10:10" ht="15" customHeight="1" x14ac:dyDescent="0.25">
      <c r="J897" s="87"/>
    </row>
    <row r="898" spans="10:10" ht="15" customHeight="1" x14ac:dyDescent="0.25">
      <c r="J898" s="87"/>
    </row>
    <row r="899" spans="10:10" ht="15" customHeight="1" x14ac:dyDescent="0.25">
      <c r="J899" s="87"/>
    </row>
    <row r="900" spans="10:10" ht="15" customHeight="1" x14ac:dyDescent="0.25">
      <c r="J900" s="87"/>
    </row>
    <row r="901" spans="10:10" ht="15" customHeight="1" x14ac:dyDescent="0.25">
      <c r="J901" s="87"/>
    </row>
    <row r="902" spans="10:10" ht="15" customHeight="1" x14ac:dyDescent="0.25">
      <c r="J902" s="87"/>
    </row>
    <row r="903" spans="10:10" ht="15" customHeight="1" x14ac:dyDescent="0.25">
      <c r="J903" s="87"/>
    </row>
    <row r="904" spans="10:10" ht="15" customHeight="1" x14ac:dyDescent="0.25">
      <c r="J904" s="87"/>
    </row>
    <row r="905" spans="10:10" ht="15" customHeight="1" x14ac:dyDescent="0.25">
      <c r="J905" s="87"/>
    </row>
    <row r="906" spans="10:10" ht="15" customHeight="1" x14ac:dyDescent="0.25">
      <c r="J906" s="87"/>
    </row>
    <row r="907" spans="10:10" ht="15" customHeight="1" x14ac:dyDescent="0.25">
      <c r="J907" s="87"/>
    </row>
    <row r="908" spans="10:10" ht="15" customHeight="1" x14ac:dyDescent="0.25">
      <c r="J908" s="87"/>
    </row>
    <row r="909" spans="10:10" ht="15" customHeight="1" x14ac:dyDescent="0.25">
      <c r="J909" s="87"/>
    </row>
    <row r="910" spans="10:10" ht="15" customHeight="1" x14ac:dyDescent="0.25">
      <c r="J910" s="87"/>
    </row>
    <row r="911" spans="10:10" ht="15" customHeight="1" x14ac:dyDescent="0.25">
      <c r="J911" s="87"/>
    </row>
    <row r="912" spans="10:10" ht="15" customHeight="1" x14ac:dyDescent="0.25">
      <c r="J912" s="87"/>
    </row>
    <row r="913" spans="10:10" ht="15" customHeight="1" x14ac:dyDescent="0.25">
      <c r="J913" s="87"/>
    </row>
    <row r="914" spans="10:10" ht="15" customHeight="1" x14ac:dyDescent="0.25">
      <c r="J914" s="87"/>
    </row>
    <row r="915" spans="10:10" ht="15" customHeight="1" x14ac:dyDescent="0.25">
      <c r="J915" s="87"/>
    </row>
    <row r="916" spans="10:10" ht="15" customHeight="1" x14ac:dyDescent="0.25">
      <c r="J916" s="87"/>
    </row>
    <row r="917" spans="10:10" ht="15" customHeight="1" x14ac:dyDescent="0.25">
      <c r="J917" s="87"/>
    </row>
    <row r="918" spans="10:10" ht="15" customHeight="1" x14ac:dyDescent="0.25">
      <c r="J918" s="87"/>
    </row>
    <row r="919" spans="10:10" ht="15" customHeight="1" x14ac:dyDescent="0.25">
      <c r="J919" s="87"/>
    </row>
    <row r="920" spans="10:10" ht="15" customHeight="1" x14ac:dyDescent="0.25">
      <c r="J920" s="87"/>
    </row>
    <row r="921" spans="10:10" ht="15" customHeight="1" x14ac:dyDescent="0.25">
      <c r="J921" s="87"/>
    </row>
    <row r="922" spans="10:10" ht="15" customHeight="1" x14ac:dyDescent="0.25">
      <c r="J922" s="87"/>
    </row>
    <row r="923" spans="10:10" ht="15" customHeight="1" x14ac:dyDescent="0.25">
      <c r="J923" s="87"/>
    </row>
    <row r="924" spans="10:10" ht="15" customHeight="1" x14ac:dyDescent="0.25">
      <c r="J924" s="87"/>
    </row>
    <row r="925" spans="10:10" ht="15" customHeight="1" x14ac:dyDescent="0.25">
      <c r="J925" s="87"/>
    </row>
    <row r="926" spans="10:10" ht="15" customHeight="1" x14ac:dyDescent="0.25">
      <c r="J926" s="87"/>
    </row>
    <row r="927" spans="10:10" ht="15" customHeight="1" x14ac:dyDescent="0.25">
      <c r="J927" s="87"/>
    </row>
    <row r="928" spans="10:10" ht="15" customHeight="1" x14ac:dyDescent="0.25">
      <c r="J928" s="87"/>
    </row>
    <row r="929" spans="10:10" ht="15" customHeight="1" x14ac:dyDescent="0.25">
      <c r="J929" s="87"/>
    </row>
    <row r="930" spans="10:10" ht="15" customHeight="1" x14ac:dyDescent="0.25">
      <c r="J930" s="87"/>
    </row>
    <row r="931" spans="10:10" ht="15" customHeight="1" x14ac:dyDescent="0.25">
      <c r="J931" s="87"/>
    </row>
    <row r="932" spans="10:10" ht="15" customHeight="1" x14ac:dyDescent="0.25">
      <c r="J932" s="87"/>
    </row>
    <row r="933" spans="10:10" ht="15" customHeight="1" x14ac:dyDescent="0.25">
      <c r="J933" s="87"/>
    </row>
    <row r="934" spans="10:10" ht="15" customHeight="1" x14ac:dyDescent="0.25">
      <c r="J934" s="87"/>
    </row>
    <row r="935" spans="10:10" ht="15" customHeight="1" x14ac:dyDescent="0.25">
      <c r="J935" s="87"/>
    </row>
    <row r="936" spans="10:10" ht="15" customHeight="1" x14ac:dyDescent="0.25">
      <c r="J936" s="87"/>
    </row>
    <row r="937" spans="10:10" ht="15" customHeight="1" x14ac:dyDescent="0.25">
      <c r="J937" s="87"/>
    </row>
    <row r="938" spans="10:10" ht="15" customHeight="1" x14ac:dyDescent="0.25">
      <c r="J938" s="87"/>
    </row>
    <row r="939" spans="10:10" ht="15" customHeight="1" x14ac:dyDescent="0.25">
      <c r="J939" s="87"/>
    </row>
    <row r="940" spans="10:10" ht="15" customHeight="1" x14ac:dyDescent="0.25">
      <c r="J940" s="87"/>
    </row>
    <row r="941" spans="10:10" ht="15" customHeight="1" x14ac:dyDescent="0.25">
      <c r="J941" s="87"/>
    </row>
    <row r="942" spans="10:10" ht="15" customHeight="1" x14ac:dyDescent="0.25">
      <c r="J942" s="87"/>
    </row>
    <row r="943" spans="10:10" ht="15" customHeight="1" x14ac:dyDescent="0.25">
      <c r="J943" s="87"/>
    </row>
    <row r="944" spans="10:10" ht="15" customHeight="1" x14ac:dyDescent="0.25">
      <c r="J944" s="87"/>
    </row>
    <row r="945" spans="10:10" ht="15" customHeight="1" x14ac:dyDescent="0.25">
      <c r="J945" s="87"/>
    </row>
    <row r="946" spans="10:10" ht="15" customHeight="1" x14ac:dyDescent="0.25">
      <c r="J946" s="87"/>
    </row>
    <row r="947" spans="10:10" ht="15" customHeight="1" x14ac:dyDescent="0.25">
      <c r="J947" s="87"/>
    </row>
    <row r="948" spans="10:10" ht="15" customHeight="1" x14ac:dyDescent="0.25">
      <c r="J948" s="87"/>
    </row>
    <row r="949" spans="10:10" ht="15" customHeight="1" x14ac:dyDescent="0.25">
      <c r="J949" s="87"/>
    </row>
    <row r="950" spans="10:10" ht="15" customHeight="1" x14ac:dyDescent="0.25">
      <c r="J950" s="87"/>
    </row>
    <row r="951" spans="10:10" ht="15" customHeight="1" x14ac:dyDescent="0.25">
      <c r="J951" s="87"/>
    </row>
    <row r="952" spans="10:10" ht="15" customHeight="1" x14ac:dyDescent="0.25">
      <c r="J952" s="87"/>
    </row>
    <row r="953" spans="10:10" ht="15" customHeight="1" x14ac:dyDescent="0.25">
      <c r="J953" s="87"/>
    </row>
    <row r="954" spans="10:10" ht="15" customHeight="1" x14ac:dyDescent="0.25">
      <c r="J954" s="87"/>
    </row>
    <row r="955" spans="10:10" ht="15" customHeight="1" x14ac:dyDescent="0.25">
      <c r="J955" s="87"/>
    </row>
    <row r="956" spans="10:10" ht="15" customHeight="1" x14ac:dyDescent="0.25">
      <c r="J956" s="87"/>
    </row>
    <row r="957" spans="10:10" ht="15" customHeight="1" x14ac:dyDescent="0.25">
      <c r="J957" s="87"/>
    </row>
    <row r="958" spans="10:10" ht="15" customHeight="1" x14ac:dyDescent="0.25">
      <c r="J958" s="87"/>
    </row>
    <row r="959" spans="10:10" ht="15" customHeight="1" x14ac:dyDescent="0.25">
      <c r="J959" s="87"/>
    </row>
    <row r="960" spans="10:10" ht="15" customHeight="1" x14ac:dyDescent="0.25">
      <c r="J960" s="87"/>
    </row>
    <row r="961" spans="10:10" ht="15" customHeight="1" x14ac:dyDescent="0.25">
      <c r="J961" s="87"/>
    </row>
    <row r="962" spans="10:10" ht="15" customHeight="1" x14ac:dyDescent="0.25">
      <c r="J962" s="87"/>
    </row>
    <row r="963" spans="10:10" ht="15" customHeight="1" x14ac:dyDescent="0.25">
      <c r="J963" s="87"/>
    </row>
    <row r="964" spans="10:10" ht="15" customHeight="1" x14ac:dyDescent="0.25">
      <c r="J964" s="87"/>
    </row>
    <row r="965" spans="10:10" ht="15" customHeight="1" x14ac:dyDescent="0.25">
      <c r="J965" s="87"/>
    </row>
    <row r="966" spans="10:10" ht="15" customHeight="1" x14ac:dyDescent="0.25">
      <c r="J966" s="87"/>
    </row>
    <row r="967" spans="10:10" ht="15" customHeight="1" x14ac:dyDescent="0.25">
      <c r="J967" s="87"/>
    </row>
    <row r="968" spans="10:10" ht="15" customHeight="1" x14ac:dyDescent="0.25">
      <c r="J968" s="87"/>
    </row>
    <row r="969" spans="10:10" ht="15" customHeight="1" x14ac:dyDescent="0.25">
      <c r="J969" s="87"/>
    </row>
    <row r="970" spans="10:10" ht="15" customHeight="1" x14ac:dyDescent="0.25">
      <c r="J970" s="87"/>
    </row>
    <row r="971" spans="10:10" ht="15" customHeight="1" x14ac:dyDescent="0.25">
      <c r="J971" s="87"/>
    </row>
    <row r="972" spans="10:10" ht="15" customHeight="1" x14ac:dyDescent="0.25">
      <c r="J972" s="87"/>
    </row>
    <row r="973" spans="10:10" ht="15" customHeight="1" x14ac:dyDescent="0.25">
      <c r="J973" s="87"/>
    </row>
    <row r="974" spans="10:10" ht="15" customHeight="1" x14ac:dyDescent="0.25">
      <c r="J974" s="87"/>
    </row>
    <row r="975" spans="10:10" ht="15" customHeight="1" x14ac:dyDescent="0.25">
      <c r="J975" s="87"/>
    </row>
    <row r="976" spans="10:10" ht="15" customHeight="1" x14ac:dyDescent="0.25">
      <c r="J976" s="87"/>
    </row>
    <row r="977" spans="10:10" ht="15" customHeight="1" x14ac:dyDescent="0.25">
      <c r="J977" s="87"/>
    </row>
    <row r="978" spans="10:10" ht="15" customHeight="1" x14ac:dyDescent="0.25">
      <c r="J978" s="87"/>
    </row>
    <row r="979" spans="10:10" ht="15" customHeight="1" x14ac:dyDescent="0.25">
      <c r="J979" s="87"/>
    </row>
    <row r="980" spans="10:10" ht="15" customHeight="1" x14ac:dyDescent="0.25">
      <c r="J980" s="87"/>
    </row>
    <row r="981" spans="10:10" ht="15" customHeight="1" x14ac:dyDescent="0.25">
      <c r="J981" s="87"/>
    </row>
    <row r="982" spans="10:10" ht="15" customHeight="1" x14ac:dyDescent="0.25">
      <c r="J982" s="87"/>
    </row>
    <row r="983" spans="10:10" ht="15" customHeight="1" x14ac:dyDescent="0.25">
      <c r="J983" s="87"/>
    </row>
    <row r="984" spans="10:10" ht="15" customHeight="1" x14ac:dyDescent="0.25">
      <c r="J984" s="87"/>
    </row>
    <row r="985" spans="10:10" ht="15" customHeight="1" x14ac:dyDescent="0.25">
      <c r="J985" s="87"/>
    </row>
    <row r="986" spans="10:10" ht="15" customHeight="1" x14ac:dyDescent="0.25">
      <c r="J986" s="87"/>
    </row>
    <row r="987" spans="10:10" ht="15" customHeight="1" x14ac:dyDescent="0.25">
      <c r="J987" s="87"/>
    </row>
    <row r="988" spans="10:10" ht="15" customHeight="1" x14ac:dyDescent="0.25">
      <c r="J988" s="87"/>
    </row>
    <row r="989" spans="10:10" ht="15" customHeight="1" x14ac:dyDescent="0.25">
      <c r="J989" s="87"/>
    </row>
    <row r="990" spans="10:10" ht="15" customHeight="1" x14ac:dyDescent="0.25">
      <c r="J990" s="87"/>
    </row>
    <row r="991" spans="10:10" ht="15" customHeight="1" x14ac:dyDescent="0.25">
      <c r="J991" s="87"/>
    </row>
    <row r="992" spans="10:10" ht="15" customHeight="1" x14ac:dyDescent="0.25">
      <c r="J992" s="87"/>
    </row>
    <row r="993" spans="10:10" ht="15" customHeight="1" x14ac:dyDescent="0.25">
      <c r="J993" s="87"/>
    </row>
    <row r="994" spans="10:10" ht="15" customHeight="1" x14ac:dyDescent="0.25">
      <c r="J994" s="87"/>
    </row>
    <row r="995" spans="10:10" ht="15" customHeight="1" x14ac:dyDescent="0.25">
      <c r="J995" s="87"/>
    </row>
    <row r="996" spans="10:10" ht="15" customHeight="1" x14ac:dyDescent="0.25">
      <c r="J996" s="87"/>
    </row>
    <row r="997" spans="10:10" ht="15" customHeight="1" x14ac:dyDescent="0.25">
      <c r="J997" s="87"/>
    </row>
    <row r="998" spans="10:10" ht="15" customHeight="1" x14ac:dyDescent="0.25">
      <c r="J998" s="87"/>
    </row>
    <row r="999" spans="10:10" ht="15" customHeight="1" x14ac:dyDescent="0.25">
      <c r="J999" s="87"/>
    </row>
    <row r="1000" spans="10:10" ht="15" customHeight="1" x14ac:dyDescent="0.25">
      <c r="J1000" s="87"/>
    </row>
    <row r="1001" spans="10:10" ht="15" customHeight="1" x14ac:dyDescent="0.25">
      <c r="J1001" s="87"/>
    </row>
    <row r="1002" spans="10:10" ht="15" customHeight="1" x14ac:dyDescent="0.25">
      <c r="J1002" s="87"/>
    </row>
    <row r="1003" spans="10:10" ht="15" customHeight="1" x14ac:dyDescent="0.25">
      <c r="J1003" s="87"/>
    </row>
    <row r="1004" spans="10:10" ht="15" customHeight="1" x14ac:dyDescent="0.25">
      <c r="J1004" s="87"/>
    </row>
    <row r="1005" spans="10:10" ht="15" customHeight="1" x14ac:dyDescent="0.25">
      <c r="J1005" s="87"/>
    </row>
    <row r="1006" spans="10:10" ht="15" customHeight="1" x14ac:dyDescent="0.25">
      <c r="J1006" s="87"/>
    </row>
    <row r="1007" spans="10:10" ht="15" customHeight="1" x14ac:dyDescent="0.25">
      <c r="J1007" s="87"/>
    </row>
    <row r="1008" spans="10:10" ht="15" customHeight="1" x14ac:dyDescent="0.25">
      <c r="J1008" s="87"/>
    </row>
    <row r="1009" spans="10:10" ht="15" customHeight="1" x14ac:dyDescent="0.25">
      <c r="J1009" s="87"/>
    </row>
    <row r="1010" spans="10:10" ht="15" customHeight="1" x14ac:dyDescent="0.25">
      <c r="J1010" s="87"/>
    </row>
    <row r="1011" spans="10:10" ht="15" customHeight="1" x14ac:dyDescent="0.25">
      <c r="J1011" s="87"/>
    </row>
    <row r="1012" spans="10:10" ht="15" customHeight="1" x14ac:dyDescent="0.25">
      <c r="J1012" s="87"/>
    </row>
    <row r="1013" spans="10:10" ht="15" customHeight="1" x14ac:dyDescent="0.25">
      <c r="J1013" s="87"/>
    </row>
    <row r="1014" spans="10:10" ht="15" customHeight="1" x14ac:dyDescent="0.25">
      <c r="J1014" s="87"/>
    </row>
    <row r="1015" spans="10:10" ht="15" customHeight="1" x14ac:dyDescent="0.25">
      <c r="J1015" s="87"/>
    </row>
    <row r="1016" spans="10:10" ht="15" customHeight="1" x14ac:dyDescent="0.25">
      <c r="J1016" s="87"/>
    </row>
    <row r="1017" spans="10:10" ht="15" customHeight="1" x14ac:dyDescent="0.25">
      <c r="J1017" s="87"/>
    </row>
    <row r="1018" spans="10:10" ht="15" customHeight="1" x14ac:dyDescent="0.25">
      <c r="J1018" s="87"/>
    </row>
    <row r="1019" spans="10:10" ht="15" customHeight="1" x14ac:dyDescent="0.25">
      <c r="J1019" s="87"/>
    </row>
    <row r="1020" spans="10:10" ht="15" customHeight="1" x14ac:dyDescent="0.25">
      <c r="J1020" s="87"/>
    </row>
    <row r="1021" spans="10:10" ht="15" customHeight="1" x14ac:dyDescent="0.25">
      <c r="J1021" s="87"/>
    </row>
    <row r="1022" spans="10:10" ht="15" customHeight="1" x14ac:dyDescent="0.25">
      <c r="J1022" s="87"/>
    </row>
    <row r="1023" spans="10:10" ht="15" customHeight="1" x14ac:dyDescent="0.25">
      <c r="J1023" s="87"/>
    </row>
    <row r="1024" spans="10:10" ht="15" customHeight="1" x14ac:dyDescent="0.25">
      <c r="J1024" s="87"/>
    </row>
    <row r="1025" spans="10:10" ht="15" customHeight="1" x14ac:dyDescent="0.25">
      <c r="J1025" s="87"/>
    </row>
    <row r="1026" spans="10:10" ht="15" customHeight="1" x14ac:dyDescent="0.25">
      <c r="J1026" s="87"/>
    </row>
    <row r="1027" spans="10:10" ht="15" customHeight="1" x14ac:dyDescent="0.25">
      <c r="J1027" s="87"/>
    </row>
    <row r="1028" spans="10:10" ht="15" customHeight="1" x14ac:dyDescent="0.25">
      <c r="J1028" s="87"/>
    </row>
    <row r="1029" spans="10:10" ht="15" customHeight="1" x14ac:dyDescent="0.25">
      <c r="J1029" s="87"/>
    </row>
    <row r="1030" spans="10:10" ht="15" customHeight="1" x14ac:dyDescent="0.25">
      <c r="J1030" s="87"/>
    </row>
    <row r="1031" spans="10:10" ht="15" customHeight="1" x14ac:dyDescent="0.25">
      <c r="J1031" s="87"/>
    </row>
    <row r="1032" spans="10:10" ht="15" customHeight="1" x14ac:dyDescent="0.25">
      <c r="J1032" s="87"/>
    </row>
    <row r="1033" spans="10:10" ht="15" customHeight="1" x14ac:dyDescent="0.25">
      <c r="J1033" s="87"/>
    </row>
    <row r="1034" spans="10:10" ht="15" customHeight="1" x14ac:dyDescent="0.25">
      <c r="J1034" s="87"/>
    </row>
    <row r="1035" spans="10:10" ht="15" customHeight="1" x14ac:dyDescent="0.25">
      <c r="J1035" s="87"/>
    </row>
    <row r="1036" spans="10:10" ht="15" customHeight="1" x14ac:dyDescent="0.25">
      <c r="J1036" s="87"/>
    </row>
    <row r="1037" spans="10:10" ht="15" customHeight="1" x14ac:dyDescent="0.25">
      <c r="J1037" s="87"/>
    </row>
    <row r="1038" spans="10:10" ht="15" customHeight="1" x14ac:dyDescent="0.25">
      <c r="J1038" s="87"/>
    </row>
    <row r="1039" spans="10:10" ht="15" customHeight="1" x14ac:dyDescent="0.25">
      <c r="J1039" s="87"/>
    </row>
    <row r="1040" spans="10:10" ht="15" customHeight="1" x14ac:dyDescent="0.25">
      <c r="J1040" s="87"/>
    </row>
    <row r="1041" spans="10:10" ht="15" customHeight="1" x14ac:dyDescent="0.25">
      <c r="J1041" s="87"/>
    </row>
    <row r="1042" spans="10:10" ht="15" customHeight="1" x14ac:dyDescent="0.25">
      <c r="J1042" s="87"/>
    </row>
    <row r="1043" spans="10:10" ht="15" customHeight="1" x14ac:dyDescent="0.25">
      <c r="J1043" s="87"/>
    </row>
    <row r="1044" spans="10:10" ht="15" customHeight="1" x14ac:dyDescent="0.25">
      <c r="J1044" s="87"/>
    </row>
    <row r="1045" spans="10:10" ht="15" customHeight="1" x14ac:dyDescent="0.25">
      <c r="J1045" s="87"/>
    </row>
    <row r="1046" spans="10:10" ht="15" customHeight="1" x14ac:dyDescent="0.25">
      <c r="J1046" s="87"/>
    </row>
    <row r="1047" spans="10:10" ht="15" customHeight="1" x14ac:dyDescent="0.25">
      <c r="J1047" s="87"/>
    </row>
    <row r="1048" spans="10:10" ht="15" customHeight="1" x14ac:dyDescent="0.25">
      <c r="J1048" s="87"/>
    </row>
    <row r="1049" spans="10:10" ht="15" customHeight="1" x14ac:dyDescent="0.25">
      <c r="J1049" s="87"/>
    </row>
    <row r="1050" spans="10:10" ht="15" customHeight="1" x14ac:dyDescent="0.25">
      <c r="J1050" s="87"/>
    </row>
    <row r="1051" spans="10:10" ht="15" customHeight="1" x14ac:dyDescent="0.25">
      <c r="J1051" s="87"/>
    </row>
    <row r="1052" spans="10:10" ht="15" customHeight="1" x14ac:dyDescent="0.25">
      <c r="J1052" s="87"/>
    </row>
    <row r="1053" spans="10:10" ht="15" customHeight="1" x14ac:dyDescent="0.25">
      <c r="J1053" s="87"/>
    </row>
    <row r="1054" spans="10:10" ht="15" customHeight="1" x14ac:dyDescent="0.25">
      <c r="J1054" s="87"/>
    </row>
    <row r="1055" spans="10:10" ht="15" customHeight="1" x14ac:dyDescent="0.25">
      <c r="J1055" s="87"/>
    </row>
    <row r="1056" spans="10:10" ht="15" customHeight="1" x14ac:dyDescent="0.25">
      <c r="J1056" s="87"/>
    </row>
    <row r="1057" spans="10:10" ht="15" customHeight="1" x14ac:dyDescent="0.25">
      <c r="J1057" s="87"/>
    </row>
    <row r="1058" spans="10:10" ht="15" customHeight="1" x14ac:dyDescent="0.25">
      <c r="J1058" s="87"/>
    </row>
    <row r="1059" spans="10:10" ht="15" customHeight="1" x14ac:dyDescent="0.25">
      <c r="J1059" s="87"/>
    </row>
    <row r="1060" spans="10:10" ht="15" customHeight="1" x14ac:dyDescent="0.25">
      <c r="J1060" s="87"/>
    </row>
    <row r="1061" spans="10:10" ht="15" customHeight="1" x14ac:dyDescent="0.25">
      <c r="J1061" s="87"/>
    </row>
    <row r="1062" spans="10:10" ht="15" customHeight="1" x14ac:dyDescent="0.25">
      <c r="J1062" s="87"/>
    </row>
    <row r="1063" spans="10:10" ht="15" customHeight="1" x14ac:dyDescent="0.25">
      <c r="J1063" s="87"/>
    </row>
    <row r="1064" spans="10:10" ht="15" customHeight="1" x14ac:dyDescent="0.25">
      <c r="J1064" s="87"/>
    </row>
    <row r="1065" spans="10:10" ht="15" customHeight="1" x14ac:dyDescent="0.25">
      <c r="J1065" s="87"/>
    </row>
    <row r="1066" spans="10:10" ht="15" customHeight="1" x14ac:dyDescent="0.25">
      <c r="J1066" s="87"/>
    </row>
    <row r="1067" spans="10:10" ht="15" customHeight="1" x14ac:dyDescent="0.25">
      <c r="J1067" s="87"/>
    </row>
    <row r="1068" spans="10:10" ht="15" customHeight="1" x14ac:dyDescent="0.25">
      <c r="J1068" s="87"/>
    </row>
    <row r="1069" spans="10:10" ht="15" customHeight="1" x14ac:dyDescent="0.25">
      <c r="J1069" s="87"/>
    </row>
    <row r="1070" spans="10:10" ht="15" customHeight="1" x14ac:dyDescent="0.25">
      <c r="J1070" s="87"/>
    </row>
    <row r="1071" spans="10:10" ht="15" customHeight="1" x14ac:dyDescent="0.25">
      <c r="J1071" s="87"/>
    </row>
    <row r="1072" spans="10:10" ht="15" customHeight="1" x14ac:dyDescent="0.25">
      <c r="J1072" s="87"/>
    </row>
    <row r="1073" spans="10:10" ht="15" customHeight="1" x14ac:dyDescent="0.25">
      <c r="J1073" s="87"/>
    </row>
    <row r="1074" spans="10:10" ht="15" customHeight="1" x14ac:dyDescent="0.25">
      <c r="J1074" s="87"/>
    </row>
    <row r="1075" spans="10:10" ht="15" customHeight="1" x14ac:dyDescent="0.25">
      <c r="J1075" s="87"/>
    </row>
    <row r="1076" spans="10:10" ht="15" customHeight="1" x14ac:dyDescent="0.25">
      <c r="J1076" s="87"/>
    </row>
    <row r="1077" spans="10:10" ht="15" customHeight="1" x14ac:dyDescent="0.25">
      <c r="J1077" s="87"/>
    </row>
    <row r="1078" spans="10:10" ht="15" customHeight="1" x14ac:dyDescent="0.25">
      <c r="J1078" s="87"/>
    </row>
    <row r="1079" spans="10:10" ht="15" customHeight="1" x14ac:dyDescent="0.25">
      <c r="J1079" s="87"/>
    </row>
    <row r="1080" spans="10:10" ht="15" customHeight="1" x14ac:dyDescent="0.25">
      <c r="J1080" s="87"/>
    </row>
    <row r="1081" spans="10:10" ht="15" customHeight="1" x14ac:dyDescent="0.25">
      <c r="J1081" s="87"/>
    </row>
    <row r="1082" spans="10:10" ht="15" customHeight="1" x14ac:dyDescent="0.25">
      <c r="J1082" s="87"/>
    </row>
    <row r="1083" spans="10:10" ht="15" customHeight="1" x14ac:dyDescent="0.25">
      <c r="J1083" s="87"/>
    </row>
    <row r="1084" spans="10:10" ht="15" customHeight="1" x14ac:dyDescent="0.25">
      <c r="J1084" s="87"/>
    </row>
    <row r="1085" spans="10:10" ht="15" customHeight="1" x14ac:dyDescent="0.25">
      <c r="J1085" s="87"/>
    </row>
    <row r="1086" spans="10:10" ht="15" customHeight="1" x14ac:dyDescent="0.25">
      <c r="J1086" s="87"/>
    </row>
    <row r="1087" spans="10:10" ht="15" customHeight="1" x14ac:dyDescent="0.25">
      <c r="J1087" s="87"/>
    </row>
    <row r="1088" spans="10:10" ht="15" customHeight="1" x14ac:dyDescent="0.25">
      <c r="J1088" s="87"/>
    </row>
    <row r="1089" spans="10:10" ht="15" customHeight="1" x14ac:dyDescent="0.25">
      <c r="J1089" s="87"/>
    </row>
    <row r="1090" spans="10:10" ht="15" customHeight="1" x14ac:dyDescent="0.25">
      <c r="J1090" s="87"/>
    </row>
    <row r="1091" spans="10:10" ht="15" customHeight="1" x14ac:dyDescent="0.25">
      <c r="J1091" s="87"/>
    </row>
    <row r="1092" spans="10:10" ht="15" customHeight="1" x14ac:dyDescent="0.25">
      <c r="J1092" s="87"/>
    </row>
    <row r="1093" spans="10:10" ht="15" customHeight="1" x14ac:dyDescent="0.25">
      <c r="J1093" s="87"/>
    </row>
    <row r="1094" spans="10:10" ht="15" customHeight="1" x14ac:dyDescent="0.25">
      <c r="J1094" s="87"/>
    </row>
    <row r="1095" spans="10:10" ht="15" customHeight="1" x14ac:dyDescent="0.25">
      <c r="J1095" s="87"/>
    </row>
    <row r="1096" spans="10:10" ht="15" customHeight="1" x14ac:dyDescent="0.25">
      <c r="J1096" s="87"/>
    </row>
    <row r="1097" spans="10:10" ht="15" customHeight="1" x14ac:dyDescent="0.25">
      <c r="J1097" s="87"/>
    </row>
    <row r="1098" spans="10:10" ht="15" customHeight="1" x14ac:dyDescent="0.25">
      <c r="J1098" s="87"/>
    </row>
    <row r="1099" spans="10:10" ht="15" customHeight="1" x14ac:dyDescent="0.25">
      <c r="J1099" s="87"/>
    </row>
    <row r="1100" spans="10:10" ht="15" customHeight="1" x14ac:dyDescent="0.25">
      <c r="J1100" s="87"/>
    </row>
    <row r="1101" spans="10:10" ht="15" customHeight="1" x14ac:dyDescent="0.25">
      <c r="J1101" s="87"/>
    </row>
    <row r="1102" spans="10:10" ht="15" customHeight="1" x14ac:dyDescent="0.25">
      <c r="J1102" s="87"/>
    </row>
    <row r="1103" spans="10:10" ht="15" customHeight="1" x14ac:dyDescent="0.25">
      <c r="J1103" s="87"/>
    </row>
    <row r="1104" spans="10:10" ht="15" customHeight="1" x14ac:dyDescent="0.25">
      <c r="J1104" s="87"/>
    </row>
    <row r="1105" spans="10:10" ht="15" customHeight="1" x14ac:dyDescent="0.25">
      <c r="J1105" s="87"/>
    </row>
    <row r="1106" spans="10:10" ht="15" customHeight="1" x14ac:dyDescent="0.25">
      <c r="J1106" s="87"/>
    </row>
    <row r="1107" spans="10:10" ht="15" customHeight="1" x14ac:dyDescent="0.25">
      <c r="J1107" s="87"/>
    </row>
    <row r="1108" spans="10:10" ht="15" customHeight="1" x14ac:dyDescent="0.25">
      <c r="J1108" s="87"/>
    </row>
    <row r="1109" spans="10:10" ht="15" customHeight="1" x14ac:dyDescent="0.25">
      <c r="J1109" s="87"/>
    </row>
    <row r="1110" spans="10:10" ht="15" customHeight="1" x14ac:dyDescent="0.25">
      <c r="J1110" s="87"/>
    </row>
    <row r="1111" spans="10:10" ht="15" customHeight="1" x14ac:dyDescent="0.25">
      <c r="J1111" s="87"/>
    </row>
    <row r="1112" spans="10:10" ht="15" customHeight="1" x14ac:dyDescent="0.25">
      <c r="J1112" s="87"/>
    </row>
    <row r="1113" spans="10:10" ht="15" customHeight="1" x14ac:dyDescent="0.25">
      <c r="J1113" s="87"/>
    </row>
    <row r="1114" spans="10:10" ht="15" customHeight="1" x14ac:dyDescent="0.25">
      <c r="J1114" s="87"/>
    </row>
    <row r="1115" spans="10:10" ht="15" customHeight="1" x14ac:dyDescent="0.25">
      <c r="J1115" s="87"/>
    </row>
    <row r="1116" spans="10:10" ht="15" customHeight="1" x14ac:dyDescent="0.25">
      <c r="J1116" s="87"/>
    </row>
    <row r="1117" spans="10:10" ht="15" customHeight="1" x14ac:dyDescent="0.25">
      <c r="J1117" s="87"/>
    </row>
    <row r="1118" spans="10:10" ht="15" customHeight="1" x14ac:dyDescent="0.25">
      <c r="J1118" s="87"/>
    </row>
    <row r="1119" spans="10:10" ht="15" customHeight="1" x14ac:dyDescent="0.25">
      <c r="J1119" s="87"/>
    </row>
    <row r="1120" spans="10:10" ht="15" customHeight="1" x14ac:dyDescent="0.25">
      <c r="J1120" s="87"/>
    </row>
    <row r="1121" spans="10:10" ht="15" customHeight="1" x14ac:dyDescent="0.25">
      <c r="J1121" s="87"/>
    </row>
    <row r="1122" spans="10:10" ht="15" customHeight="1" x14ac:dyDescent="0.25">
      <c r="J1122" s="87"/>
    </row>
    <row r="1123" spans="10:10" ht="15" customHeight="1" x14ac:dyDescent="0.25">
      <c r="J1123" s="87"/>
    </row>
    <row r="1124" spans="10:10" ht="15" customHeight="1" x14ac:dyDescent="0.25">
      <c r="J1124" s="87"/>
    </row>
    <row r="1125" spans="10:10" ht="15" customHeight="1" x14ac:dyDescent="0.25">
      <c r="J1125" s="87"/>
    </row>
    <row r="1126" spans="10:10" ht="15" customHeight="1" x14ac:dyDescent="0.25">
      <c r="J1126" s="87"/>
    </row>
    <row r="1127" spans="10:10" ht="15" customHeight="1" x14ac:dyDescent="0.25">
      <c r="J1127" s="87"/>
    </row>
    <row r="1128" spans="10:10" ht="15" customHeight="1" x14ac:dyDescent="0.25">
      <c r="J1128" s="87"/>
    </row>
    <row r="1129" spans="10:10" ht="15" customHeight="1" x14ac:dyDescent="0.25">
      <c r="J1129" s="87"/>
    </row>
    <row r="1130" spans="10:10" ht="15" customHeight="1" x14ac:dyDescent="0.25">
      <c r="J1130" s="87"/>
    </row>
    <row r="1131" spans="10:10" ht="15" customHeight="1" x14ac:dyDescent="0.25">
      <c r="J1131" s="87"/>
    </row>
    <row r="1132" spans="10:10" ht="15" customHeight="1" x14ac:dyDescent="0.25">
      <c r="J1132" s="87"/>
    </row>
    <row r="1133" spans="10:10" ht="15" customHeight="1" x14ac:dyDescent="0.25">
      <c r="J1133" s="87"/>
    </row>
    <row r="1134" spans="10:10" ht="15" customHeight="1" x14ac:dyDescent="0.25">
      <c r="J1134" s="87"/>
    </row>
    <row r="1135" spans="10:10" ht="15" customHeight="1" x14ac:dyDescent="0.25">
      <c r="J1135" s="87"/>
    </row>
    <row r="1136" spans="10:10" ht="15" customHeight="1" x14ac:dyDescent="0.25">
      <c r="J1136" s="87"/>
    </row>
    <row r="1137" spans="10:10" ht="15" customHeight="1" x14ac:dyDescent="0.25">
      <c r="J1137" s="87"/>
    </row>
    <row r="1138" spans="10:10" ht="15" customHeight="1" x14ac:dyDescent="0.25">
      <c r="J1138" s="87"/>
    </row>
    <row r="1139" spans="10:10" ht="15" customHeight="1" x14ac:dyDescent="0.25">
      <c r="J1139" s="87"/>
    </row>
    <row r="1140" spans="10:10" ht="15" customHeight="1" x14ac:dyDescent="0.25">
      <c r="J1140" s="87"/>
    </row>
    <row r="1141" spans="10:10" ht="15" customHeight="1" x14ac:dyDescent="0.25">
      <c r="J1141" s="87"/>
    </row>
    <row r="1142" spans="10:10" ht="15" customHeight="1" x14ac:dyDescent="0.25">
      <c r="J1142" s="87"/>
    </row>
    <row r="1143" spans="10:10" ht="15" customHeight="1" x14ac:dyDescent="0.25">
      <c r="J1143" s="87"/>
    </row>
    <row r="1144" spans="10:10" ht="15" customHeight="1" x14ac:dyDescent="0.25">
      <c r="J1144" s="87"/>
    </row>
    <row r="1145" spans="10:10" ht="15" customHeight="1" x14ac:dyDescent="0.25">
      <c r="J1145" s="87"/>
    </row>
    <row r="1146" spans="10:10" ht="15" customHeight="1" x14ac:dyDescent="0.25">
      <c r="J1146" s="87"/>
    </row>
    <row r="1147" spans="10:10" ht="15" customHeight="1" x14ac:dyDescent="0.25">
      <c r="J1147" s="87"/>
    </row>
    <row r="1148" spans="10:10" ht="15" customHeight="1" x14ac:dyDescent="0.25">
      <c r="J1148" s="87"/>
    </row>
    <row r="1149" spans="10:10" ht="15" customHeight="1" x14ac:dyDescent="0.25">
      <c r="J1149" s="87"/>
    </row>
    <row r="1150" spans="10:10" ht="15" customHeight="1" x14ac:dyDescent="0.25">
      <c r="J1150" s="87"/>
    </row>
    <row r="1151" spans="10:10" ht="15" customHeight="1" x14ac:dyDescent="0.25">
      <c r="J1151" s="87"/>
    </row>
    <row r="1152" spans="10:10" ht="15" customHeight="1" x14ac:dyDescent="0.25">
      <c r="J1152" s="87"/>
    </row>
    <row r="1153" spans="10:10" ht="15" customHeight="1" x14ac:dyDescent="0.25">
      <c r="J1153" s="87"/>
    </row>
    <row r="1154" spans="10:10" ht="15" customHeight="1" x14ac:dyDescent="0.25">
      <c r="J1154" s="87"/>
    </row>
    <row r="1155" spans="10:10" ht="15" customHeight="1" x14ac:dyDescent="0.25">
      <c r="J1155" s="87"/>
    </row>
    <row r="1156" spans="10:10" ht="15" customHeight="1" x14ac:dyDescent="0.25">
      <c r="J1156" s="87"/>
    </row>
    <row r="1157" spans="10:10" ht="15" customHeight="1" x14ac:dyDescent="0.25">
      <c r="J1157" s="87"/>
    </row>
    <row r="1158" spans="10:10" ht="15" customHeight="1" x14ac:dyDescent="0.25">
      <c r="J1158" s="87"/>
    </row>
    <row r="1159" spans="10:10" ht="15" customHeight="1" x14ac:dyDescent="0.25">
      <c r="J1159" s="87"/>
    </row>
    <row r="1160" spans="10:10" ht="15" customHeight="1" x14ac:dyDescent="0.25">
      <c r="J1160" s="87"/>
    </row>
    <row r="1161" spans="10:10" ht="15" customHeight="1" x14ac:dyDescent="0.25">
      <c r="J1161" s="87"/>
    </row>
    <row r="1162" spans="10:10" ht="15" customHeight="1" x14ac:dyDescent="0.25">
      <c r="J1162" s="87"/>
    </row>
    <row r="1163" spans="10:10" ht="15" customHeight="1" x14ac:dyDescent="0.25">
      <c r="J1163" s="87"/>
    </row>
    <row r="1164" spans="10:10" ht="15" customHeight="1" x14ac:dyDescent="0.25">
      <c r="J1164" s="87"/>
    </row>
    <row r="1165" spans="10:10" ht="15" customHeight="1" x14ac:dyDescent="0.25">
      <c r="J1165" s="87"/>
    </row>
    <row r="1166" spans="10:10" ht="15" customHeight="1" x14ac:dyDescent="0.25">
      <c r="J1166" s="87"/>
    </row>
    <row r="1167" spans="10:10" ht="15" customHeight="1" x14ac:dyDescent="0.25">
      <c r="J1167" s="87"/>
    </row>
    <row r="1168" spans="10:10" ht="15" customHeight="1" x14ac:dyDescent="0.25">
      <c r="J1168" s="87"/>
    </row>
    <row r="1169" spans="10:10" ht="15" customHeight="1" x14ac:dyDescent="0.25">
      <c r="J1169" s="87"/>
    </row>
    <row r="1170" spans="10:10" ht="15" customHeight="1" x14ac:dyDescent="0.25">
      <c r="J1170" s="87"/>
    </row>
    <row r="1171" spans="10:10" ht="15" customHeight="1" x14ac:dyDescent="0.25">
      <c r="J1171" s="87"/>
    </row>
    <row r="1172" spans="10:10" ht="15" customHeight="1" x14ac:dyDescent="0.25">
      <c r="J1172" s="87"/>
    </row>
    <row r="1173" spans="10:10" ht="15" customHeight="1" x14ac:dyDescent="0.25">
      <c r="J1173" s="87"/>
    </row>
    <row r="1174" spans="10:10" ht="15" customHeight="1" x14ac:dyDescent="0.25">
      <c r="J1174" s="87"/>
    </row>
    <row r="1175" spans="10:10" ht="15" customHeight="1" x14ac:dyDescent="0.25">
      <c r="J1175" s="87"/>
    </row>
    <row r="1176" spans="10:10" ht="15" customHeight="1" x14ac:dyDescent="0.25">
      <c r="J1176" s="87"/>
    </row>
    <row r="1177" spans="10:10" ht="15" customHeight="1" x14ac:dyDescent="0.25">
      <c r="J1177" s="87"/>
    </row>
    <row r="1178" spans="10:10" ht="15" customHeight="1" x14ac:dyDescent="0.25">
      <c r="J1178" s="87"/>
    </row>
    <row r="1179" spans="10:10" ht="15" customHeight="1" x14ac:dyDescent="0.25">
      <c r="J1179" s="87"/>
    </row>
    <row r="1180" spans="10:10" ht="15" customHeight="1" x14ac:dyDescent="0.25">
      <c r="J1180" s="87"/>
    </row>
    <row r="1181" spans="10:10" ht="15" customHeight="1" x14ac:dyDescent="0.25">
      <c r="J1181" s="87"/>
    </row>
    <row r="1182" spans="10:10" ht="15" customHeight="1" x14ac:dyDescent="0.25">
      <c r="J1182" s="87"/>
    </row>
    <row r="1183" spans="10:10" ht="15" customHeight="1" x14ac:dyDescent="0.25">
      <c r="J1183" s="87"/>
    </row>
    <row r="1184" spans="10:10" ht="15" customHeight="1" x14ac:dyDescent="0.25">
      <c r="J1184" s="87"/>
    </row>
    <row r="1185" spans="10:10" ht="15" customHeight="1" x14ac:dyDescent="0.25">
      <c r="J1185" s="87"/>
    </row>
    <row r="1186" spans="10:10" ht="15" customHeight="1" x14ac:dyDescent="0.25">
      <c r="J1186" s="87"/>
    </row>
    <row r="1187" spans="10:10" ht="15" customHeight="1" x14ac:dyDescent="0.25">
      <c r="J1187" s="87"/>
    </row>
    <row r="1188" spans="10:10" ht="15" customHeight="1" x14ac:dyDescent="0.25">
      <c r="J1188" s="87"/>
    </row>
    <row r="1189" spans="10:10" ht="15" customHeight="1" x14ac:dyDescent="0.25">
      <c r="J1189" s="87"/>
    </row>
    <row r="1190" spans="10:10" ht="15" customHeight="1" x14ac:dyDescent="0.25">
      <c r="J1190" s="87"/>
    </row>
    <row r="1191" spans="10:10" ht="15" customHeight="1" x14ac:dyDescent="0.25">
      <c r="J1191" s="87"/>
    </row>
    <row r="1192" spans="10:10" ht="15" customHeight="1" x14ac:dyDescent="0.25">
      <c r="J1192" s="87"/>
    </row>
    <row r="1193" spans="10:10" ht="15" customHeight="1" x14ac:dyDescent="0.25">
      <c r="J1193" s="87"/>
    </row>
    <row r="1194" spans="10:10" ht="15" customHeight="1" x14ac:dyDescent="0.25">
      <c r="J1194" s="87"/>
    </row>
    <row r="1195" spans="10:10" ht="15" customHeight="1" x14ac:dyDescent="0.25">
      <c r="J1195" s="87"/>
    </row>
    <row r="1196" spans="10:10" ht="15" customHeight="1" x14ac:dyDescent="0.25">
      <c r="J1196" s="87"/>
    </row>
    <row r="1197" spans="10:10" ht="15" customHeight="1" x14ac:dyDescent="0.25">
      <c r="J1197" s="87"/>
    </row>
    <row r="1198" spans="10:10" ht="15" customHeight="1" x14ac:dyDescent="0.25">
      <c r="J1198" s="87"/>
    </row>
    <row r="1199" spans="10:10" ht="15" customHeight="1" x14ac:dyDescent="0.25">
      <c r="J1199" s="87"/>
    </row>
    <row r="1200" spans="10:10" ht="15" customHeight="1" x14ac:dyDescent="0.25">
      <c r="J1200" s="87"/>
    </row>
    <row r="1201" spans="10:10" ht="15" customHeight="1" x14ac:dyDescent="0.25">
      <c r="J1201" s="87"/>
    </row>
    <row r="1202" spans="10:10" ht="15" customHeight="1" x14ac:dyDescent="0.25">
      <c r="J1202" s="87"/>
    </row>
    <row r="1203" spans="10:10" ht="15" customHeight="1" x14ac:dyDescent="0.25">
      <c r="J1203" s="87"/>
    </row>
    <row r="1204" spans="10:10" ht="15" customHeight="1" x14ac:dyDescent="0.25">
      <c r="J1204" s="87"/>
    </row>
    <row r="1205" spans="10:10" ht="15" customHeight="1" x14ac:dyDescent="0.25">
      <c r="J1205" s="87"/>
    </row>
    <row r="1206" spans="10:10" ht="15" customHeight="1" x14ac:dyDescent="0.25">
      <c r="J1206" s="87"/>
    </row>
    <row r="1207" spans="10:10" ht="15" customHeight="1" x14ac:dyDescent="0.25">
      <c r="J1207" s="87"/>
    </row>
    <row r="1208" spans="10:10" ht="15" customHeight="1" x14ac:dyDescent="0.25">
      <c r="J1208" s="87"/>
    </row>
    <row r="1209" spans="10:10" ht="15" customHeight="1" x14ac:dyDescent="0.25">
      <c r="J1209" s="87"/>
    </row>
    <row r="1210" spans="10:10" ht="15" customHeight="1" x14ac:dyDescent="0.25">
      <c r="J1210" s="87"/>
    </row>
    <row r="1211" spans="10:10" ht="15" customHeight="1" x14ac:dyDescent="0.25">
      <c r="J1211" s="87"/>
    </row>
    <row r="1212" spans="10:10" ht="15" customHeight="1" x14ac:dyDescent="0.25">
      <c r="J1212" s="87"/>
    </row>
    <row r="1213" spans="10:10" ht="15" customHeight="1" x14ac:dyDescent="0.25">
      <c r="J1213" s="87"/>
    </row>
    <row r="1214" spans="10:10" ht="15" customHeight="1" x14ac:dyDescent="0.25">
      <c r="J1214" s="87"/>
    </row>
    <row r="1215" spans="10:10" ht="15" customHeight="1" x14ac:dyDescent="0.25">
      <c r="J1215" s="87"/>
    </row>
    <row r="1216" spans="10:10" ht="15" customHeight="1" x14ac:dyDescent="0.25">
      <c r="J1216" s="87"/>
    </row>
    <row r="1217" spans="10:10" ht="15" customHeight="1" x14ac:dyDescent="0.25">
      <c r="J1217" s="87"/>
    </row>
    <row r="1218" spans="10:10" ht="15" customHeight="1" x14ac:dyDescent="0.25">
      <c r="J1218" s="87"/>
    </row>
    <row r="1219" spans="10:10" ht="15" customHeight="1" x14ac:dyDescent="0.25">
      <c r="J1219" s="87"/>
    </row>
    <row r="1220" spans="10:10" ht="15" customHeight="1" x14ac:dyDescent="0.25">
      <c r="J1220" s="87"/>
    </row>
    <row r="1221" spans="10:10" ht="15" customHeight="1" x14ac:dyDescent="0.25">
      <c r="J1221" s="87"/>
    </row>
    <row r="1222" spans="10:10" ht="15" customHeight="1" x14ac:dyDescent="0.25">
      <c r="J1222" s="87"/>
    </row>
    <row r="1223" spans="10:10" ht="15" customHeight="1" x14ac:dyDescent="0.25">
      <c r="J1223" s="87"/>
    </row>
    <row r="1224" spans="10:10" ht="15" customHeight="1" x14ac:dyDescent="0.25">
      <c r="J1224" s="87"/>
    </row>
    <row r="1225" spans="10:10" ht="15" customHeight="1" x14ac:dyDescent="0.25">
      <c r="J1225" s="87"/>
    </row>
    <row r="1226" spans="10:10" ht="15" customHeight="1" x14ac:dyDescent="0.25">
      <c r="J1226" s="87"/>
    </row>
    <row r="1227" spans="10:10" ht="15" customHeight="1" x14ac:dyDescent="0.25">
      <c r="J1227" s="87"/>
    </row>
    <row r="1228" spans="10:10" ht="15" customHeight="1" x14ac:dyDescent="0.25">
      <c r="J1228" s="87"/>
    </row>
    <row r="1229" spans="10:10" ht="15" customHeight="1" x14ac:dyDescent="0.25">
      <c r="J1229" s="87"/>
    </row>
    <row r="1230" spans="10:10" ht="15" customHeight="1" x14ac:dyDescent="0.25">
      <c r="J1230" s="87"/>
    </row>
    <row r="1231" spans="10:10" ht="15" customHeight="1" x14ac:dyDescent="0.25">
      <c r="J1231" s="87"/>
    </row>
    <row r="1232" spans="10:10" ht="15" customHeight="1" x14ac:dyDescent="0.25">
      <c r="J1232" s="87"/>
    </row>
    <row r="1233" spans="10:10" ht="15" customHeight="1" x14ac:dyDescent="0.25">
      <c r="J1233" s="87"/>
    </row>
    <row r="1234" spans="10:10" ht="15" customHeight="1" x14ac:dyDescent="0.25">
      <c r="J1234" s="87"/>
    </row>
    <row r="1235" spans="10:10" ht="15" customHeight="1" x14ac:dyDescent="0.25">
      <c r="J1235" s="87"/>
    </row>
    <row r="1236" spans="10:10" ht="15" customHeight="1" x14ac:dyDescent="0.25">
      <c r="J1236" s="87"/>
    </row>
    <row r="1237" spans="10:10" ht="15" customHeight="1" x14ac:dyDescent="0.25">
      <c r="J1237" s="87"/>
    </row>
    <row r="1238" spans="10:10" ht="15" customHeight="1" x14ac:dyDescent="0.25">
      <c r="J1238" s="87"/>
    </row>
    <row r="1239" spans="10:10" ht="15" customHeight="1" x14ac:dyDescent="0.25">
      <c r="J1239" s="87"/>
    </row>
    <row r="1240" spans="10:10" ht="15" customHeight="1" x14ac:dyDescent="0.25">
      <c r="J1240" s="87"/>
    </row>
    <row r="1241" spans="10:10" ht="15" customHeight="1" x14ac:dyDescent="0.25">
      <c r="J1241" s="87"/>
    </row>
    <row r="1242" spans="10:10" ht="15" customHeight="1" x14ac:dyDescent="0.25">
      <c r="J1242" s="87"/>
    </row>
    <row r="1243" spans="10:10" ht="15" customHeight="1" x14ac:dyDescent="0.25">
      <c r="J1243" s="87"/>
    </row>
    <row r="1244" spans="10:10" ht="15" customHeight="1" x14ac:dyDescent="0.25">
      <c r="J1244" s="87"/>
    </row>
    <row r="1245" spans="10:10" ht="15" customHeight="1" x14ac:dyDescent="0.25">
      <c r="J1245" s="87"/>
    </row>
    <row r="1246" spans="10:10" ht="15" customHeight="1" x14ac:dyDescent="0.25">
      <c r="J1246" s="87"/>
    </row>
    <row r="1247" spans="10:10" ht="15" customHeight="1" x14ac:dyDescent="0.25">
      <c r="J1247" s="87"/>
    </row>
    <row r="1248" spans="10:10" ht="15" customHeight="1" x14ac:dyDescent="0.25">
      <c r="J1248" s="87"/>
    </row>
    <row r="1249" spans="10:10" ht="15" customHeight="1" x14ac:dyDescent="0.25">
      <c r="J1249" s="87"/>
    </row>
    <row r="1250" spans="10:10" ht="15" customHeight="1" x14ac:dyDescent="0.25">
      <c r="J1250" s="87"/>
    </row>
    <row r="1251" spans="10:10" ht="15" customHeight="1" x14ac:dyDescent="0.25">
      <c r="J1251" s="87"/>
    </row>
    <row r="1252" spans="10:10" ht="15" customHeight="1" x14ac:dyDescent="0.25">
      <c r="J1252" s="87"/>
    </row>
    <row r="1253" spans="10:10" ht="15" customHeight="1" x14ac:dyDescent="0.25">
      <c r="J1253" s="87"/>
    </row>
    <row r="1254" spans="10:10" ht="15" customHeight="1" x14ac:dyDescent="0.25">
      <c r="J1254" s="87"/>
    </row>
    <row r="1255" spans="10:10" ht="15" customHeight="1" x14ac:dyDescent="0.25">
      <c r="J1255" s="87"/>
    </row>
    <row r="1256" spans="10:10" ht="15" customHeight="1" x14ac:dyDescent="0.25">
      <c r="J1256" s="87"/>
    </row>
    <row r="1257" spans="10:10" ht="15" customHeight="1" x14ac:dyDescent="0.25">
      <c r="J1257" s="87"/>
    </row>
    <row r="1258" spans="10:10" ht="15" customHeight="1" x14ac:dyDescent="0.25">
      <c r="J1258" s="87"/>
    </row>
    <row r="1259" spans="10:10" ht="15" customHeight="1" x14ac:dyDescent="0.25">
      <c r="J1259" s="87"/>
    </row>
    <row r="1260" spans="10:10" ht="15" customHeight="1" x14ac:dyDescent="0.25">
      <c r="J1260" s="87"/>
    </row>
    <row r="1261" spans="10:10" ht="15" customHeight="1" x14ac:dyDescent="0.25">
      <c r="J1261" s="87"/>
    </row>
    <row r="1262" spans="10:10" ht="15" customHeight="1" x14ac:dyDescent="0.25">
      <c r="J1262" s="87"/>
    </row>
    <row r="1263" spans="10:10" ht="15" customHeight="1" x14ac:dyDescent="0.25">
      <c r="J1263" s="87"/>
    </row>
    <row r="1264" spans="10:10" ht="15" customHeight="1" x14ac:dyDescent="0.25">
      <c r="J1264" s="87"/>
    </row>
    <row r="1265" spans="10:10" ht="15" customHeight="1" x14ac:dyDescent="0.25">
      <c r="J1265" s="87"/>
    </row>
    <row r="1266" spans="10:10" ht="15" customHeight="1" x14ac:dyDescent="0.25">
      <c r="J1266" s="87"/>
    </row>
    <row r="1267" spans="10:10" ht="15" customHeight="1" x14ac:dyDescent="0.25">
      <c r="J1267" s="87"/>
    </row>
    <row r="1268" spans="10:10" ht="15" customHeight="1" x14ac:dyDescent="0.25">
      <c r="J1268" s="87"/>
    </row>
    <row r="1269" spans="10:10" ht="15" customHeight="1" x14ac:dyDescent="0.25">
      <c r="J1269" s="87"/>
    </row>
    <row r="1270" spans="10:10" ht="15" customHeight="1" x14ac:dyDescent="0.25">
      <c r="J1270" s="87"/>
    </row>
    <row r="1271" spans="10:10" ht="15" customHeight="1" x14ac:dyDescent="0.25">
      <c r="J1271" s="87"/>
    </row>
    <row r="1272" spans="10:10" ht="15" customHeight="1" x14ac:dyDescent="0.25">
      <c r="J1272" s="87"/>
    </row>
    <row r="1273" spans="10:10" ht="15" customHeight="1" x14ac:dyDescent="0.25">
      <c r="J1273" s="87"/>
    </row>
    <row r="1274" spans="10:10" ht="15" customHeight="1" x14ac:dyDescent="0.25">
      <c r="J1274" s="87"/>
    </row>
    <row r="1275" spans="10:10" ht="15" customHeight="1" x14ac:dyDescent="0.25">
      <c r="J1275" s="87"/>
    </row>
    <row r="1276" spans="10:10" ht="15" customHeight="1" x14ac:dyDescent="0.25">
      <c r="J1276" s="87"/>
    </row>
    <row r="1277" spans="10:10" ht="15" customHeight="1" x14ac:dyDescent="0.25">
      <c r="J1277" s="87"/>
    </row>
    <row r="1278" spans="10:10" ht="15" customHeight="1" x14ac:dyDescent="0.25">
      <c r="J1278" s="87"/>
    </row>
    <row r="1279" spans="10:10" ht="15" customHeight="1" x14ac:dyDescent="0.25">
      <c r="J1279" s="87"/>
    </row>
    <row r="1280" spans="10:10" ht="15" customHeight="1" x14ac:dyDescent="0.25">
      <c r="J1280" s="87"/>
    </row>
    <row r="1281" spans="10:10" ht="15" customHeight="1" x14ac:dyDescent="0.25">
      <c r="J1281" s="87"/>
    </row>
    <row r="1282" spans="10:10" ht="15" customHeight="1" x14ac:dyDescent="0.25">
      <c r="J1282" s="87"/>
    </row>
    <row r="1283" spans="10:10" ht="15" customHeight="1" x14ac:dyDescent="0.25">
      <c r="J1283" s="87"/>
    </row>
    <row r="1284" spans="10:10" ht="15" customHeight="1" x14ac:dyDescent="0.25">
      <c r="J1284" s="87"/>
    </row>
    <row r="1285" spans="10:10" ht="15" customHeight="1" x14ac:dyDescent="0.25">
      <c r="J1285" s="87"/>
    </row>
    <row r="1286" spans="10:10" ht="15" customHeight="1" x14ac:dyDescent="0.25">
      <c r="J1286" s="87"/>
    </row>
    <row r="1287" spans="10:10" ht="15" customHeight="1" x14ac:dyDescent="0.25">
      <c r="J1287" s="87"/>
    </row>
    <row r="1288" spans="10:10" ht="15" customHeight="1" x14ac:dyDescent="0.25">
      <c r="J1288" s="87"/>
    </row>
    <row r="1289" spans="10:10" ht="15" customHeight="1" x14ac:dyDescent="0.25">
      <c r="J1289" s="87"/>
    </row>
    <row r="1290" spans="10:10" ht="15" customHeight="1" x14ac:dyDescent="0.25">
      <c r="J1290" s="87"/>
    </row>
    <row r="1291" spans="10:10" ht="15" customHeight="1" x14ac:dyDescent="0.25">
      <c r="J1291" s="87"/>
    </row>
    <row r="1292" spans="10:10" ht="15" customHeight="1" x14ac:dyDescent="0.25">
      <c r="J1292" s="87"/>
    </row>
    <row r="1293" spans="10:10" ht="15" customHeight="1" x14ac:dyDescent="0.25">
      <c r="J1293" s="87"/>
    </row>
    <row r="1294" spans="10:10" ht="15" customHeight="1" x14ac:dyDescent="0.25">
      <c r="J1294" s="87"/>
    </row>
    <row r="1295" spans="10:10" ht="15" customHeight="1" x14ac:dyDescent="0.25">
      <c r="J1295" s="87"/>
    </row>
    <row r="1296" spans="10:10" ht="15" customHeight="1" x14ac:dyDescent="0.25">
      <c r="J1296" s="87"/>
    </row>
    <row r="1297" spans="10:10" ht="15" customHeight="1" x14ac:dyDescent="0.25">
      <c r="J1297" s="87"/>
    </row>
    <row r="1298" spans="10:10" ht="15" customHeight="1" x14ac:dyDescent="0.25">
      <c r="J1298" s="87"/>
    </row>
    <row r="1299" spans="10:10" ht="15" customHeight="1" x14ac:dyDescent="0.25">
      <c r="J1299" s="87"/>
    </row>
    <row r="1300" spans="10:10" ht="15" customHeight="1" x14ac:dyDescent="0.25">
      <c r="J1300" s="87"/>
    </row>
    <row r="1301" spans="10:10" ht="15" customHeight="1" x14ac:dyDescent="0.25">
      <c r="J1301" s="87"/>
    </row>
    <row r="1302" spans="10:10" ht="15" customHeight="1" x14ac:dyDescent="0.25">
      <c r="J1302" s="87"/>
    </row>
    <row r="1303" spans="10:10" ht="15" customHeight="1" x14ac:dyDescent="0.25">
      <c r="J1303" s="87"/>
    </row>
    <row r="1304" spans="10:10" ht="15" customHeight="1" x14ac:dyDescent="0.25">
      <c r="J1304" s="87"/>
    </row>
    <row r="1305" spans="10:10" ht="15" customHeight="1" x14ac:dyDescent="0.25">
      <c r="J1305" s="87"/>
    </row>
    <row r="1306" spans="10:10" ht="15" customHeight="1" x14ac:dyDescent="0.25">
      <c r="J1306" s="87"/>
    </row>
    <row r="1307" spans="10:10" ht="15" customHeight="1" x14ac:dyDescent="0.25">
      <c r="J1307" s="87"/>
    </row>
    <row r="1308" spans="10:10" ht="15" customHeight="1" x14ac:dyDescent="0.25">
      <c r="J1308" s="87"/>
    </row>
    <row r="1309" spans="10:10" ht="15" customHeight="1" x14ac:dyDescent="0.25">
      <c r="J1309" s="87"/>
    </row>
    <row r="1310" spans="10:10" ht="15" customHeight="1" x14ac:dyDescent="0.25">
      <c r="J1310" s="87"/>
    </row>
    <row r="1311" spans="10:10" ht="15" customHeight="1" x14ac:dyDescent="0.25">
      <c r="J1311" s="87"/>
    </row>
    <row r="1312" spans="10:10" ht="15" customHeight="1" x14ac:dyDescent="0.25">
      <c r="J1312" s="87"/>
    </row>
    <row r="1313" spans="10:10" ht="15" customHeight="1" x14ac:dyDescent="0.25">
      <c r="J1313" s="87"/>
    </row>
    <row r="1314" spans="10:10" ht="15" customHeight="1" x14ac:dyDescent="0.25">
      <c r="J1314" s="87"/>
    </row>
    <row r="1315" spans="10:10" ht="15" customHeight="1" x14ac:dyDescent="0.25">
      <c r="J1315" s="87"/>
    </row>
    <row r="1316" spans="10:10" ht="15" customHeight="1" x14ac:dyDescent="0.25">
      <c r="J1316" s="87"/>
    </row>
    <row r="1317" spans="10:10" ht="15" customHeight="1" x14ac:dyDescent="0.25">
      <c r="J1317" s="87"/>
    </row>
    <row r="1318" spans="10:10" ht="15" customHeight="1" x14ac:dyDescent="0.25">
      <c r="J1318" s="87"/>
    </row>
    <row r="1319" spans="10:10" ht="15" customHeight="1" x14ac:dyDescent="0.25">
      <c r="J1319" s="87"/>
    </row>
    <row r="1320" spans="10:10" ht="15" customHeight="1" x14ac:dyDescent="0.25">
      <c r="J1320" s="87"/>
    </row>
    <row r="1321" spans="10:10" ht="15" customHeight="1" x14ac:dyDescent="0.25">
      <c r="J1321" s="87"/>
    </row>
    <row r="1322" spans="10:10" ht="15" customHeight="1" x14ac:dyDescent="0.25">
      <c r="J1322" s="87"/>
    </row>
    <row r="1323" spans="10:10" ht="15" customHeight="1" x14ac:dyDescent="0.25">
      <c r="J1323" s="87"/>
    </row>
    <row r="1324" spans="10:10" ht="15" customHeight="1" x14ac:dyDescent="0.25">
      <c r="J1324" s="87"/>
    </row>
    <row r="1325" spans="10:10" ht="15" customHeight="1" x14ac:dyDescent="0.25">
      <c r="J1325" s="87"/>
    </row>
    <row r="1326" spans="10:10" ht="15" customHeight="1" x14ac:dyDescent="0.25">
      <c r="J1326" s="87"/>
    </row>
    <row r="1327" spans="10:10" ht="15" customHeight="1" x14ac:dyDescent="0.25">
      <c r="J1327" s="87"/>
    </row>
    <row r="1328" spans="10:10" ht="15" customHeight="1" x14ac:dyDescent="0.25">
      <c r="J1328" s="87"/>
    </row>
    <row r="1329" spans="10:10" ht="15" customHeight="1" x14ac:dyDescent="0.25">
      <c r="J1329" s="87"/>
    </row>
    <row r="1330" spans="10:10" ht="15" customHeight="1" x14ac:dyDescent="0.25">
      <c r="J1330" s="87"/>
    </row>
    <row r="1331" spans="10:10" ht="15" customHeight="1" x14ac:dyDescent="0.25">
      <c r="J1331" s="87"/>
    </row>
    <row r="1332" spans="10:10" ht="15" customHeight="1" x14ac:dyDescent="0.25">
      <c r="J1332" s="87"/>
    </row>
    <row r="1333" spans="10:10" ht="15" customHeight="1" x14ac:dyDescent="0.25">
      <c r="J1333" s="87"/>
    </row>
    <row r="1334" spans="10:10" ht="15" customHeight="1" x14ac:dyDescent="0.25">
      <c r="J1334" s="87"/>
    </row>
    <row r="1335" spans="10:10" ht="15" customHeight="1" x14ac:dyDescent="0.25">
      <c r="J1335" s="87"/>
    </row>
    <row r="1336" spans="10:10" ht="15" customHeight="1" x14ac:dyDescent="0.25">
      <c r="J1336" s="87"/>
    </row>
    <row r="1337" spans="10:10" ht="15" customHeight="1" x14ac:dyDescent="0.25">
      <c r="J1337" s="87"/>
    </row>
    <row r="1338" spans="10:10" ht="15" customHeight="1" x14ac:dyDescent="0.25">
      <c r="J1338" s="87"/>
    </row>
    <row r="1339" spans="10:10" ht="15" customHeight="1" x14ac:dyDescent="0.25">
      <c r="J1339" s="87"/>
    </row>
    <row r="1340" spans="10:10" ht="15" customHeight="1" x14ac:dyDescent="0.25">
      <c r="J1340" s="87"/>
    </row>
    <row r="1341" spans="10:10" ht="15" customHeight="1" x14ac:dyDescent="0.25">
      <c r="J1341" s="87"/>
    </row>
    <row r="1342" spans="10:10" ht="15" customHeight="1" x14ac:dyDescent="0.25">
      <c r="J1342" s="87"/>
    </row>
    <row r="1343" spans="10:10" ht="15" customHeight="1" x14ac:dyDescent="0.25">
      <c r="J1343" s="87"/>
    </row>
    <row r="1344" spans="10:10" ht="15" customHeight="1" x14ac:dyDescent="0.25">
      <c r="J1344" s="87"/>
    </row>
    <row r="1345" spans="10:10" ht="15" customHeight="1" x14ac:dyDescent="0.25">
      <c r="J1345" s="87"/>
    </row>
    <row r="1346" spans="10:10" ht="15" customHeight="1" x14ac:dyDescent="0.25">
      <c r="J1346" s="87"/>
    </row>
    <row r="1347" spans="10:10" ht="15" customHeight="1" x14ac:dyDescent="0.25">
      <c r="J1347" s="87"/>
    </row>
    <row r="1348" spans="10:10" ht="15" customHeight="1" x14ac:dyDescent="0.25">
      <c r="J1348" s="87"/>
    </row>
    <row r="1349" spans="10:10" ht="15" customHeight="1" x14ac:dyDescent="0.25">
      <c r="J1349" s="87"/>
    </row>
    <row r="1350" spans="10:10" ht="15" customHeight="1" x14ac:dyDescent="0.25">
      <c r="J1350" s="87"/>
    </row>
    <row r="1351" spans="10:10" ht="15" customHeight="1" x14ac:dyDescent="0.25">
      <c r="J1351" s="87"/>
    </row>
    <row r="1352" spans="10:10" ht="15" customHeight="1" x14ac:dyDescent="0.25">
      <c r="J1352" s="87"/>
    </row>
    <row r="1353" spans="10:10" ht="15" customHeight="1" x14ac:dyDescent="0.25">
      <c r="J1353" s="87"/>
    </row>
    <row r="1354" spans="10:10" ht="15" customHeight="1" x14ac:dyDescent="0.25">
      <c r="J1354" s="87"/>
    </row>
    <row r="1355" spans="10:10" ht="15" customHeight="1" x14ac:dyDescent="0.25">
      <c r="J1355" s="87"/>
    </row>
    <row r="1356" spans="10:10" ht="15" customHeight="1" x14ac:dyDescent="0.25">
      <c r="J1356" s="87"/>
    </row>
    <row r="1357" spans="10:10" ht="15" customHeight="1" x14ac:dyDescent="0.25">
      <c r="J1357" s="87"/>
    </row>
    <row r="1358" spans="10:10" ht="15" customHeight="1" x14ac:dyDescent="0.25">
      <c r="J1358" s="87"/>
    </row>
    <row r="1359" spans="10:10" ht="15" customHeight="1" x14ac:dyDescent="0.25">
      <c r="J1359" s="87"/>
    </row>
    <row r="1360" spans="10:10" ht="15" customHeight="1" x14ac:dyDescent="0.25">
      <c r="J1360" s="87"/>
    </row>
    <row r="1361" spans="10:10" ht="15" customHeight="1" x14ac:dyDescent="0.25">
      <c r="J1361" s="87"/>
    </row>
    <row r="1362" spans="10:10" ht="15" customHeight="1" x14ac:dyDescent="0.25">
      <c r="J1362" s="87"/>
    </row>
    <row r="1363" spans="10:10" ht="15" customHeight="1" x14ac:dyDescent="0.25">
      <c r="J1363" s="87"/>
    </row>
    <row r="1364" spans="10:10" ht="15" customHeight="1" x14ac:dyDescent="0.25">
      <c r="J1364" s="87"/>
    </row>
    <row r="1365" spans="10:10" ht="15" customHeight="1" x14ac:dyDescent="0.25">
      <c r="J1365" s="87"/>
    </row>
    <row r="1366" spans="10:10" ht="15" customHeight="1" x14ac:dyDescent="0.25">
      <c r="J1366" s="87"/>
    </row>
    <row r="1367" spans="10:10" ht="15" customHeight="1" x14ac:dyDescent="0.25">
      <c r="J1367" s="87"/>
    </row>
    <row r="1368" spans="10:10" ht="15" customHeight="1" x14ac:dyDescent="0.25">
      <c r="J1368" s="87"/>
    </row>
    <row r="1369" spans="10:10" ht="15" customHeight="1" x14ac:dyDescent="0.25">
      <c r="J1369" s="87"/>
    </row>
    <row r="1370" spans="10:10" ht="15" customHeight="1" x14ac:dyDescent="0.25">
      <c r="J1370" s="87"/>
    </row>
    <row r="1371" spans="10:10" ht="15" customHeight="1" x14ac:dyDescent="0.25">
      <c r="J1371" s="87"/>
    </row>
    <row r="1372" spans="10:10" ht="15" customHeight="1" x14ac:dyDescent="0.25">
      <c r="J1372" s="87"/>
    </row>
    <row r="1373" spans="10:10" ht="15" customHeight="1" x14ac:dyDescent="0.25">
      <c r="J1373" s="87"/>
    </row>
    <row r="1374" spans="10:10" ht="15" customHeight="1" x14ac:dyDescent="0.25">
      <c r="J1374" s="87"/>
    </row>
    <row r="1375" spans="10:10" ht="15" customHeight="1" x14ac:dyDescent="0.25">
      <c r="J1375" s="87"/>
    </row>
    <row r="1376" spans="10:10" ht="15" customHeight="1" x14ac:dyDescent="0.25">
      <c r="J1376" s="87"/>
    </row>
    <row r="1377" spans="10:10" ht="15" customHeight="1" x14ac:dyDescent="0.25">
      <c r="J1377" s="87"/>
    </row>
    <row r="1378" spans="10:10" ht="15" customHeight="1" x14ac:dyDescent="0.25">
      <c r="J1378" s="87"/>
    </row>
    <row r="1379" spans="10:10" ht="15" customHeight="1" x14ac:dyDescent="0.25">
      <c r="J1379" s="87"/>
    </row>
    <row r="1380" spans="10:10" ht="15" customHeight="1" x14ac:dyDescent="0.25">
      <c r="J1380" s="87"/>
    </row>
    <row r="1381" spans="10:10" ht="15" customHeight="1" x14ac:dyDescent="0.25">
      <c r="J1381" s="87"/>
    </row>
    <row r="1382" spans="10:10" ht="15" customHeight="1" x14ac:dyDescent="0.25">
      <c r="J1382" s="87"/>
    </row>
    <row r="1383" spans="10:10" ht="15" customHeight="1" x14ac:dyDescent="0.25">
      <c r="J1383" s="87"/>
    </row>
    <row r="1384" spans="10:10" ht="15" customHeight="1" x14ac:dyDescent="0.25">
      <c r="J1384" s="87"/>
    </row>
    <row r="1385" spans="10:10" ht="15" customHeight="1" x14ac:dyDescent="0.25">
      <c r="J1385" s="87"/>
    </row>
    <row r="1386" spans="10:10" ht="15" customHeight="1" x14ac:dyDescent="0.25">
      <c r="J1386" s="87"/>
    </row>
    <row r="1387" spans="10:10" ht="15" customHeight="1" x14ac:dyDescent="0.25">
      <c r="J1387" s="87"/>
    </row>
    <row r="1388" spans="10:10" ht="15" customHeight="1" x14ac:dyDescent="0.25">
      <c r="J1388" s="87"/>
    </row>
    <row r="1389" spans="10:10" ht="15" customHeight="1" x14ac:dyDescent="0.25">
      <c r="J1389" s="87"/>
    </row>
    <row r="1390" spans="10:10" ht="15" customHeight="1" x14ac:dyDescent="0.25">
      <c r="J1390" s="87"/>
    </row>
    <row r="1391" spans="10:10" ht="15" customHeight="1" x14ac:dyDescent="0.25">
      <c r="J1391" s="87"/>
    </row>
    <row r="1392" spans="10:10" ht="15" customHeight="1" x14ac:dyDescent="0.25">
      <c r="J1392" s="87"/>
    </row>
    <row r="1393" spans="1:16" ht="15" customHeight="1" x14ac:dyDescent="0.25">
      <c r="J1393" s="87"/>
    </row>
    <row r="1394" spans="1:16" ht="15" customHeight="1" x14ac:dyDescent="0.25">
      <c r="J1394" s="87"/>
    </row>
    <row r="1395" spans="1:16" ht="15" customHeight="1" x14ac:dyDescent="0.25">
      <c r="J1395" s="87"/>
    </row>
    <row r="1396" spans="1:16" ht="15" customHeight="1" x14ac:dyDescent="0.25">
      <c r="J1396" s="87"/>
    </row>
    <row r="1397" spans="1:16" ht="15" customHeight="1" x14ac:dyDescent="0.25">
      <c r="J1397" s="87"/>
    </row>
    <row r="1398" spans="1:16" ht="15" customHeight="1" x14ac:dyDescent="0.25">
      <c r="J1398" s="87"/>
    </row>
    <row r="1399" spans="1:16" ht="15" customHeight="1" x14ac:dyDescent="0.25">
      <c r="J1399" s="87"/>
    </row>
    <row r="1400" spans="1:16" ht="15" customHeight="1" x14ac:dyDescent="0.25">
      <c r="J1400" s="87"/>
    </row>
    <row r="1401" spans="1:16" ht="15" customHeight="1" x14ac:dyDescent="0.25">
      <c r="J1401" s="87"/>
    </row>
    <row r="1402" spans="1:16" ht="15" customHeight="1" x14ac:dyDescent="0.25">
      <c r="J1402" s="87"/>
    </row>
    <row r="1403" spans="1:16" ht="15" customHeight="1" x14ac:dyDescent="0.25">
      <c r="J1403" s="87"/>
    </row>
    <row r="1404" spans="1:16" ht="15" customHeight="1" x14ac:dyDescent="0.25">
      <c r="J1404" s="87"/>
    </row>
    <row r="1405" spans="1:16" ht="15" customHeight="1" x14ac:dyDescent="0.25">
      <c r="J1405" s="87"/>
    </row>
    <row r="1406" spans="1:16" x14ac:dyDescent="0.25">
      <c r="A1406" t="s">
        <v>2131</v>
      </c>
      <c r="E1406" t="s">
        <v>195</v>
      </c>
      <c r="F1406" t="s">
        <v>2132</v>
      </c>
      <c r="G1406" t="s">
        <v>2131</v>
      </c>
      <c r="H1406" t="s">
        <v>2133</v>
      </c>
      <c r="I1406">
        <v>0</v>
      </c>
      <c r="J1406" s="7">
        <v>0</v>
      </c>
      <c r="K1406">
        <v>0</v>
      </c>
      <c r="L1406">
        <v>0</v>
      </c>
      <c r="P1406">
        <v>0</v>
      </c>
    </row>
    <row r="1407" spans="1:16" x14ac:dyDescent="0.25">
      <c r="A1407" t="s">
        <v>2134</v>
      </c>
      <c r="E1407" t="s">
        <v>195</v>
      </c>
      <c r="F1407" t="s">
        <v>2132</v>
      </c>
      <c r="G1407" t="s">
        <v>2134</v>
      </c>
      <c r="H1407" t="s">
        <v>2133</v>
      </c>
      <c r="I1407">
        <v>0</v>
      </c>
      <c r="J1407" s="7">
        <v>0</v>
      </c>
      <c r="K1407">
        <v>0</v>
      </c>
      <c r="L1407">
        <v>0</v>
      </c>
      <c r="P1407">
        <v>0</v>
      </c>
    </row>
    <row r="1408" spans="1:16" x14ac:dyDescent="0.25">
      <c r="A1408" t="s">
        <v>2135</v>
      </c>
      <c r="E1408" t="s">
        <v>2136</v>
      </c>
      <c r="F1408" t="s">
        <v>2137</v>
      </c>
      <c r="G1408" t="s">
        <v>2135</v>
      </c>
      <c r="H1408" t="s">
        <v>2133</v>
      </c>
      <c r="I1408">
        <v>0</v>
      </c>
      <c r="J1408" s="7">
        <v>0</v>
      </c>
      <c r="K1408">
        <v>0</v>
      </c>
      <c r="L1408">
        <v>0</v>
      </c>
      <c r="P1408">
        <v>0</v>
      </c>
    </row>
    <row r="1409" spans="1:16" x14ac:dyDescent="0.25">
      <c r="A1409" t="s">
        <v>2138</v>
      </c>
      <c r="E1409" t="s">
        <v>2136</v>
      </c>
      <c r="F1409" t="s">
        <v>2139</v>
      </c>
      <c r="G1409" t="s">
        <v>2138</v>
      </c>
      <c r="H1409" t="s">
        <v>2133</v>
      </c>
      <c r="I1409">
        <v>0</v>
      </c>
      <c r="J1409" s="7">
        <v>0</v>
      </c>
      <c r="K1409">
        <v>0</v>
      </c>
      <c r="L1409">
        <v>0</v>
      </c>
      <c r="P1409">
        <v>0</v>
      </c>
    </row>
    <row r="1410" spans="1:16" x14ac:dyDescent="0.25">
      <c r="A1410" t="s">
        <v>2140</v>
      </c>
      <c r="E1410" t="s">
        <v>2136</v>
      </c>
      <c r="F1410" t="s">
        <v>2141</v>
      </c>
      <c r="G1410" t="s">
        <v>2140</v>
      </c>
      <c r="H1410" t="s">
        <v>2133</v>
      </c>
      <c r="I1410">
        <v>0</v>
      </c>
      <c r="J1410" s="7">
        <v>0</v>
      </c>
      <c r="K1410">
        <v>0</v>
      </c>
      <c r="L1410">
        <v>0</v>
      </c>
      <c r="P1410">
        <v>0</v>
      </c>
    </row>
    <row r="1411" spans="1:16" x14ac:dyDescent="0.25">
      <c r="A1411" t="s">
        <v>2142</v>
      </c>
      <c r="E1411" t="s">
        <v>2136</v>
      </c>
      <c r="F1411" t="s">
        <v>2141</v>
      </c>
      <c r="G1411" t="s">
        <v>2142</v>
      </c>
      <c r="H1411" t="s">
        <v>2133</v>
      </c>
      <c r="I1411">
        <v>0</v>
      </c>
      <c r="J1411" s="7">
        <v>0</v>
      </c>
      <c r="K1411">
        <v>0</v>
      </c>
      <c r="L1411">
        <v>0</v>
      </c>
      <c r="P1411">
        <v>0</v>
      </c>
    </row>
    <row r="1412" spans="1:16" x14ac:dyDescent="0.25">
      <c r="A1412" t="s">
        <v>2143</v>
      </c>
      <c r="E1412" t="s">
        <v>2136</v>
      </c>
      <c r="F1412" t="s">
        <v>2141</v>
      </c>
      <c r="G1412" t="s">
        <v>2143</v>
      </c>
      <c r="H1412" t="s">
        <v>2133</v>
      </c>
      <c r="I1412">
        <v>0</v>
      </c>
      <c r="J1412" s="7">
        <v>0</v>
      </c>
      <c r="K1412">
        <v>0</v>
      </c>
      <c r="L1412">
        <v>0</v>
      </c>
      <c r="P1412">
        <v>0</v>
      </c>
    </row>
    <row r="1413" spans="1:16" x14ac:dyDescent="0.25">
      <c r="A1413" t="s">
        <v>2144</v>
      </c>
      <c r="E1413" t="s">
        <v>2136</v>
      </c>
      <c r="F1413" t="s">
        <v>2145</v>
      </c>
      <c r="G1413" t="s">
        <v>2144</v>
      </c>
      <c r="H1413" t="s">
        <v>2133</v>
      </c>
      <c r="I1413">
        <v>0</v>
      </c>
      <c r="J1413" s="7">
        <v>0</v>
      </c>
      <c r="K1413">
        <v>0</v>
      </c>
      <c r="L1413">
        <v>0</v>
      </c>
      <c r="P1413">
        <v>0</v>
      </c>
    </row>
    <row r="1414" spans="1:16" x14ac:dyDescent="0.25">
      <c r="A1414" t="s">
        <v>2146</v>
      </c>
      <c r="E1414" t="s">
        <v>2136</v>
      </c>
      <c r="F1414" t="s">
        <v>2145</v>
      </c>
      <c r="G1414" t="s">
        <v>2146</v>
      </c>
      <c r="H1414" t="s">
        <v>2133</v>
      </c>
      <c r="I1414">
        <v>0</v>
      </c>
      <c r="J1414" s="7">
        <v>0</v>
      </c>
      <c r="K1414">
        <v>0</v>
      </c>
      <c r="L1414">
        <v>0</v>
      </c>
      <c r="P1414">
        <v>0</v>
      </c>
    </row>
    <row r="1415" spans="1:16" x14ac:dyDescent="0.25">
      <c r="A1415" t="s">
        <v>2147</v>
      </c>
      <c r="E1415" t="s">
        <v>2136</v>
      </c>
      <c r="F1415" t="s">
        <v>2145</v>
      </c>
      <c r="G1415" t="s">
        <v>2147</v>
      </c>
      <c r="H1415" t="s">
        <v>2133</v>
      </c>
      <c r="I1415">
        <v>0</v>
      </c>
      <c r="J1415" s="7">
        <v>0</v>
      </c>
      <c r="K1415">
        <v>0</v>
      </c>
      <c r="L1415">
        <v>0</v>
      </c>
      <c r="P1415">
        <v>0</v>
      </c>
    </row>
    <row r="1416" spans="1:16" x14ac:dyDescent="0.25">
      <c r="A1416" t="s">
        <v>2148</v>
      </c>
      <c r="E1416" t="s">
        <v>2136</v>
      </c>
      <c r="F1416" t="s">
        <v>2149</v>
      </c>
      <c r="G1416" t="s">
        <v>2148</v>
      </c>
      <c r="H1416" t="s">
        <v>2133</v>
      </c>
      <c r="I1416">
        <v>0</v>
      </c>
      <c r="J1416" s="7">
        <v>0</v>
      </c>
      <c r="K1416">
        <v>0</v>
      </c>
      <c r="L1416">
        <v>0</v>
      </c>
      <c r="P1416">
        <v>0</v>
      </c>
    </row>
    <row r="1417" spans="1:16" x14ac:dyDescent="0.25">
      <c r="A1417" t="s">
        <v>2150</v>
      </c>
      <c r="E1417" t="s">
        <v>2136</v>
      </c>
      <c r="F1417" t="s">
        <v>2149</v>
      </c>
      <c r="G1417" t="s">
        <v>2150</v>
      </c>
      <c r="H1417" t="s">
        <v>2133</v>
      </c>
      <c r="I1417">
        <v>0</v>
      </c>
      <c r="J1417" s="7">
        <v>0</v>
      </c>
      <c r="K1417">
        <v>0</v>
      </c>
      <c r="L1417">
        <v>0</v>
      </c>
      <c r="P1417">
        <v>0</v>
      </c>
    </row>
    <row r="1418" spans="1:16" x14ac:dyDescent="0.25">
      <c r="A1418" t="s">
        <v>2151</v>
      </c>
      <c r="E1418" t="s">
        <v>2136</v>
      </c>
      <c r="F1418" t="s">
        <v>2152</v>
      </c>
      <c r="G1418" t="s">
        <v>2151</v>
      </c>
      <c r="H1418" t="s">
        <v>2133</v>
      </c>
      <c r="I1418">
        <v>0</v>
      </c>
      <c r="J1418" s="7">
        <v>0</v>
      </c>
      <c r="K1418">
        <v>0</v>
      </c>
      <c r="L1418">
        <v>0</v>
      </c>
      <c r="P1418">
        <v>0</v>
      </c>
    </row>
    <row r="1419" spans="1:16" x14ac:dyDescent="0.25">
      <c r="A1419" t="s">
        <v>2153</v>
      </c>
      <c r="E1419" t="s">
        <v>2136</v>
      </c>
      <c r="F1419" t="s">
        <v>2154</v>
      </c>
      <c r="G1419" t="s">
        <v>2153</v>
      </c>
      <c r="H1419" t="s">
        <v>2133</v>
      </c>
      <c r="I1419">
        <v>0</v>
      </c>
      <c r="J1419" s="7">
        <v>0</v>
      </c>
      <c r="K1419">
        <v>0</v>
      </c>
      <c r="L1419">
        <v>0</v>
      </c>
      <c r="P1419">
        <v>0</v>
      </c>
    </row>
    <row r="1420" spans="1:16" x14ac:dyDescent="0.25">
      <c r="A1420" t="s">
        <v>2155</v>
      </c>
      <c r="E1420" t="s">
        <v>2136</v>
      </c>
      <c r="F1420" t="s">
        <v>2154</v>
      </c>
      <c r="G1420" t="s">
        <v>2155</v>
      </c>
      <c r="H1420" t="s">
        <v>2133</v>
      </c>
      <c r="I1420">
        <v>0</v>
      </c>
      <c r="J1420" s="7">
        <v>0</v>
      </c>
      <c r="K1420">
        <v>0</v>
      </c>
      <c r="L1420">
        <v>0</v>
      </c>
      <c r="P1420">
        <v>0</v>
      </c>
    </row>
    <row r="1421" spans="1:16" x14ac:dyDescent="0.25">
      <c r="A1421" t="s">
        <v>2156</v>
      </c>
      <c r="E1421" t="s">
        <v>2136</v>
      </c>
      <c r="F1421" t="s">
        <v>2157</v>
      </c>
      <c r="G1421" t="s">
        <v>2156</v>
      </c>
      <c r="H1421" t="s">
        <v>2133</v>
      </c>
      <c r="I1421">
        <v>0</v>
      </c>
      <c r="J1421" s="7">
        <v>0</v>
      </c>
      <c r="K1421">
        <v>0</v>
      </c>
      <c r="L1421">
        <v>0</v>
      </c>
      <c r="P1421">
        <v>0</v>
      </c>
    </row>
    <row r="1422" spans="1:16" x14ac:dyDescent="0.25">
      <c r="A1422" t="s">
        <v>2158</v>
      </c>
      <c r="E1422" t="s">
        <v>2136</v>
      </c>
      <c r="F1422" t="s">
        <v>2157</v>
      </c>
      <c r="G1422" t="s">
        <v>2158</v>
      </c>
      <c r="H1422" t="s">
        <v>2133</v>
      </c>
      <c r="I1422">
        <v>0</v>
      </c>
      <c r="J1422" s="7">
        <v>0</v>
      </c>
      <c r="K1422">
        <v>0</v>
      </c>
      <c r="L1422">
        <v>0</v>
      </c>
      <c r="P1422">
        <v>0</v>
      </c>
    </row>
    <row r="1423" spans="1:16" x14ac:dyDescent="0.25">
      <c r="A1423" t="s">
        <v>2159</v>
      </c>
      <c r="E1423" t="s">
        <v>2136</v>
      </c>
      <c r="F1423" t="s">
        <v>2179</v>
      </c>
      <c r="G1423" t="s">
        <v>2159</v>
      </c>
      <c r="H1423" t="s">
        <v>2133</v>
      </c>
      <c r="I1423">
        <v>0</v>
      </c>
      <c r="J1423" s="7">
        <v>0</v>
      </c>
      <c r="K1423">
        <v>0</v>
      </c>
      <c r="L1423">
        <v>0</v>
      </c>
      <c r="P1423">
        <v>0</v>
      </c>
    </row>
    <row r="1424" spans="1:16" x14ac:dyDescent="0.25">
      <c r="A1424" t="s">
        <v>2161</v>
      </c>
      <c r="E1424" t="s">
        <v>2136</v>
      </c>
      <c r="F1424" t="s">
        <v>2162</v>
      </c>
      <c r="G1424" t="s">
        <v>2161</v>
      </c>
      <c r="H1424" t="s">
        <v>2133</v>
      </c>
      <c r="I1424">
        <v>0</v>
      </c>
      <c r="J1424" s="7">
        <v>0</v>
      </c>
      <c r="K1424">
        <v>0</v>
      </c>
      <c r="L1424">
        <v>0</v>
      </c>
      <c r="P1424">
        <v>0</v>
      </c>
    </row>
    <row r="1425" spans="1:16" x14ac:dyDescent="0.25">
      <c r="A1425" t="s">
        <v>2163</v>
      </c>
      <c r="E1425" t="s">
        <v>2136</v>
      </c>
      <c r="F1425" t="s">
        <v>2164</v>
      </c>
      <c r="G1425" t="s">
        <v>2163</v>
      </c>
      <c r="H1425" t="s">
        <v>2133</v>
      </c>
      <c r="I1425">
        <v>0</v>
      </c>
      <c r="J1425" s="7">
        <v>0</v>
      </c>
      <c r="K1425">
        <v>0</v>
      </c>
      <c r="L1425">
        <v>0</v>
      </c>
      <c r="P1425">
        <v>0</v>
      </c>
    </row>
    <row r="1426" spans="1:16" x14ac:dyDescent="0.25">
      <c r="A1426" t="s">
        <v>2165</v>
      </c>
      <c r="E1426" t="s">
        <v>2166</v>
      </c>
      <c r="F1426" t="s">
        <v>2180</v>
      </c>
      <c r="G1426" t="s">
        <v>2165</v>
      </c>
      <c r="H1426" t="s">
        <v>2133</v>
      </c>
      <c r="I1426">
        <v>0</v>
      </c>
      <c r="J1426" s="7">
        <v>0</v>
      </c>
      <c r="K1426">
        <v>0</v>
      </c>
      <c r="L1426">
        <v>0</v>
      </c>
      <c r="P1426">
        <v>0</v>
      </c>
    </row>
    <row r="1427" spans="1:16" x14ac:dyDescent="0.25">
      <c r="A1427" t="s">
        <v>2168</v>
      </c>
      <c r="E1427" t="s">
        <v>2166</v>
      </c>
      <c r="F1427" t="s">
        <v>2181</v>
      </c>
      <c r="G1427" t="s">
        <v>2168</v>
      </c>
      <c r="H1427" t="s">
        <v>2133</v>
      </c>
      <c r="I1427">
        <v>0</v>
      </c>
      <c r="J1427" s="7">
        <v>0</v>
      </c>
      <c r="K1427">
        <v>0</v>
      </c>
      <c r="L1427">
        <v>0</v>
      </c>
      <c r="P1427">
        <v>0</v>
      </c>
    </row>
    <row r="1428" spans="1:16" x14ac:dyDescent="0.25">
      <c r="A1428" t="s">
        <v>2170</v>
      </c>
      <c r="E1428" t="s">
        <v>2171</v>
      </c>
      <c r="F1428" t="s">
        <v>2182</v>
      </c>
      <c r="G1428" t="s">
        <v>2170</v>
      </c>
      <c r="H1428" t="s">
        <v>2133</v>
      </c>
      <c r="I1428">
        <v>0</v>
      </c>
      <c r="J1428" s="7">
        <v>0</v>
      </c>
      <c r="K1428">
        <v>0</v>
      </c>
      <c r="L1428">
        <v>0</v>
      </c>
      <c r="P1428">
        <v>0</v>
      </c>
    </row>
  </sheetData>
  <mergeCells count="1">
    <mergeCell ref="A1:T1"/>
  </mergeCells>
  <phoneticPr fontId="69" type="noConversion"/>
  <conditionalFormatting sqref="K3:K369">
    <cfRule type="cellIs" dxfId="113" priority="23" operator="greaterThan">
      <formula>0</formula>
    </cfRule>
  </conditionalFormatting>
  <conditionalFormatting sqref="L3:L117 L119:L369">
    <cfRule type="cellIs" dxfId="112" priority="24" operator="greaterThan">
      <formula>0</formula>
    </cfRule>
  </conditionalFormatting>
  <conditionalFormatting sqref="M1:N1 M3:N1048576">
    <cfRule type="cellIs" dxfId="111" priority="21" operator="greaterThan">
      <formula>0</formula>
    </cfRule>
    <cfRule type="cellIs" dxfId="110" priority="22" operator="lessThan">
      <formula>0</formula>
    </cfRule>
  </conditionalFormatting>
  <conditionalFormatting sqref="AM3:AM117 AM119:AM361 T3:T369">
    <cfRule type="expression" dxfId="109" priority="40">
      <formula>ISNUMBER(SEARCH("CRÍTICO",T3))</formula>
    </cfRule>
  </conditionalFormatting>
  <conditionalFormatting sqref="T3:T369">
    <cfRule type="expression" dxfId="108" priority="25">
      <formula>T3="Crítico"</formula>
    </cfRule>
    <cfRule type="expression" dxfId="107" priority="26">
      <formula>T3="Recebimento Parcial"</formula>
    </cfRule>
    <cfRule type="expression" dxfId="106" priority="27">
      <formula>T3="Atendido"</formula>
    </cfRule>
    <cfRule type="expression" dxfId="105" priority="28">
      <formula>T3="Excedente"</formula>
    </cfRule>
  </conditionalFormatting>
  <conditionalFormatting sqref="V3:V117 V119:V361">
    <cfRule type="expression" dxfId="104" priority="33">
      <formula>V3="Nível 1 - Base Estrutural"</formula>
    </cfRule>
    <cfRule type="expression" dxfId="103" priority="34">
      <formula>V3="Nível 2 - Pré-montagem"</formula>
    </cfRule>
    <cfRule type="expression" dxfId="102" priority="35">
      <formula>V3="Nível 3 - Complementar"</formula>
    </cfRule>
  </conditionalFormatting>
  <conditionalFormatting sqref="X3:X117 X119:X361">
    <cfRule type="cellIs" dxfId="101" priority="29" operator="greaterThan">
      <formula>0</formula>
    </cfRule>
  </conditionalFormatting>
  <conditionalFormatting sqref="Z3:Z117 Z119:Z361">
    <cfRule type="expression" dxfId="100" priority="30">
      <formula>LEFT(Z3,1)="🔴"</formula>
    </cfRule>
    <cfRule type="expression" dxfId="99" priority="31">
      <formula>LEFT(Z3,1)="🟡"</formula>
    </cfRule>
    <cfRule type="expression" dxfId="98" priority="32">
      <formula>LEFT(Z3,1)="🟢"</formula>
    </cfRule>
  </conditionalFormatting>
  <conditionalFormatting sqref="Z362:Z368 AR362:AR368 BJ362:BJ368 AT119:AT361">
    <cfRule type="expression" dxfId="97" priority="14">
      <formula>ISNUMBER(SEARCH("CRÍTICO",Z119))</formula>
    </cfRule>
    <cfRule type="expression" dxfId="96" priority="15">
      <formula>ISNUMBER(SEARCH("ATENÇÃO",Z119))</formula>
    </cfRule>
    <cfRule type="expression" dxfId="95" priority="16">
      <formula>ISNUMBER(SEARCH("OK",Z119))</formula>
    </cfRule>
    <cfRule type="expression" dxfId="94" priority="17">
      <formula>Z119="CRÍTICO"</formula>
    </cfRule>
    <cfRule type="expression" dxfId="93" priority="18">
      <formula>Z119="ATENÇÃO"</formula>
    </cfRule>
    <cfRule type="expression" dxfId="92" priority="19">
      <formula>Z119="OK"</formula>
    </cfRule>
  </conditionalFormatting>
  <conditionalFormatting sqref="AE362:AE368 AW362:AW368">
    <cfRule type="cellIs" dxfId="91" priority="4" operator="greaterThan">
      <formula>0</formula>
    </cfRule>
  </conditionalFormatting>
  <conditionalFormatting sqref="AF362:AF368 AX362:AX368">
    <cfRule type="cellIs" dxfId="90" priority="5" operator="greaterThan">
      <formula>0</formula>
    </cfRule>
  </conditionalFormatting>
  <conditionalFormatting sqref="AG362:AH368 AY362:AZ368">
    <cfRule type="cellIs" dxfId="89" priority="2" operator="greaterThan">
      <formula>0</formula>
    </cfRule>
    <cfRule type="cellIs" dxfId="88" priority="3" operator="lessThan">
      <formula>0</formula>
    </cfRule>
  </conditionalFormatting>
  <conditionalFormatting sqref="AK362:AK368 BC362:BC368">
    <cfRule type="colorScale" priority="13">
      <colorScale>
        <cfvo type="min"/>
        <cfvo type="percentile" val="50"/>
        <cfvo type="max"/>
        <color rgb="FFF8CBAD"/>
        <color rgb="FFFFF2CC"/>
        <color rgb="FFE2F0D9"/>
      </colorScale>
    </cfRule>
  </conditionalFormatting>
  <conditionalFormatting sqref="AL362:AL368 BD362:BD368">
    <cfRule type="expression" dxfId="87" priority="6">
      <formula>AL362="Crítico"</formula>
    </cfRule>
    <cfRule type="expression" dxfId="86" priority="7">
      <formula>AL362="Recebimento Parcial"</formula>
    </cfRule>
    <cfRule type="expression" dxfId="85" priority="8">
      <formula>AL362="Atendido"</formula>
    </cfRule>
    <cfRule type="expression" dxfId="84" priority="9">
      <formula>AL362="Excedente"</formula>
    </cfRule>
    <cfRule type="expression" dxfId="83" priority="10">
      <formula>ISNUMBER(SEARCH("CRÍTICO",AL362))</formula>
    </cfRule>
    <cfRule type="expression" dxfId="82" priority="11">
      <formula>ISNUMBER(SEARCH("ATENÇÃO",AL362))</formula>
    </cfRule>
    <cfRule type="expression" dxfId="81" priority="12">
      <formula>ISNUMBER(SEARCH("OK",AL362))</formula>
    </cfRule>
  </conditionalFormatting>
  <conditionalFormatting sqref="AL3:AM117 AL119:AM178">
    <cfRule type="expression" dxfId="80" priority="43">
      <formula>AL3="CRÍTICO"</formula>
    </cfRule>
    <cfRule type="expression" dxfId="79" priority="44">
      <formula>AL3="ATENÇÃO"</formula>
    </cfRule>
    <cfRule type="expression" dxfId="78" priority="45">
      <formula>AL3="OK"</formula>
    </cfRule>
  </conditionalFormatting>
  <conditionalFormatting sqref="AM3:AM117 AM119:AM361 T3:T369">
    <cfRule type="expression" dxfId="77" priority="41">
      <formula>ISNUMBER(SEARCH("ATENÇÃO",T3))</formula>
    </cfRule>
    <cfRule type="expression" dxfId="76" priority="42">
      <formula>ISNUMBER(SEARCH("OK",T3))</formula>
    </cfRule>
  </conditionalFormatting>
  <conditionalFormatting sqref="AT3:AT117">
    <cfRule type="expression" dxfId="75" priority="36">
      <formula>ISNUMBER(SEARCH("CRÍTICO",AT3))</formula>
    </cfRule>
    <cfRule type="expression" dxfId="74" priority="37">
      <formula>ISNUMBER(SEARCH("ATENÇÃO",AT3))</formula>
    </cfRule>
    <cfRule type="expression" dxfId="73" priority="38">
      <formula>ISNUMBER(SEARCH("OK",AT3))</formula>
    </cfRule>
    <cfRule type="expression" dxfId="72" priority="49">
      <formula>AT3="CRÍTICO"</formula>
    </cfRule>
    <cfRule type="expression" dxfId="71" priority="50">
      <formula>AT3="ATENÇÃO"</formula>
    </cfRule>
    <cfRule type="expression" dxfId="70" priority="51">
      <formula>AT3="OK"</formula>
    </cfRule>
  </conditionalFormatting>
  <conditionalFormatting sqref="AY3:AY117 BA3:BA117 AY119:AY361 BA119:BA361">
    <cfRule type="expression" dxfId="69" priority="53">
      <formula>ISNUMBER(SEARCH("VERIFICAR",AY3))</formula>
    </cfRule>
    <cfRule type="expression" dxfId="68" priority="53">
      <formula>ISNUMBER(SEARCH("BAIXADO",AY3))</formula>
    </cfRule>
    <cfRule type="expression" dxfId="67" priority="54">
      <formula>ISNUMBER(SEARCH("TAG COMUM",AY3))</formula>
    </cfRule>
  </conditionalFormatting>
  <conditionalFormatting sqref="S3:S369">
    <cfRule type="colorScale" priority="181">
      <colorScale>
        <cfvo type="min"/>
        <cfvo type="percentile" val="50"/>
        <cfvo type="max"/>
        <color rgb="FFF8CBAD"/>
        <color rgb="FFFFF2CC"/>
        <color rgb="FFE2F0D9"/>
      </colorScale>
    </cfRule>
  </conditionalFormatting>
  <conditionalFormatting sqref="AB3:AB117 AB119:AB361">
    <cfRule type="colorScale" priority="183">
      <colorScale>
        <cfvo type="min"/>
        <cfvo type="percentile" val="50"/>
        <cfvo type="max"/>
        <color rgb="FFFFFFFF"/>
        <color rgb="FFFEF3C7"/>
        <color rgb="FFFEE2E2"/>
      </colorScale>
    </cfRule>
  </conditionalFormatting>
  <dataValidations disablePrompts="1" count="1">
    <dataValidation type="list" allowBlank="1" sqref="AP3:AP117 AP119:AP368" xr:uid="{00000000-0002-0000-0600-000000000000}">
      <formula1>"Rua 1,Rua 2,Rua 3,Rua 4,Rua 5"</formula1>
      <formula2>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0"/>
  <dimension ref="A1:AG31"/>
  <sheetViews>
    <sheetView topLeftCell="J3" workbookViewId="0">
      <selection activeCell="R32" sqref="R32"/>
    </sheetView>
  </sheetViews>
  <sheetFormatPr defaultRowHeight="15" x14ac:dyDescent="0.25"/>
  <cols>
    <col min="1" max="1" width="21.28515625" customWidth="1"/>
    <col min="2" max="2" width="10.7109375" customWidth="1"/>
    <col min="4" max="4" width="8.85546875" customWidth="1"/>
    <col min="27" max="27" width="25.7109375" customWidth="1"/>
  </cols>
  <sheetData>
    <row r="1" spans="1:33" ht="16.5" thickTop="1" thickBot="1" x14ac:dyDescent="0.3">
      <c r="A1" s="401" t="s">
        <v>435</v>
      </c>
      <c r="B1" s="401"/>
      <c r="C1" s="402" t="s">
        <v>2082</v>
      </c>
      <c r="D1" s="403"/>
      <c r="E1" s="402" t="s">
        <v>2083</v>
      </c>
      <c r="F1" s="403"/>
      <c r="G1" s="402" t="s">
        <v>2084</v>
      </c>
      <c r="H1" s="403"/>
      <c r="I1" s="402" t="s">
        <v>2085</v>
      </c>
      <c r="J1" s="405"/>
      <c r="K1" s="406" t="s">
        <v>2090</v>
      </c>
      <c r="L1" s="407"/>
      <c r="M1" s="406" t="s">
        <v>2100</v>
      </c>
      <c r="N1" s="407"/>
      <c r="O1" s="408" t="s">
        <v>2102</v>
      </c>
      <c r="P1" s="401"/>
      <c r="Q1" s="401" t="s">
        <v>2299</v>
      </c>
      <c r="R1" s="401"/>
      <c r="S1" s="401"/>
      <c r="T1" s="401"/>
      <c r="U1" s="404" t="s">
        <v>2089</v>
      </c>
      <c r="V1" s="403"/>
      <c r="W1" s="399" t="s">
        <v>436</v>
      </c>
      <c r="AA1" s="397" t="s">
        <v>2052</v>
      </c>
      <c r="AB1" s="398"/>
      <c r="AC1" s="296">
        <v>46263</v>
      </c>
      <c r="AD1" s="296">
        <v>46270</v>
      </c>
      <c r="AE1" s="296">
        <v>46277</v>
      </c>
      <c r="AF1" s="296">
        <v>46284</v>
      </c>
      <c r="AG1" s="296">
        <v>46291</v>
      </c>
    </row>
    <row r="2" spans="1:33" x14ac:dyDescent="0.25">
      <c r="A2" s="241" t="s">
        <v>101</v>
      </c>
      <c r="B2" s="241" t="s">
        <v>102</v>
      </c>
      <c r="C2" s="250" t="s">
        <v>437</v>
      </c>
      <c r="D2" s="251" t="s">
        <v>438</v>
      </c>
      <c r="E2" s="250" t="s">
        <v>437</v>
      </c>
      <c r="F2" s="251" t="s">
        <v>438</v>
      </c>
      <c r="G2" s="250" t="s">
        <v>437</v>
      </c>
      <c r="H2" s="251" t="s">
        <v>438</v>
      </c>
      <c r="I2" s="250" t="s">
        <v>437</v>
      </c>
      <c r="J2" s="241" t="s">
        <v>438</v>
      </c>
      <c r="K2" s="320" t="s">
        <v>437</v>
      </c>
      <c r="L2" s="321" t="s">
        <v>438</v>
      </c>
      <c r="M2" s="320" t="s">
        <v>437</v>
      </c>
      <c r="N2" s="321" t="s">
        <v>438</v>
      </c>
      <c r="O2" s="322" t="s">
        <v>437</v>
      </c>
      <c r="P2" s="322" t="s">
        <v>438</v>
      </c>
      <c r="Q2" s="322" t="s">
        <v>437</v>
      </c>
      <c r="R2" s="322" t="s">
        <v>438</v>
      </c>
      <c r="S2" s="322" t="s">
        <v>437</v>
      </c>
      <c r="T2" s="322" t="s">
        <v>438</v>
      </c>
      <c r="U2" s="241" t="s">
        <v>437</v>
      </c>
      <c r="V2" s="251" t="s">
        <v>438</v>
      </c>
      <c r="W2" s="400"/>
      <c r="AA2" s="286" t="s">
        <v>101</v>
      </c>
      <c r="AB2" s="286" t="s">
        <v>627</v>
      </c>
      <c r="AC2" s="286" t="s">
        <v>627</v>
      </c>
      <c r="AD2" t="s">
        <v>627</v>
      </c>
      <c r="AE2" t="s">
        <v>627</v>
      </c>
      <c r="AF2" t="s">
        <v>627</v>
      </c>
      <c r="AG2" t="s">
        <v>627</v>
      </c>
    </row>
    <row r="3" spans="1:33" x14ac:dyDescent="0.25">
      <c r="A3" s="247" t="s">
        <v>383</v>
      </c>
      <c r="B3" s="249" t="s">
        <v>384</v>
      </c>
      <c r="C3" s="252"/>
      <c r="D3" s="253"/>
      <c r="E3" s="252"/>
      <c r="F3" s="253"/>
      <c r="G3" s="252"/>
      <c r="H3" s="253"/>
      <c r="I3" s="252"/>
      <c r="J3" s="306"/>
      <c r="K3" s="309"/>
      <c r="L3" s="316"/>
      <c r="M3" s="309"/>
      <c r="N3" s="316"/>
      <c r="O3" s="323"/>
      <c r="P3" s="323"/>
      <c r="Q3" s="323"/>
      <c r="R3" s="323"/>
      <c r="S3" s="323"/>
      <c r="T3" s="323"/>
      <c r="U3" s="313"/>
      <c r="V3" s="253"/>
      <c r="W3">
        <f>SUM(C3:V3)</f>
        <v>0</v>
      </c>
      <c r="AA3" s="247" t="s">
        <v>383</v>
      </c>
      <c r="AB3" s="286"/>
      <c r="AC3" s="286"/>
    </row>
    <row r="4" spans="1:33" x14ac:dyDescent="0.25">
      <c r="A4" s="247" t="s">
        <v>386</v>
      </c>
      <c r="B4" s="249" t="s">
        <v>387</v>
      </c>
      <c r="C4" s="254"/>
      <c r="D4" s="255"/>
      <c r="F4" s="255"/>
      <c r="G4" s="254"/>
      <c r="H4" s="255"/>
      <c r="I4" s="254"/>
      <c r="J4" s="307"/>
      <c r="K4" s="310"/>
      <c r="L4" s="317"/>
      <c r="M4" s="310"/>
      <c r="N4" s="317"/>
      <c r="O4" s="324"/>
      <c r="P4" s="324"/>
      <c r="Q4" s="324"/>
      <c r="R4" s="324"/>
      <c r="S4" s="324"/>
      <c r="T4" s="324"/>
      <c r="U4" s="314"/>
      <c r="V4" s="255"/>
      <c r="W4">
        <f t="shared" ref="W4:W30" si="0">SUM(C4:V4)</f>
        <v>0</v>
      </c>
      <c r="AA4" s="247" t="s">
        <v>386</v>
      </c>
      <c r="AB4" s="286"/>
      <c r="AC4" s="286"/>
    </row>
    <row r="5" spans="1:33" x14ac:dyDescent="0.25">
      <c r="A5" s="247" t="s">
        <v>388</v>
      </c>
      <c r="B5" s="249" t="s">
        <v>389</v>
      </c>
      <c r="C5" s="254"/>
      <c r="D5" s="255"/>
      <c r="E5" s="254"/>
      <c r="F5" s="255"/>
      <c r="G5" s="254"/>
      <c r="H5" s="255"/>
      <c r="I5" s="254"/>
      <c r="J5" s="307"/>
      <c r="K5" s="310"/>
      <c r="L5" s="317"/>
      <c r="M5" s="310"/>
      <c r="N5" s="317"/>
      <c r="O5" s="324"/>
      <c r="P5" s="324"/>
      <c r="Q5" s="324"/>
      <c r="R5" s="324"/>
      <c r="S5" s="324"/>
      <c r="T5" s="324"/>
      <c r="U5" s="314"/>
      <c r="V5" s="255"/>
      <c r="W5">
        <f t="shared" si="0"/>
        <v>0</v>
      </c>
      <c r="AA5" s="247" t="s">
        <v>388</v>
      </c>
      <c r="AB5" s="286"/>
      <c r="AC5" s="286"/>
    </row>
    <row r="6" spans="1:33" x14ac:dyDescent="0.25">
      <c r="A6" s="247" t="s">
        <v>390</v>
      </c>
      <c r="B6" s="249" t="s">
        <v>391</v>
      </c>
      <c r="C6" s="254"/>
      <c r="D6" s="255"/>
      <c r="E6" s="254"/>
      <c r="F6" s="255"/>
      <c r="G6" s="254"/>
      <c r="H6" s="255"/>
      <c r="I6" s="254"/>
      <c r="J6" s="307"/>
      <c r="K6" s="310"/>
      <c r="L6" s="317"/>
      <c r="M6" s="310"/>
      <c r="N6" s="317"/>
      <c r="O6" s="324"/>
      <c r="P6" s="324"/>
      <c r="Q6" s="324"/>
      <c r="R6" s="324"/>
      <c r="S6" s="324"/>
      <c r="T6" s="324"/>
      <c r="U6" s="314"/>
      <c r="V6" s="255"/>
      <c r="W6">
        <f t="shared" si="0"/>
        <v>0</v>
      </c>
      <c r="AA6" s="247" t="s">
        <v>390</v>
      </c>
      <c r="AB6" s="286"/>
      <c r="AC6" s="286"/>
    </row>
    <row r="7" spans="1:33" x14ac:dyDescent="0.25">
      <c r="A7" s="247" t="s">
        <v>396</v>
      </c>
      <c r="B7" s="249" t="s">
        <v>397</v>
      </c>
      <c r="C7" s="254">
        <v>155</v>
      </c>
      <c r="D7" s="255"/>
      <c r="E7" s="254">
        <v>90</v>
      </c>
      <c r="F7" s="255"/>
      <c r="G7" s="254">
        <v>110</v>
      </c>
      <c r="H7" s="255"/>
      <c r="I7" s="254">
        <v>65</v>
      </c>
      <c r="J7" s="307"/>
      <c r="K7" s="310"/>
      <c r="L7" s="317"/>
      <c r="M7" s="310">
        <v>20</v>
      </c>
      <c r="N7" s="317"/>
      <c r="O7" s="324">
        <v>60</v>
      </c>
      <c r="P7" s="324">
        <v>182</v>
      </c>
      <c r="Q7" s="324">
        <v>205</v>
      </c>
      <c r="R7" s="324">
        <v>22</v>
      </c>
      <c r="S7" s="324"/>
      <c r="T7" s="324"/>
      <c r="U7" s="314"/>
      <c r="V7" s="255"/>
      <c r="W7">
        <f t="shared" si="0"/>
        <v>909</v>
      </c>
      <c r="AA7" s="247" t="s">
        <v>396</v>
      </c>
      <c r="AB7" s="286">
        <v>162</v>
      </c>
      <c r="AC7" s="286">
        <v>1022</v>
      </c>
      <c r="AD7">
        <v>957</v>
      </c>
      <c r="AF7">
        <v>721</v>
      </c>
      <c r="AG7">
        <v>519</v>
      </c>
    </row>
    <row r="8" spans="1:33" x14ac:dyDescent="0.25">
      <c r="A8" s="247" t="s">
        <v>398</v>
      </c>
      <c r="B8" s="249" t="s">
        <v>399</v>
      </c>
      <c r="C8" s="254">
        <v>58</v>
      </c>
      <c r="D8" s="255"/>
      <c r="E8" s="254"/>
      <c r="F8" s="255"/>
      <c r="G8" s="254">
        <v>65</v>
      </c>
      <c r="H8" s="255"/>
      <c r="I8" s="254">
        <v>70</v>
      </c>
      <c r="J8" s="307"/>
      <c r="K8" s="310"/>
      <c r="L8" s="317"/>
      <c r="M8" s="310"/>
      <c r="N8" s="317"/>
      <c r="O8" s="324"/>
      <c r="P8" s="324">
        <v>38</v>
      </c>
      <c r="Q8" s="324">
        <v>50</v>
      </c>
      <c r="R8" s="324"/>
      <c r="S8" s="324"/>
      <c r="T8" s="324"/>
      <c r="U8" s="314"/>
      <c r="V8" s="255"/>
      <c r="W8">
        <f t="shared" si="0"/>
        <v>281</v>
      </c>
      <c r="AA8" s="247" t="s">
        <v>398</v>
      </c>
      <c r="AB8" s="286">
        <v>342</v>
      </c>
      <c r="AC8" s="286">
        <v>577</v>
      </c>
      <c r="AD8">
        <v>507</v>
      </c>
      <c r="AF8">
        <v>469</v>
      </c>
      <c r="AG8">
        <v>419</v>
      </c>
    </row>
    <row r="9" spans="1:33" x14ac:dyDescent="0.25">
      <c r="A9" s="247" t="s">
        <v>400</v>
      </c>
      <c r="B9" s="249" t="s">
        <v>401</v>
      </c>
      <c r="C9" s="254">
        <v>147</v>
      </c>
      <c r="D9" s="255"/>
      <c r="E9" s="254">
        <v>25</v>
      </c>
      <c r="F9" s="255"/>
      <c r="G9" s="254">
        <v>135</v>
      </c>
      <c r="H9" s="255"/>
      <c r="I9" s="254">
        <v>107</v>
      </c>
      <c r="J9" s="307"/>
      <c r="K9" s="310"/>
      <c r="L9" s="317">
        <v>20</v>
      </c>
      <c r="M9" s="310"/>
      <c r="N9" s="317">
        <v>38</v>
      </c>
      <c r="O9" s="324"/>
      <c r="P9" s="324">
        <v>158</v>
      </c>
      <c r="Q9" s="324">
        <v>25</v>
      </c>
      <c r="R9" s="324">
        <v>8</v>
      </c>
      <c r="S9" s="324"/>
      <c r="T9" s="324"/>
      <c r="U9" s="314"/>
      <c r="V9" s="255"/>
      <c r="W9">
        <f t="shared" si="0"/>
        <v>663</v>
      </c>
      <c r="AA9" s="247" t="s">
        <v>400</v>
      </c>
      <c r="AB9" s="286">
        <v>428</v>
      </c>
      <c r="AC9" s="286">
        <v>3303</v>
      </c>
      <c r="AD9">
        <v>3196</v>
      </c>
      <c r="AF9">
        <v>3074</v>
      </c>
      <c r="AG9">
        <v>3041</v>
      </c>
    </row>
    <row r="10" spans="1:33" x14ac:dyDescent="0.25">
      <c r="A10" s="247" t="s">
        <v>402</v>
      </c>
      <c r="B10" s="249" t="s">
        <v>403</v>
      </c>
      <c r="C10" s="254">
        <v>30</v>
      </c>
      <c r="D10" s="255"/>
      <c r="E10" s="254">
        <v>130</v>
      </c>
      <c r="F10" s="255"/>
      <c r="G10" s="254"/>
      <c r="H10" s="255">
        <v>60</v>
      </c>
      <c r="I10" s="254">
        <v>50</v>
      </c>
      <c r="J10" s="307"/>
      <c r="K10" s="310">
        <v>50</v>
      </c>
      <c r="L10" s="317">
        <v>120</v>
      </c>
      <c r="M10" s="310">
        <v>50</v>
      </c>
      <c r="N10" s="317"/>
      <c r="O10" s="324">
        <v>50</v>
      </c>
      <c r="P10" s="324"/>
      <c r="Q10" s="324">
        <v>100</v>
      </c>
      <c r="R10" s="324">
        <v>352</v>
      </c>
      <c r="S10" s="324"/>
      <c r="T10" s="324"/>
      <c r="U10" s="314"/>
      <c r="V10" s="255"/>
      <c r="W10">
        <f t="shared" si="0"/>
        <v>992</v>
      </c>
      <c r="AA10" s="247" t="s">
        <v>402</v>
      </c>
      <c r="AB10" s="286">
        <v>240</v>
      </c>
      <c r="AC10" s="286">
        <v>2701</v>
      </c>
      <c r="AD10">
        <v>1180</v>
      </c>
      <c r="AF10">
        <v>1080</v>
      </c>
      <c r="AG10">
        <v>628</v>
      </c>
    </row>
    <row r="11" spans="1:33" x14ac:dyDescent="0.25">
      <c r="A11" s="247" t="s">
        <v>404</v>
      </c>
      <c r="B11" s="249" t="s">
        <v>405</v>
      </c>
      <c r="C11" s="254"/>
      <c r="D11" s="255"/>
      <c r="E11" s="254"/>
      <c r="F11" s="255"/>
      <c r="G11" s="254"/>
      <c r="H11" s="255"/>
      <c r="I11" s="254"/>
      <c r="J11" s="307"/>
      <c r="K11" s="310"/>
      <c r="L11" s="317"/>
      <c r="M11" s="310"/>
      <c r="N11" s="317">
        <v>11</v>
      </c>
      <c r="O11" s="324"/>
      <c r="P11" s="324">
        <v>11</v>
      </c>
      <c r="Q11" s="324"/>
      <c r="R11" s="324"/>
      <c r="S11" s="324"/>
      <c r="T11" s="324"/>
      <c r="U11" s="314"/>
      <c r="V11" s="255"/>
      <c r="W11">
        <f t="shared" si="0"/>
        <v>22</v>
      </c>
      <c r="AA11" s="247" t="s">
        <v>404</v>
      </c>
      <c r="AB11" s="286"/>
      <c r="AC11" s="286">
        <v>2290</v>
      </c>
      <c r="AD11">
        <v>2290</v>
      </c>
      <c r="AF11">
        <v>2279</v>
      </c>
      <c r="AG11">
        <v>2279</v>
      </c>
    </row>
    <row r="12" spans="1:33" x14ac:dyDescent="0.25">
      <c r="A12" s="247" t="s">
        <v>407</v>
      </c>
      <c r="B12" s="249" t="s">
        <v>408</v>
      </c>
      <c r="C12" s="254"/>
      <c r="D12" s="255"/>
      <c r="E12" s="254"/>
      <c r="F12" s="255"/>
      <c r="G12" s="254"/>
      <c r="H12" s="255"/>
      <c r="I12" s="254"/>
      <c r="J12" s="307"/>
      <c r="K12" s="310"/>
      <c r="L12" s="317"/>
      <c r="M12" s="310"/>
      <c r="N12" s="317"/>
      <c r="O12" s="324"/>
      <c r="P12" s="324"/>
      <c r="Q12" s="324"/>
      <c r="R12" s="324"/>
      <c r="S12" s="324"/>
      <c r="T12" s="324"/>
      <c r="U12" s="314"/>
      <c r="V12" s="255"/>
      <c r="W12">
        <f t="shared" si="0"/>
        <v>0</v>
      </c>
      <c r="AA12" s="247" t="s">
        <v>407</v>
      </c>
      <c r="AB12" s="286"/>
      <c r="AC12" s="286">
        <v>10</v>
      </c>
      <c r="AD12">
        <v>10</v>
      </c>
      <c r="AF12">
        <v>10</v>
      </c>
      <c r="AG12">
        <v>10</v>
      </c>
    </row>
    <row r="13" spans="1:33" x14ac:dyDescent="0.25">
      <c r="A13" s="247" t="s">
        <v>410</v>
      </c>
      <c r="B13" s="249" t="s">
        <v>411</v>
      </c>
      <c r="C13" s="254"/>
      <c r="D13" s="255"/>
      <c r="E13" s="254">
        <v>100</v>
      </c>
      <c r="F13" s="255"/>
      <c r="G13" s="254"/>
      <c r="H13" s="255"/>
      <c r="I13" s="254">
        <v>50</v>
      </c>
      <c r="J13" s="307"/>
      <c r="K13" s="310"/>
      <c r="L13" s="317"/>
      <c r="M13" s="310"/>
      <c r="N13" s="317"/>
      <c r="O13" s="324"/>
      <c r="P13" s="324"/>
      <c r="Q13" s="324"/>
      <c r="R13" s="324"/>
      <c r="S13" s="324"/>
      <c r="T13" s="324"/>
      <c r="U13" s="314"/>
      <c r="V13" s="255"/>
      <c r="W13">
        <f t="shared" si="0"/>
        <v>150</v>
      </c>
      <c r="AA13" s="247" t="s">
        <v>410</v>
      </c>
      <c r="AB13" s="286">
        <v>100</v>
      </c>
      <c r="AC13" s="286">
        <v>764</v>
      </c>
      <c r="AD13">
        <v>714</v>
      </c>
      <c r="AF13">
        <v>664</v>
      </c>
      <c r="AG13">
        <v>664</v>
      </c>
    </row>
    <row r="14" spans="1:33" x14ac:dyDescent="0.25">
      <c r="A14" s="247" t="s">
        <v>416</v>
      </c>
      <c r="B14" s="249" t="s">
        <v>417</v>
      </c>
      <c r="C14" s="254">
        <v>121</v>
      </c>
      <c r="D14" s="255"/>
      <c r="E14" s="254"/>
      <c r="F14" s="255"/>
      <c r="G14" s="254">
        <v>40</v>
      </c>
      <c r="H14" s="255">
        <v>69</v>
      </c>
      <c r="I14" s="254">
        <v>8</v>
      </c>
      <c r="J14" s="307">
        <v>50</v>
      </c>
      <c r="K14" s="310">
        <v>30</v>
      </c>
      <c r="L14" s="317">
        <v>47</v>
      </c>
      <c r="M14" s="310">
        <v>30</v>
      </c>
      <c r="N14" s="317"/>
      <c r="O14" s="324"/>
      <c r="P14" s="324"/>
      <c r="Q14" s="324">
        <v>10</v>
      </c>
      <c r="R14" s="324"/>
      <c r="S14" s="324"/>
      <c r="T14" s="324"/>
      <c r="U14" s="314"/>
      <c r="V14" s="255"/>
      <c r="W14">
        <f t="shared" si="0"/>
        <v>405</v>
      </c>
      <c r="AA14" s="247" t="s">
        <v>416</v>
      </c>
      <c r="AB14" s="286">
        <v>323</v>
      </c>
      <c r="AC14" s="286">
        <v>980</v>
      </c>
      <c r="AD14">
        <v>922</v>
      </c>
      <c r="AF14">
        <v>791</v>
      </c>
      <c r="AG14">
        <v>781</v>
      </c>
    </row>
    <row r="15" spans="1:33" x14ac:dyDescent="0.25">
      <c r="A15" s="247" t="s">
        <v>419</v>
      </c>
      <c r="B15" s="249" t="s">
        <v>420</v>
      </c>
      <c r="C15" s="254"/>
      <c r="D15" s="255"/>
      <c r="E15" s="254"/>
      <c r="F15" s="255"/>
      <c r="G15" s="254"/>
      <c r="H15" s="255"/>
      <c r="I15" s="254"/>
      <c r="J15" s="307"/>
      <c r="K15" s="310"/>
      <c r="L15" s="317"/>
      <c r="M15" s="310"/>
      <c r="N15" s="317">
        <v>32</v>
      </c>
      <c r="O15" s="324"/>
      <c r="P15" s="324">
        <v>16</v>
      </c>
      <c r="Q15" s="324">
        <v>30</v>
      </c>
      <c r="R15" s="324"/>
      <c r="S15" s="324"/>
      <c r="T15" s="324"/>
      <c r="U15" s="314"/>
      <c r="V15" s="255"/>
      <c r="W15">
        <f t="shared" si="0"/>
        <v>78</v>
      </c>
      <c r="AA15" s="247" t="s">
        <v>419</v>
      </c>
      <c r="AB15" s="286"/>
      <c r="AC15" s="286">
        <v>72</v>
      </c>
      <c r="AD15">
        <v>72</v>
      </c>
      <c r="AF15">
        <v>40</v>
      </c>
      <c r="AG15">
        <v>10</v>
      </c>
    </row>
    <row r="16" spans="1:33" x14ac:dyDescent="0.25">
      <c r="A16" s="247" t="s">
        <v>421</v>
      </c>
      <c r="B16" s="249" t="s">
        <v>422</v>
      </c>
      <c r="C16" s="254"/>
      <c r="D16" s="255"/>
      <c r="E16" s="254"/>
      <c r="F16" s="255"/>
      <c r="G16" s="254"/>
      <c r="H16" s="255"/>
      <c r="I16" s="254"/>
      <c r="J16" s="307"/>
      <c r="K16" s="310"/>
      <c r="L16" s="317"/>
      <c r="M16" s="310"/>
      <c r="N16" s="317"/>
      <c r="O16" s="324"/>
      <c r="P16" s="324"/>
      <c r="Q16" s="324"/>
      <c r="R16" s="324"/>
      <c r="S16" s="324"/>
      <c r="T16" s="324"/>
      <c r="U16" s="314"/>
      <c r="V16" s="255"/>
      <c r="W16">
        <f t="shared" si="0"/>
        <v>0</v>
      </c>
      <c r="AA16" s="247" t="s">
        <v>421</v>
      </c>
      <c r="AB16" s="286"/>
      <c r="AC16" s="286">
        <v>0</v>
      </c>
      <c r="AD16">
        <v>0</v>
      </c>
      <c r="AF16">
        <v>0</v>
      </c>
      <c r="AG16">
        <v>0</v>
      </c>
    </row>
    <row r="17" spans="1:33" x14ac:dyDescent="0.25">
      <c r="A17" s="247" t="s">
        <v>426</v>
      </c>
      <c r="B17" s="249" t="s">
        <v>427</v>
      </c>
      <c r="C17" s="254">
        <v>347</v>
      </c>
      <c r="E17" s="254">
        <v>105</v>
      </c>
      <c r="F17" s="255"/>
      <c r="G17" s="254">
        <v>328</v>
      </c>
      <c r="H17" s="255">
        <v>75</v>
      </c>
      <c r="I17" s="254">
        <v>180</v>
      </c>
      <c r="J17" s="307">
        <v>202</v>
      </c>
      <c r="K17" s="310">
        <v>50</v>
      </c>
      <c r="L17" s="317">
        <v>160</v>
      </c>
      <c r="M17" s="310">
        <v>20</v>
      </c>
      <c r="N17" s="317">
        <v>378</v>
      </c>
      <c r="O17" s="324">
        <v>60</v>
      </c>
      <c r="P17" s="324">
        <v>378</v>
      </c>
      <c r="Q17" s="324">
        <v>255</v>
      </c>
      <c r="R17" s="324">
        <v>90</v>
      </c>
      <c r="S17" s="324"/>
      <c r="T17" s="324"/>
      <c r="U17" s="314"/>
      <c r="V17" s="255"/>
      <c r="W17">
        <f t="shared" si="0"/>
        <v>2628</v>
      </c>
      <c r="AA17" s="247" t="s">
        <v>426</v>
      </c>
      <c r="AB17" s="286">
        <v>1275</v>
      </c>
      <c r="AC17" s="286">
        <v>2752</v>
      </c>
      <c r="AD17">
        <v>2370</v>
      </c>
      <c r="AF17">
        <v>1882</v>
      </c>
      <c r="AG17">
        <v>1487</v>
      </c>
    </row>
    <row r="18" spans="1:33" x14ac:dyDescent="0.25">
      <c r="A18" s="247" t="s">
        <v>433</v>
      </c>
      <c r="B18" s="249" t="s">
        <v>434</v>
      </c>
      <c r="C18" s="254">
        <v>121</v>
      </c>
      <c r="D18" s="255"/>
      <c r="E18" s="254"/>
      <c r="F18" s="255"/>
      <c r="G18" s="254">
        <v>40</v>
      </c>
      <c r="H18" s="255">
        <v>69</v>
      </c>
      <c r="I18" s="254">
        <v>8</v>
      </c>
      <c r="J18" s="307">
        <v>50</v>
      </c>
      <c r="K18" s="310">
        <v>30</v>
      </c>
      <c r="L18" s="317">
        <v>47</v>
      </c>
      <c r="M18" s="310">
        <v>30</v>
      </c>
      <c r="N18" s="317">
        <v>16</v>
      </c>
      <c r="O18" s="324">
        <v>30</v>
      </c>
      <c r="P18" s="324">
        <v>16</v>
      </c>
      <c r="Q18" s="324">
        <v>40</v>
      </c>
      <c r="R18" s="324"/>
      <c r="S18" s="324"/>
      <c r="T18" s="324"/>
      <c r="U18" s="314"/>
      <c r="V18" s="255"/>
      <c r="W18">
        <f t="shared" si="0"/>
        <v>497</v>
      </c>
      <c r="AA18" s="247" t="s">
        <v>433</v>
      </c>
      <c r="AB18" s="286">
        <v>323</v>
      </c>
      <c r="AC18" s="286">
        <v>917</v>
      </c>
      <c r="AD18">
        <v>856</v>
      </c>
      <c r="AF18">
        <v>679</v>
      </c>
      <c r="AG18">
        <v>639</v>
      </c>
    </row>
    <row r="19" spans="1:33" x14ac:dyDescent="0.25">
      <c r="A19" s="247" t="s">
        <v>372</v>
      </c>
      <c r="B19" s="249" t="s">
        <v>373</v>
      </c>
      <c r="C19" s="254">
        <v>386</v>
      </c>
      <c r="D19" s="255"/>
      <c r="E19" s="254">
        <v>105</v>
      </c>
      <c r="F19" s="255">
        <v>80</v>
      </c>
      <c r="G19" s="254">
        <v>328</v>
      </c>
      <c r="H19" s="255">
        <v>75</v>
      </c>
      <c r="I19" s="254">
        <v>220</v>
      </c>
      <c r="J19" s="307">
        <v>82</v>
      </c>
      <c r="K19" s="310">
        <v>50</v>
      </c>
      <c r="L19" s="317">
        <v>460</v>
      </c>
      <c r="M19" s="310">
        <v>20</v>
      </c>
      <c r="N19" s="317">
        <v>378</v>
      </c>
      <c r="O19" s="324">
        <v>60</v>
      </c>
      <c r="P19" s="324">
        <v>378</v>
      </c>
      <c r="Q19" s="324">
        <v>255</v>
      </c>
      <c r="R19" s="324">
        <v>90</v>
      </c>
      <c r="S19" s="324"/>
      <c r="T19" s="324"/>
      <c r="U19" s="314"/>
      <c r="V19" s="255"/>
      <c r="W19">
        <f t="shared" si="0"/>
        <v>2967</v>
      </c>
      <c r="AA19" s="247" t="s">
        <v>372</v>
      </c>
      <c r="AB19" s="286">
        <v>1289</v>
      </c>
      <c r="AC19" s="286">
        <v>1776</v>
      </c>
      <c r="AD19">
        <v>1394</v>
      </c>
      <c r="AF19">
        <v>826</v>
      </c>
      <c r="AG19">
        <v>471</v>
      </c>
    </row>
    <row r="20" spans="1:33" x14ac:dyDescent="0.25">
      <c r="A20" s="248" t="s">
        <v>393</v>
      </c>
      <c r="B20" s="249" t="s">
        <v>394</v>
      </c>
      <c r="C20" s="254"/>
      <c r="D20" s="255"/>
      <c r="E20" s="254"/>
      <c r="F20" s="255">
        <v>80</v>
      </c>
      <c r="G20" s="254"/>
      <c r="H20" s="255"/>
      <c r="J20" s="307">
        <v>90</v>
      </c>
      <c r="K20" s="311"/>
      <c r="L20" s="318">
        <v>120</v>
      </c>
      <c r="M20" s="311"/>
      <c r="N20" s="318"/>
      <c r="V20" s="255"/>
      <c r="W20">
        <f t="shared" si="0"/>
        <v>290</v>
      </c>
      <c r="AA20" s="248" t="s">
        <v>393</v>
      </c>
      <c r="AB20" s="286">
        <v>367</v>
      </c>
      <c r="AC20" s="286">
        <v>227</v>
      </c>
      <c r="AD20">
        <v>137</v>
      </c>
      <c r="AF20">
        <v>47</v>
      </c>
      <c r="AG20">
        <v>47</v>
      </c>
    </row>
    <row r="21" spans="1:33" x14ac:dyDescent="0.25">
      <c r="A21" s="247" t="s">
        <v>379</v>
      </c>
      <c r="B21" s="249" t="s">
        <v>380</v>
      </c>
      <c r="C21" s="254">
        <v>121</v>
      </c>
      <c r="D21" s="255"/>
      <c r="E21" s="254"/>
      <c r="F21" s="255"/>
      <c r="G21" s="254">
        <v>40</v>
      </c>
      <c r="H21" s="255">
        <v>69</v>
      </c>
      <c r="I21" s="254">
        <v>8</v>
      </c>
      <c r="J21" s="307"/>
      <c r="K21" s="310">
        <v>30</v>
      </c>
      <c r="L21" s="317">
        <v>47</v>
      </c>
      <c r="M21" s="310">
        <v>30</v>
      </c>
      <c r="N21" s="317">
        <v>32</v>
      </c>
      <c r="O21" s="324"/>
      <c r="P21" s="324"/>
      <c r="Q21" s="324">
        <v>40</v>
      </c>
      <c r="R21" s="324"/>
      <c r="S21" s="324"/>
      <c r="T21" s="324"/>
      <c r="U21" s="314"/>
      <c r="V21" s="255"/>
      <c r="W21">
        <f t="shared" si="0"/>
        <v>417</v>
      </c>
      <c r="AA21" s="247" t="s">
        <v>379</v>
      </c>
      <c r="AB21" s="286">
        <v>179</v>
      </c>
      <c r="AC21" s="286">
        <v>1000</v>
      </c>
      <c r="AD21">
        <v>934</v>
      </c>
      <c r="AF21">
        <v>757</v>
      </c>
      <c r="AG21">
        <v>717</v>
      </c>
    </row>
    <row r="22" spans="1:33" x14ac:dyDescent="0.25">
      <c r="A22" s="247" t="s">
        <v>424</v>
      </c>
      <c r="B22" s="249" t="s">
        <v>425</v>
      </c>
      <c r="C22" s="254">
        <v>86</v>
      </c>
      <c r="D22" s="255"/>
      <c r="E22" s="254"/>
      <c r="F22" s="255">
        <v>24</v>
      </c>
      <c r="G22" s="254">
        <v>20</v>
      </c>
      <c r="H22" s="255">
        <v>24</v>
      </c>
      <c r="I22" s="305">
        <v>4</v>
      </c>
      <c r="J22" s="307"/>
      <c r="K22" s="311"/>
      <c r="L22" s="318">
        <v>16</v>
      </c>
      <c r="M22" s="311"/>
      <c r="N22" s="318">
        <v>8</v>
      </c>
      <c r="Q22">
        <v>12</v>
      </c>
      <c r="U22" s="315"/>
      <c r="V22" s="255"/>
      <c r="W22">
        <f t="shared" si="0"/>
        <v>194</v>
      </c>
      <c r="AA22" s="247" t="s">
        <v>424</v>
      </c>
      <c r="AB22" s="286">
        <v>350</v>
      </c>
      <c r="AC22" s="286">
        <v>716</v>
      </c>
      <c r="AD22">
        <v>708</v>
      </c>
      <c r="AF22">
        <v>674</v>
      </c>
      <c r="AG22">
        <v>662</v>
      </c>
    </row>
    <row r="23" spans="1:33" x14ac:dyDescent="0.25">
      <c r="A23" s="247" t="s">
        <v>428</v>
      </c>
      <c r="B23" s="249" t="s">
        <v>429</v>
      </c>
      <c r="C23" s="254"/>
      <c r="D23" s="255"/>
      <c r="E23" s="254"/>
      <c r="F23" s="255"/>
      <c r="G23" s="254"/>
      <c r="H23" s="255"/>
      <c r="I23" s="254"/>
      <c r="J23" s="307"/>
      <c r="K23" s="310">
        <v>6</v>
      </c>
      <c r="L23" s="317">
        <v>8</v>
      </c>
      <c r="M23" s="310"/>
      <c r="N23" s="317">
        <v>10</v>
      </c>
      <c r="O23" s="324"/>
      <c r="P23" s="324"/>
      <c r="Q23" s="324">
        <v>4</v>
      </c>
      <c r="R23" s="324"/>
      <c r="S23" s="324"/>
      <c r="T23" s="324"/>
      <c r="U23" s="314"/>
      <c r="V23" s="255"/>
      <c r="W23">
        <f t="shared" si="0"/>
        <v>28</v>
      </c>
      <c r="AA23" s="247" t="s">
        <v>428</v>
      </c>
      <c r="AB23" s="286">
        <v>200</v>
      </c>
      <c r="AC23" s="286">
        <v>760</v>
      </c>
      <c r="AD23">
        <v>760</v>
      </c>
      <c r="AF23">
        <v>732</v>
      </c>
      <c r="AG23">
        <v>728</v>
      </c>
    </row>
    <row r="24" spans="1:33" x14ac:dyDescent="0.25">
      <c r="A24" s="247" t="s">
        <v>368</v>
      </c>
      <c r="B24" s="249" t="s">
        <v>369</v>
      </c>
      <c r="C24" s="254">
        <v>76</v>
      </c>
      <c r="D24" s="255"/>
      <c r="E24" s="254"/>
      <c r="F24" s="255">
        <v>24</v>
      </c>
      <c r="G24" s="254">
        <v>20</v>
      </c>
      <c r="H24" s="255">
        <v>24</v>
      </c>
      <c r="I24" s="254">
        <v>4</v>
      </c>
      <c r="J24" s="307"/>
      <c r="K24" s="310"/>
      <c r="L24" s="317">
        <v>16</v>
      </c>
      <c r="M24" s="310"/>
      <c r="N24" s="317">
        <v>8</v>
      </c>
      <c r="O24" s="324"/>
      <c r="P24" s="324"/>
      <c r="Q24" s="324">
        <v>12</v>
      </c>
      <c r="R24" s="324"/>
      <c r="S24" s="324"/>
      <c r="T24" s="324"/>
      <c r="U24" s="314"/>
      <c r="V24" s="255"/>
      <c r="W24">
        <f t="shared" si="0"/>
        <v>184</v>
      </c>
      <c r="AA24" s="247" t="s">
        <v>368</v>
      </c>
      <c r="AB24" s="286">
        <v>300</v>
      </c>
      <c r="AC24" s="286">
        <v>356</v>
      </c>
      <c r="AD24">
        <v>348</v>
      </c>
      <c r="AF24">
        <v>306</v>
      </c>
      <c r="AG24">
        <v>394</v>
      </c>
    </row>
    <row r="25" spans="1:33" x14ac:dyDescent="0.25">
      <c r="A25" s="247" t="s">
        <v>374</v>
      </c>
      <c r="B25" s="249" t="s">
        <v>375</v>
      </c>
      <c r="C25" s="254"/>
      <c r="D25" s="255"/>
      <c r="E25" s="254"/>
      <c r="F25" s="255"/>
      <c r="G25" s="254"/>
      <c r="H25" s="255"/>
      <c r="I25" s="254"/>
      <c r="J25" s="307"/>
      <c r="K25" s="310">
        <v>6</v>
      </c>
      <c r="L25" s="317">
        <v>8</v>
      </c>
      <c r="M25" s="310"/>
      <c r="N25" s="317">
        <v>32</v>
      </c>
      <c r="O25" s="324"/>
      <c r="P25" s="324"/>
      <c r="Q25" s="324">
        <v>4</v>
      </c>
      <c r="R25" s="324"/>
      <c r="S25" s="324"/>
      <c r="T25" s="324"/>
      <c r="U25" s="314"/>
      <c r="V25" s="255"/>
      <c r="W25">
        <f t="shared" si="0"/>
        <v>50</v>
      </c>
      <c r="AA25" s="247" t="s">
        <v>374</v>
      </c>
      <c r="AB25" s="286">
        <v>200</v>
      </c>
      <c r="AC25" s="286">
        <v>488</v>
      </c>
      <c r="AD25">
        <v>488</v>
      </c>
      <c r="AF25">
        <v>460</v>
      </c>
      <c r="AG25">
        <v>456</v>
      </c>
    </row>
    <row r="26" spans="1:33" x14ac:dyDescent="0.25">
      <c r="A26" s="247" t="s">
        <v>410</v>
      </c>
      <c r="B26" s="249" t="s">
        <v>412</v>
      </c>
      <c r="C26" s="254">
        <v>416</v>
      </c>
      <c r="D26" s="255">
        <v>891</v>
      </c>
      <c r="E26" s="254">
        <v>256</v>
      </c>
      <c r="F26" s="255">
        <v>376</v>
      </c>
      <c r="G26" s="254">
        <v>336</v>
      </c>
      <c r="H26" s="255">
        <v>276</v>
      </c>
      <c r="I26" s="254">
        <v>368</v>
      </c>
      <c r="J26" s="307">
        <v>416</v>
      </c>
      <c r="K26" s="310">
        <v>288</v>
      </c>
      <c r="L26" s="317">
        <v>320</v>
      </c>
      <c r="M26" s="310">
        <v>288</v>
      </c>
      <c r="N26" s="317">
        <v>320</v>
      </c>
      <c r="O26" s="324"/>
      <c r="P26" s="324"/>
      <c r="Q26" s="324">
        <v>160</v>
      </c>
      <c r="R26" s="324">
        <v>288</v>
      </c>
      <c r="S26" s="324"/>
      <c r="T26" s="324"/>
      <c r="U26" s="314"/>
      <c r="V26" s="255"/>
      <c r="W26">
        <f t="shared" si="0"/>
        <v>4999</v>
      </c>
      <c r="AA26" s="247" t="s">
        <v>410</v>
      </c>
      <c r="AB26" s="286">
        <v>610</v>
      </c>
      <c r="AC26" s="286">
        <v>9886</v>
      </c>
      <c r="AD26">
        <v>9224</v>
      </c>
      <c r="AF26">
        <v>7896</v>
      </c>
      <c r="AG26">
        <v>7448</v>
      </c>
    </row>
    <row r="27" spans="1:33" x14ac:dyDescent="0.25">
      <c r="A27" s="247" t="s">
        <v>414</v>
      </c>
      <c r="B27" s="249" t="s">
        <v>415</v>
      </c>
      <c r="C27" s="254">
        <v>10265</v>
      </c>
      <c r="D27" s="255">
        <v>21109</v>
      </c>
      <c r="E27" s="254">
        <v>6016</v>
      </c>
      <c r="F27" s="255">
        <v>9032</v>
      </c>
      <c r="G27" s="254">
        <v>7896</v>
      </c>
      <c r="H27" s="255">
        <v>6392</v>
      </c>
      <c r="I27" s="254">
        <v>8648</v>
      </c>
      <c r="J27" s="307">
        <v>9776</v>
      </c>
      <c r="K27" s="310">
        <v>6768</v>
      </c>
      <c r="L27" s="317">
        <v>7520</v>
      </c>
      <c r="M27" s="310">
        <v>6768</v>
      </c>
      <c r="N27" s="317">
        <v>7520</v>
      </c>
      <c r="O27" s="324"/>
      <c r="P27" s="324"/>
      <c r="Q27" s="324">
        <v>3760</v>
      </c>
      <c r="R27" s="324">
        <v>6768</v>
      </c>
      <c r="S27" s="324"/>
      <c r="T27" s="324"/>
      <c r="U27" s="314"/>
      <c r="V27" s="255"/>
      <c r="W27">
        <f t="shared" si="0"/>
        <v>118238</v>
      </c>
      <c r="AA27" s="247" t="s">
        <v>414</v>
      </c>
      <c r="AB27" s="286">
        <v>13270</v>
      </c>
      <c r="AC27" s="286">
        <v>98015</v>
      </c>
      <c r="AD27">
        <v>81095</v>
      </c>
      <c r="AF27">
        <v>50656</v>
      </c>
      <c r="AG27">
        <v>40128</v>
      </c>
    </row>
    <row r="28" spans="1:33" x14ac:dyDescent="0.25">
      <c r="A28" s="247" t="s">
        <v>430</v>
      </c>
      <c r="B28" s="249" t="s">
        <v>431</v>
      </c>
      <c r="C28" s="254">
        <v>10702</v>
      </c>
      <c r="D28" s="255">
        <v>21682</v>
      </c>
      <c r="E28" s="254">
        <v>6272</v>
      </c>
      <c r="F28" s="256">
        <v>9216</v>
      </c>
      <c r="G28" s="254">
        <v>8232</v>
      </c>
      <c r="H28" s="255">
        <v>6664</v>
      </c>
      <c r="I28" s="254">
        <v>9226</v>
      </c>
      <c r="J28" s="307">
        <v>10192</v>
      </c>
      <c r="K28" s="310">
        <v>7056</v>
      </c>
      <c r="L28" s="317">
        <v>7840</v>
      </c>
      <c r="M28" s="310">
        <v>7056</v>
      </c>
      <c r="N28" s="317">
        <v>7581</v>
      </c>
      <c r="O28" s="324"/>
      <c r="P28" s="324"/>
      <c r="Q28" s="324">
        <v>4020</v>
      </c>
      <c r="R28" s="324">
        <v>7388</v>
      </c>
      <c r="S28" s="324"/>
      <c r="T28" s="324"/>
      <c r="U28" s="314"/>
      <c r="V28" s="255"/>
      <c r="W28">
        <f t="shared" si="0"/>
        <v>123127</v>
      </c>
      <c r="AA28" s="247" t="s">
        <v>430</v>
      </c>
      <c r="AB28" s="286">
        <v>15872</v>
      </c>
      <c r="AC28" s="286">
        <v>98012</v>
      </c>
      <c r="AD28">
        <v>77026</v>
      </c>
      <c r="AF28">
        <v>52683</v>
      </c>
      <c r="AG28">
        <v>41244</v>
      </c>
    </row>
    <row r="29" spans="1:33" x14ac:dyDescent="0.25">
      <c r="A29" s="247" t="s">
        <v>376</v>
      </c>
      <c r="B29" s="249" t="s">
        <v>377</v>
      </c>
      <c r="C29" s="254">
        <v>10702</v>
      </c>
      <c r="D29" s="255">
        <v>21962</v>
      </c>
      <c r="E29" s="254">
        <v>6272</v>
      </c>
      <c r="F29" s="255">
        <v>9216</v>
      </c>
      <c r="G29" s="254">
        <v>8232</v>
      </c>
      <c r="H29" s="255">
        <v>6664</v>
      </c>
      <c r="I29" s="254">
        <v>9226</v>
      </c>
      <c r="J29" s="307">
        <v>10192</v>
      </c>
      <c r="K29" s="310">
        <v>7056</v>
      </c>
      <c r="L29" s="317">
        <v>7840</v>
      </c>
      <c r="M29" s="310">
        <v>7056</v>
      </c>
      <c r="N29" s="317">
        <v>7581</v>
      </c>
      <c r="O29" s="324"/>
      <c r="P29" s="324"/>
      <c r="Q29" s="324">
        <v>4020</v>
      </c>
      <c r="R29" s="324">
        <v>7388</v>
      </c>
      <c r="S29" s="324"/>
      <c r="T29" s="324"/>
      <c r="U29" s="314"/>
      <c r="V29" s="255"/>
      <c r="W29">
        <f t="shared" si="0"/>
        <v>123407</v>
      </c>
      <c r="AA29" s="247" t="s">
        <v>376</v>
      </c>
      <c r="AB29" s="286">
        <v>16363</v>
      </c>
      <c r="AC29" s="286">
        <v>98504</v>
      </c>
      <c r="AD29">
        <v>80654</v>
      </c>
      <c r="AF29">
        <v>52429</v>
      </c>
      <c r="AG29">
        <v>41001</v>
      </c>
    </row>
    <row r="30" spans="1:33" ht="15.75" thickBot="1" x14ac:dyDescent="0.3">
      <c r="A30" s="247" t="s">
        <v>381</v>
      </c>
      <c r="B30" s="249" t="s">
        <v>382</v>
      </c>
      <c r="C30" s="257">
        <v>6989</v>
      </c>
      <c r="D30" s="258">
        <v>14580</v>
      </c>
      <c r="E30" s="257">
        <v>4160</v>
      </c>
      <c r="F30" s="258">
        <v>6760</v>
      </c>
      <c r="G30" s="259">
        <v>5460</v>
      </c>
      <c r="H30" s="260">
        <v>4420</v>
      </c>
      <c r="I30" s="257">
        <v>5980</v>
      </c>
      <c r="J30" s="308">
        <v>6760</v>
      </c>
      <c r="K30" s="312">
        <v>5460</v>
      </c>
      <c r="L30" s="319">
        <v>5200</v>
      </c>
      <c r="M30" s="312">
        <v>5200</v>
      </c>
      <c r="N30" s="319">
        <v>5460</v>
      </c>
      <c r="O30" s="312"/>
      <c r="P30" s="325"/>
      <c r="Q30" s="325">
        <v>2600</v>
      </c>
      <c r="R30" s="325">
        <v>4940</v>
      </c>
      <c r="S30" s="325"/>
      <c r="T30" s="325"/>
      <c r="U30" s="326"/>
      <c r="V30" s="260"/>
      <c r="W30">
        <f t="shared" si="0"/>
        <v>83969</v>
      </c>
      <c r="AA30" s="247" t="s">
        <v>381</v>
      </c>
      <c r="AB30" s="286">
        <v>9328</v>
      </c>
      <c r="AC30" s="286">
        <v>96848</v>
      </c>
      <c r="AD30">
        <v>82548</v>
      </c>
      <c r="AF30">
        <v>63828</v>
      </c>
      <c r="AG30">
        <v>55048</v>
      </c>
    </row>
    <row r="31" spans="1:33" ht="15.75" thickTop="1" x14ac:dyDescent="0.25">
      <c r="A31" t="s">
        <v>2300</v>
      </c>
      <c r="R31">
        <v>60</v>
      </c>
      <c r="AA31" t="s">
        <v>2300</v>
      </c>
      <c r="AG31">
        <v>2530</v>
      </c>
    </row>
  </sheetData>
  <autoFilter ref="A2:AD30" xr:uid="{00000000-0001-0000-0400-000000000000}"/>
  <mergeCells count="13">
    <mergeCell ref="AA1:AB1"/>
    <mergeCell ref="W1:W2"/>
    <mergeCell ref="A1:B1"/>
    <mergeCell ref="C1:D1"/>
    <mergeCell ref="E1:F1"/>
    <mergeCell ref="G1:H1"/>
    <mergeCell ref="U1:V1"/>
    <mergeCell ref="I1:J1"/>
    <mergeCell ref="K1:L1"/>
    <mergeCell ref="M1:N1"/>
    <mergeCell ref="O1:P1"/>
    <mergeCell ref="Q1:R1"/>
    <mergeCell ref="S1:T1"/>
  </mergeCells>
  <phoneticPr fontId="6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1"/>
  <dimension ref="A1:AA200"/>
  <sheetViews>
    <sheetView zoomScale="70" zoomScaleNormal="70" workbookViewId="0">
      <selection activeCell="Q14" sqref="Q14"/>
    </sheetView>
  </sheetViews>
  <sheetFormatPr defaultRowHeight="15" x14ac:dyDescent="0.25"/>
  <cols>
    <col min="1" max="1" width="11.140625" customWidth="1"/>
    <col min="2" max="2" width="22.7109375" customWidth="1"/>
    <col min="3" max="3" width="12" customWidth="1"/>
    <col min="4" max="4" width="14" customWidth="1"/>
    <col min="5" max="6" width="20" customWidth="1"/>
    <col min="7" max="8" width="18" customWidth="1"/>
    <col min="9" max="9" width="20" customWidth="1"/>
    <col min="10" max="10" width="21" customWidth="1"/>
    <col min="11" max="11" width="16" customWidth="1"/>
    <col min="12" max="12" width="22" customWidth="1"/>
    <col min="13" max="13" width="17" customWidth="1"/>
    <col min="14" max="14" width="13.7109375" customWidth="1"/>
    <col min="15" max="15" width="13.5703125" customWidth="1"/>
    <col min="16" max="17" width="15" customWidth="1"/>
    <col min="18" max="18" width="38" customWidth="1"/>
    <col min="19" max="19" width="37.42578125" customWidth="1"/>
    <col min="20" max="21" width="16.7109375" customWidth="1"/>
    <col min="22" max="22" width="13.7109375" customWidth="1"/>
    <col min="23" max="23" width="32.7109375" style="287" customWidth="1"/>
    <col min="24" max="24" width="14.7109375" style="287" customWidth="1"/>
    <col min="25" max="25" width="13.7109375" style="287" customWidth="1"/>
    <col min="26" max="26" width="15.7109375" style="287" customWidth="1"/>
    <col min="27" max="27" width="46.7109375" customWidth="1"/>
  </cols>
  <sheetData>
    <row r="1" spans="1:27" ht="46.15" customHeight="1" x14ac:dyDescent="0.25">
      <c r="A1" s="276" t="s">
        <v>100</v>
      </c>
      <c r="B1" s="276" t="s">
        <v>101</v>
      </c>
      <c r="C1" s="276" t="s">
        <v>102</v>
      </c>
      <c r="D1" s="276" t="s">
        <v>365</v>
      </c>
      <c r="E1" s="272" t="s">
        <v>1690</v>
      </c>
      <c r="F1" s="272" t="s">
        <v>2054</v>
      </c>
      <c r="G1" s="272" t="s">
        <v>1370</v>
      </c>
      <c r="H1" s="272" t="s">
        <v>1691</v>
      </c>
      <c r="I1" s="272" t="s">
        <v>1692</v>
      </c>
      <c r="J1" s="272" t="s">
        <v>1693</v>
      </c>
      <c r="K1" s="272" t="s">
        <v>1694</v>
      </c>
      <c r="L1" s="272" t="s">
        <v>1695</v>
      </c>
      <c r="M1" s="272" t="s">
        <v>1696</v>
      </c>
      <c r="N1" s="272" t="s">
        <v>1697</v>
      </c>
      <c r="O1" s="272" t="s">
        <v>1698</v>
      </c>
      <c r="P1" s="272" t="s">
        <v>1699</v>
      </c>
      <c r="Q1" s="272" t="s">
        <v>16</v>
      </c>
      <c r="R1" s="272" t="s">
        <v>19</v>
      </c>
      <c r="S1" s="283" t="s">
        <v>517</v>
      </c>
      <c r="T1" s="139"/>
      <c r="U1" s="139"/>
      <c r="V1" s="139"/>
      <c r="W1" s="139"/>
      <c r="X1" s="294"/>
      <c r="Y1" s="294"/>
      <c r="Z1" s="294"/>
      <c r="AA1" s="139"/>
    </row>
    <row r="2" spans="1:27" ht="18.75" x14ac:dyDescent="0.25">
      <c r="A2" s="90" t="s">
        <v>367</v>
      </c>
      <c r="B2" s="90" t="s">
        <v>383</v>
      </c>
      <c r="C2" s="90" t="s">
        <v>384</v>
      </c>
      <c r="D2" s="81">
        <v>1458</v>
      </c>
      <c r="E2" s="81">
        <f>IFERROR(INDEX(Controle_Materiais!$J:$J,MATCH(C2,Controle_Materiais!$A:$A,0)),0)</f>
        <v>0</v>
      </c>
      <c r="F2" s="285">
        <f t="shared" ref="F2:F29" si="0">E2-H2</f>
        <v>0</v>
      </c>
      <c r="G2">
        <f>IFERROR(INDEX(Controle_Materiais!$O:$O,MATCH(C2,Controle_Materiais!$A:$A,0)),0)+IFERROR(INDEX(Consumo_Quadrantes!$F:$F,MATCH(C2,Consumo_Quadrantes!$A:$A,0)),0)</f>
        <v>0</v>
      </c>
      <c r="H2" s="271">
        <f>IFERROR(SUMIF('CONSUMO FISICO'!$B:$B,$C2,'CONSUMO FISICO'!$W:$W),0)</f>
        <v>0</v>
      </c>
      <c r="I2" s="261">
        <f t="shared" ref="I2:I29" si="1">E2-G2</f>
        <v>0</v>
      </c>
      <c r="J2" s="78">
        <f t="shared" ref="J2:J29" si="2">I2-F2</f>
        <v>0</v>
      </c>
      <c r="K2" s="242">
        <f t="shared" ref="K2:K29" si="3">IF(F2=0,IF(F2=0,0,1),J2/F2)</f>
        <v>0</v>
      </c>
      <c r="L2">
        <f t="shared" ref="L2:L29" si="4">G2-H2</f>
        <v>0</v>
      </c>
      <c r="M2" s="242">
        <f t="shared" ref="M2:M29" si="5">IF(G2=0,IF(H2=0,0,1),L2/G2)</f>
        <v>0</v>
      </c>
      <c r="N2" s="78">
        <f t="shared" ref="N2:N29" si="6">I2-F2</f>
        <v>0</v>
      </c>
      <c r="O2" s="242">
        <f t="shared" ref="O2:O29" si="7">IF(I2=0,IF(F2=0,0,1),N2/I2)</f>
        <v>0</v>
      </c>
      <c r="P2" s="242">
        <f t="shared" ref="P2:P31" si="8">MAX(0,1-ABS(O2))</f>
        <v>1</v>
      </c>
      <c r="Q2" t="str">
        <f t="shared" ref="Q2:Q31" si="9">IF(P2&gt;=0.98,"CONFORME",IF(P2&gt;=0.95,"ATENÇÃO","CRÍTICO"))</f>
        <v>CONFORME</v>
      </c>
      <c r="R2" t="str">
        <f t="shared" ref="R2:R29" si="10">IF(N2&gt;0,"INVESTIGAR PERDA / SAÍDA NÃO APONTADA",IF(N2&lt;0,"VALIDAR SOBRA / ENTRADA / BAIXA","OK"))</f>
        <v>OK</v>
      </c>
      <c r="T2" s="301" t="s">
        <v>2055</v>
      </c>
      <c r="U2" s="371" t="s">
        <v>2055</v>
      </c>
      <c r="V2" s="371"/>
      <c r="W2" s="371"/>
      <c r="X2" s="371"/>
      <c r="Y2" s="371"/>
      <c r="Z2" s="371"/>
      <c r="AA2" s="371"/>
    </row>
    <row r="3" spans="1:27" x14ac:dyDescent="0.25">
      <c r="A3" s="90" t="s">
        <v>371</v>
      </c>
      <c r="B3" s="90" t="s">
        <v>386</v>
      </c>
      <c r="C3" s="90" t="s">
        <v>387</v>
      </c>
      <c r="D3" s="81">
        <v>1632</v>
      </c>
      <c r="E3" s="81">
        <f>IFERROR(INDEX(Controle_Materiais!$J:$J,MATCH(C3,Controle_Materiais!$A:$A,0)),0)</f>
        <v>0</v>
      </c>
      <c r="F3" s="285">
        <f t="shared" si="0"/>
        <v>0</v>
      </c>
      <c r="G3">
        <f>IFERROR(INDEX(Controle_Materiais!$O:$O,MATCH(C3,Controle_Materiais!$A:$A,0)),0)+IFERROR(INDEX(Consumo_Quadrantes!$F:$F,MATCH(C3,Consumo_Quadrantes!$A:$A,0)),0)</f>
        <v>0</v>
      </c>
      <c r="H3" s="271">
        <f>IFERROR(SUMIF('CONSUMO FISICO'!$B:$B,$C3,'CONSUMO FISICO'!$W:$W),0)</f>
        <v>0</v>
      </c>
      <c r="I3" s="261">
        <f t="shared" si="1"/>
        <v>0</v>
      </c>
      <c r="J3" s="78">
        <f t="shared" si="2"/>
        <v>0</v>
      </c>
      <c r="K3" s="242">
        <f t="shared" si="3"/>
        <v>0</v>
      </c>
      <c r="L3">
        <f t="shared" si="4"/>
        <v>0</v>
      </c>
      <c r="M3" s="242">
        <f t="shared" si="5"/>
        <v>0</v>
      </c>
      <c r="N3" s="78">
        <f t="shared" si="6"/>
        <v>0</v>
      </c>
      <c r="O3" s="242">
        <f t="shared" si="7"/>
        <v>0</v>
      </c>
      <c r="P3" s="242">
        <f t="shared" si="8"/>
        <v>1</v>
      </c>
      <c r="Q3" t="str">
        <f t="shared" si="9"/>
        <v>CONFORME</v>
      </c>
      <c r="R3" t="str">
        <f t="shared" si="10"/>
        <v>OK</v>
      </c>
      <c r="T3" s="303" t="s">
        <v>2066</v>
      </c>
      <c r="U3" s="372" t="s">
        <v>2081</v>
      </c>
      <c r="V3" s="372"/>
      <c r="W3" s="372"/>
      <c r="X3" s="372"/>
      <c r="Y3" s="372"/>
      <c r="Z3" s="372"/>
      <c r="AA3" s="372"/>
    </row>
    <row r="4" spans="1:27" x14ac:dyDescent="0.25">
      <c r="A4" s="90" t="s">
        <v>371</v>
      </c>
      <c r="B4" s="90" t="s">
        <v>388</v>
      </c>
      <c r="C4" s="90" t="s">
        <v>389</v>
      </c>
      <c r="D4" s="81">
        <v>1800</v>
      </c>
      <c r="E4" s="81">
        <f>IFERROR(INDEX(Controle_Materiais!$J:$J,MATCH(C4,Controle_Materiais!$A:$A,0)),0)</f>
        <v>0</v>
      </c>
      <c r="F4" s="285">
        <f t="shared" si="0"/>
        <v>0</v>
      </c>
      <c r="G4">
        <f>IFERROR(INDEX(Controle_Materiais!$O:$O,MATCH(C4,Controle_Materiais!$A:$A,0)),0)+IFERROR(INDEX(Consumo_Quadrantes!$F:$F,MATCH(C4,Consumo_Quadrantes!$A:$A,0)),0)</f>
        <v>0</v>
      </c>
      <c r="H4" s="271">
        <f>IFERROR(SUMIF('CONSUMO FISICO'!$B:$B,$C4,'CONSUMO FISICO'!$W:$W),0)</f>
        <v>0</v>
      </c>
      <c r="I4" s="261">
        <f t="shared" si="1"/>
        <v>0</v>
      </c>
      <c r="J4" s="78">
        <f t="shared" si="2"/>
        <v>0</v>
      </c>
      <c r="K4" s="242">
        <f t="shared" si="3"/>
        <v>0</v>
      </c>
      <c r="L4">
        <f t="shared" si="4"/>
        <v>0</v>
      </c>
      <c r="M4" s="242">
        <f t="shared" si="5"/>
        <v>0</v>
      </c>
      <c r="N4" s="78">
        <f t="shared" si="6"/>
        <v>0</v>
      </c>
      <c r="O4" s="242">
        <f t="shared" si="7"/>
        <v>0</v>
      </c>
      <c r="P4" s="242">
        <f t="shared" si="8"/>
        <v>1</v>
      </c>
      <c r="Q4" t="str">
        <f t="shared" si="9"/>
        <v>CONFORME</v>
      </c>
      <c r="R4" t="str">
        <f t="shared" si="10"/>
        <v>OK</v>
      </c>
      <c r="T4" s="139"/>
      <c r="U4" s="139"/>
      <c r="V4" s="139"/>
      <c r="W4" s="139"/>
      <c r="X4" s="294"/>
      <c r="Y4" s="294"/>
      <c r="Z4" s="294"/>
      <c r="AA4" s="139"/>
    </row>
    <row r="5" spans="1:27" x14ac:dyDescent="0.25">
      <c r="A5" s="90" t="s">
        <v>371</v>
      </c>
      <c r="B5" s="90" t="s">
        <v>390</v>
      </c>
      <c r="C5" s="90" t="s">
        <v>391</v>
      </c>
      <c r="D5" s="81">
        <v>5088</v>
      </c>
      <c r="E5" s="81">
        <f>IFERROR(INDEX(Controle_Materiais!$J:$J,MATCH(C5,Controle_Materiais!$A:$A,0)),0)</f>
        <v>0</v>
      </c>
      <c r="F5" s="285">
        <f t="shared" si="0"/>
        <v>0</v>
      </c>
      <c r="G5">
        <f>IFERROR(INDEX(Controle_Materiais!$O:$O,MATCH(C5,Controle_Materiais!$A:$A,0)),0)+IFERROR(INDEX(Consumo_Quadrantes!$F:$F,MATCH(C5,Consumo_Quadrantes!$A:$A,0)),0)</f>
        <v>0</v>
      </c>
      <c r="H5" s="271">
        <f>IFERROR(SUMIF('CONSUMO FISICO'!$B:$B,$C5,'CONSUMO FISICO'!$W:$W),0)</f>
        <v>0</v>
      </c>
      <c r="I5" s="261">
        <f t="shared" si="1"/>
        <v>0</v>
      </c>
      <c r="J5" s="78">
        <f t="shared" si="2"/>
        <v>0</v>
      </c>
      <c r="K5" s="242">
        <f t="shared" si="3"/>
        <v>0</v>
      </c>
      <c r="L5">
        <f t="shared" si="4"/>
        <v>0</v>
      </c>
      <c r="M5" s="242">
        <f t="shared" si="5"/>
        <v>0</v>
      </c>
      <c r="N5" s="78">
        <f t="shared" si="6"/>
        <v>0</v>
      </c>
      <c r="O5" s="242">
        <f t="shared" si="7"/>
        <v>0</v>
      </c>
      <c r="P5" s="242">
        <f t="shared" si="8"/>
        <v>1</v>
      </c>
      <c r="Q5" t="str">
        <f t="shared" si="9"/>
        <v>CONFORME</v>
      </c>
      <c r="R5" t="str">
        <f t="shared" si="10"/>
        <v>OK</v>
      </c>
      <c r="T5" s="302" t="s">
        <v>1700</v>
      </c>
      <c r="U5" s="368" t="s">
        <v>1700</v>
      </c>
      <c r="V5" s="368"/>
      <c r="W5" s="368"/>
      <c r="X5" s="368" t="s">
        <v>1701</v>
      </c>
      <c r="Y5" s="368"/>
      <c r="Z5" s="368"/>
      <c r="AA5" s="139"/>
    </row>
    <row r="6" spans="1:27" ht="19.5" x14ac:dyDescent="0.25">
      <c r="A6" s="90" t="s">
        <v>378</v>
      </c>
      <c r="B6" s="90" t="s">
        <v>396</v>
      </c>
      <c r="C6" s="90" t="s">
        <v>397</v>
      </c>
      <c r="D6" s="81">
        <v>2918</v>
      </c>
      <c r="E6" s="81">
        <f>IFERROR(INDEX(Controle_Materiais!$J:$J,MATCH(C6,Controle_Materiais!$A:$A,0)),0)</f>
        <v>1450</v>
      </c>
      <c r="F6" s="285">
        <f t="shared" si="0"/>
        <v>541</v>
      </c>
      <c r="G6">
        <f>SUM(Apontamento_Quadrantes!AA5:AA172)</f>
        <v>579</v>
      </c>
      <c r="H6" s="271">
        <f>IFERROR(SUMIF('CONSUMO FISICO'!$B:$B,$C6,'CONSUMO FISICO'!$W:$W),0)</f>
        <v>909</v>
      </c>
      <c r="I6" s="261">
        <f t="shared" si="1"/>
        <v>871</v>
      </c>
      <c r="J6" s="78">
        <f t="shared" si="2"/>
        <v>330</v>
      </c>
      <c r="K6" s="242">
        <f t="shared" si="3"/>
        <v>0.60998151571164505</v>
      </c>
      <c r="L6">
        <f t="shared" si="4"/>
        <v>-330</v>
      </c>
      <c r="M6" s="242">
        <f t="shared" si="5"/>
        <v>-0.56994818652849744</v>
      </c>
      <c r="N6" s="78">
        <f t="shared" si="6"/>
        <v>330</v>
      </c>
      <c r="O6" s="242">
        <f t="shared" si="7"/>
        <v>0.37887485648679681</v>
      </c>
      <c r="P6" s="242">
        <f t="shared" si="8"/>
        <v>0.62112514351320325</v>
      </c>
      <c r="Q6" t="str">
        <f t="shared" si="9"/>
        <v>CRÍTICO</v>
      </c>
      <c r="R6" t="str">
        <f t="shared" si="10"/>
        <v>INVESTIGAR PERDA / SAÍDA NÃO APONTADA</v>
      </c>
      <c r="S6" t="s">
        <v>2095</v>
      </c>
      <c r="T6" s="299">
        <v>12.029</v>
      </c>
      <c r="U6" s="367">
        <v>0</v>
      </c>
      <c r="V6" s="367"/>
      <c r="W6" s="367"/>
      <c r="X6" s="373">
        <v>0.93500000000000005</v>
      </c>
      <c r="Y6" s="367"/>
      <c r="Z6" s="367"/>
      <c r="AA6" s="139"/>
    </row>
    <row r="7" spans="1:27" x14ac:dyDescent="0.25">
      <c r="A7" s="90" t="s">
        <v>378</v>
      </c>
      <c r="B7" s="90" t="s">
        <v>398</v>
      </c>
      <c r="C7" s="90" t="s">
        <v>399</v>
      </c>
      <c r="D7" s="81">
        <v>864</v>
      </c>
      <c r="E7" s="81">
        <f>IFERROR(INDEX(Controle_Materiais!$J:$J,MATCH(C7,Controle_Materiais!$A:$A,0)),0)</f>
        <v>700</v>
      </c>
      <c r="F7" s="285">
        <f t="shared" si="0"/>
        <v>419</v>
      </c>
      <c r="G7">
        <f>SUM(Apontamento_Quadrantes!AB5:AB173)</f>
        <v>152</v>
      </c>
      <c r="H7" s="271">
        <f>IFERROR(SUMIF('CONSUMO FISICO'!$B:$B,$C7,'CONSUMO FISICO'!$W:$W),0)</f>
        <v>281</v>
      </c>
      <c r="I7" s="261">
        <f t="shared" si="1"/>
        <v>548</v>
      </c>
      <c r="J7" s="78">
        <f t="shared" si="2"/>
        <v>129</v>
      </c>
      <c r="K7" s="242">
        <f t="shared" si="3"/>
        <v>0.30787589498806683</v>
      </c>
      <c r="L7">
        <f t="shared" si="4"/>
        <v>-129</v>
      </c>
      <c r="M7" s="242">
        <f t="shared" si="5"/>
        <v>-0.84868421052631582</v>
      </c>
      <c r="N7" s="78">
        <f t="shared" si="6"/>
        <v>129</v>
      </c>
      <c r="O7" s="242">
        <f t="shared" si="7"/>
        <v>0.23540145985401459</v>
      </c>
      <c r="P7" s="242">
        <f t="shared" si="8"/>
        <v>0.76459854014598538</v>
      </c>
      <c r="Q7" t="str">
        <f t="shared" si="9"/>
        <v>CRÍTICO</v>
      </c>
      <c r="R7" t="str">
        <f t="shared" si="10"/>
        <v>INVESTIGAR PERDA / SAÍDA NÃO APONTADA</v>
      </c>
      <c r="S7" t="s">
        <v>2095</v>
      </c>
      <c r="T7" s="139"/>
      <c r="U7" s="139"/>
      <c r="V7" s="139"/>
      <c r="W7" s="139"/>
      <c r="X7" s="294"/>
      <c r="Y7" s="294"/>
      <c r="Z7" s="294"/>
      <c r="AA7" s="139"/>
    </row>
    <row r="8" spans="1:27" x14ac:dyDescent="0.25">
      <c r="A8" s="90" t="s">
        <v>378</v>
      </c>
      <c r="B8" s="90" t="s">
        <v>400</v>
      </c>
      <c r="C8" s="90" t="s">
        <v>401</v>
      </c>
      <c r="D8" s="81">
        <v>3608</v>
      </c>
      <c r="E8" s="81">
        <f>IFERROR(INDEX(Controle_Materiais!$J:$J,MATCH(C8,Controle_Materiais!$A:$A,0)),0)</f>
        <v>3610</v>
      </c>
      <c r="F8" s="285">
        <f t="shared" si="0"/>
        <v>2947</v>
      </c>
      <c r="G8">
        <f>SUM(Apontamento_Quadrantes!AC6:AC174)</f>
        <v>336</v>
      </c>
      <c r="H8" s="271">
        <f>IFERROR(SUMIF('CONSUMO FISICO'!$B:$B,$C8,'CONSUMO FISICO'!$W:$W),0)</f>
        <v>663</v>
      </c>
      <c r="I8" s="261">
        <f t="shared" si="1"/>
        <v>3274</v>
      </c>
      <c r="J8" s="78">
        <f t="shared" si="2"/>
        <v>327</v>
      </c>
      <c r="K8" s="242">
        <f t="shared" si="3"/>
        <v>0.11096029860875467</v>
      </c>
      <c r="L8">
        <f t="shared" si="4"/>
        <v>-327</v>
      </c>
      <c r="M8" s="242">
        <f t="shared" si="5"/>
        <v>-0.9732142857142857</v>
      </c>
      <c r="N8" s="78">
        <f t="shared" si="6"/>
        <v>327</v>
      </c>
      <c r="O8" s="242">
        <f t="shared" si="7"/>
        <v>9.9877825290164937E-2</v>
      </c>
      <c r="P8" s="242">
        <f t="shared" si="8"/>
        <v>0.90012217470983502</v>
      </c>
      <c r="Q8" t="str">
        <f t="shared" si="9"/>
        <v>CRÍTICO</v>
      </c>
      <c r="R8" t="str">
        <f t="shared" si="10"/>
        <v>INVESTIGAR PERDA / SAÍDA NÃO APONTADA</v>
      </c>
      <c r="S8" t="s">
        <v>2095</v>
      </c>
      <c r="T8" s="302" t="s">
        <v>1702</v>
      </c>
      <c r="U8" s="368" t="s">
        <v>1702</v>
      </c>
      <c r="V8" s="368"/>
      <c r="W8" s="368"/>
      <c r="X8" s="368" t="s">
        <v>4</v>
      </c>
      <c r="Y8" s="368"/>
      <c r="Z8" s="368"/>
      <c r="AA8" s="139"/>
    </row>
    <row r="9" spans="1:27" ht="19.5" x14ac:dyDescent="0.25">
      <c r="A9" s="90" t="s">
        <v>385</v>
      </c>
      <c r="B9" s="90" t="s">
        <v>402</v>
      </c>
      <c r="C9" s="90" t="s">
        <v>403</v>
      </c>
      <c r="D9" s="81">
        <v>1294</v>
      </c>
      <c r="E9" s="81">
        <f>IFERROR(INDEX(Controle_Materiais!$J:$J,MATCH(C9,Controle_Materiais!$A:$A,0)),0)</f>
        <v>1290</v>
      </c>
      <c r="F9" s="285">
        <f t="shared" si="0"/>
        <v>298</v>
      </c>
      <c r="G9">
        <v>160</v>
      </c>
      <c r="H9" s="271">
        <f>IFERROR(SUMIF('CONSUMO FISICO'!$B:$B,$C9,'CONSUMO FISICO'!$W:$W),0)</f>
        <v>992</v>
      </c>
      <c r="I9" s="261">
        <f t="shared" si="1"/>
        <v>1130</v>
      </c>
      <c r="J9" s="78">
        <f t="shared" si="2"/>
        <v>832</v>
      </c>
      <c r="K9" s="242">
        <f t="shared" si="3"/>
        <v>2.7919463087248322</v>
      </c>
      <c r="L9">
        <f t="shared" si="4"/>
        <v>-832</v>
      </c>
      <c r="M9" s="242">
        <f t="shared" si="5"/>
        <v>-5.2</v>
      </c>
      <c r="N9" s="78">
        <f t="shared" si="6"/>
        <v>832</v>
      </c>
      <c r="O9" s="242">
        <f t="shared" si="7"/>
        <v>0.73628318584070795</v>
      </c>
      <c r="P9" s="242">
        <f t="shared" si="8"/>
        <v>0.26371681415929205</v>
      </c>
      <c r="Q9" t="str">
        <f t="shared" si="9"/>
        <v>CRÍTICO</v>
      </c>
      <c r="R9" t="str">
        <f t="shared" si="10"/>
        <v>INVESTIGAR PERDA / SAÍDA NÃO APONTADA</v>
      </c>
      <c r="T9" s="327">
        <v>0.90300000000000002</v>
      </c>
      <c r="U9" s="367" t="s">
        <v>2078</v>
      </c>
      <c r="V9" s="367"/>
      <c r="W9" s="367"/>
      <c r="X9" s="367">
        <v>0</v>
      </c>
      <c r="Y9" s="367"/>
      <c r="Z9" s="367"/>
      <c r="AA9" s="139"/>
    </row>
    <row r="10" spans="1:27" x14ac:dyDescent="0.25">
      <c r="A10" s="90" t="s">
        <v>378</v>
      </c>
      <c r="B10" s="90" t="s">
        <v>404</v>
      </c>
      <c r="C10" s="90" t="s">
        <v>405</v>
      </c>
      <c r="D10" s="81">
        <v>2280</v>
      </c>
      <c r="E10" s="81">
        <f>IFERROR(INDEX(Controle_Materiais!$J:$J,MATCH(C10,Controle_Materiais!$A:$A,0)),0)</f>
        <v>2290</v>
      </c>
      <c r="F10" s="285">
        <f t="shared" si="0"/>
        <v>2268</v>
      </c>
      <c r="G10">
        <f>IFERROR(INDEX(Controle_Materiais!$O:$O,MATCH(C10,Controle_Materiais!$A:$A,0)),0)+IFERROR(INDEX(Consumo_Quadrantes!$F:$F,MATCH(C10,Consumo_Quadrantes!$A:$A,0)),0)</f>
        <v>0</v>
      </c>
      <c r="H10" s="271">
        <f>IFERROR(SUMIF('CONSUMO FISICO'!$B:$B,$C10,'CONSUMO FISICO'!$W:$W),0)</f>
        <v>22</v>
      </c>
      <c r="I10" s="261">
        <f t="shared" si="1"/>
        <v>2290</v>
      </c>
      <c r="J10" s="78">
        <f t="shared" si="2"/>
        <v>22</v>
      </c>
      <c r="K10" s="242">
        <f t="shared" si="3"/>
        <v>9.700176366843033E-3</v>
      </c>
      <c r="L10">
        <f t="shared" si="4"/>
        <v>-22</v>
      </c>
      <c r="M10" s="242">
        <f t="shared" si="5"/>
        <v>1</v>
      </c>
      <c r="N10" s="78">
        <f t="shared" si="6"/>
        <v>22</v>
      </c>
      <c r="O10" s="242">
        <f t="shared" si="7"/>
        <v>9.6069868995633193E-3</v>
      </c>
      <c r="P10" s="242">
        <f t="shared" si="8"/>
        <v>0.9903930131004367</v>
      </c>
      <c r="Q10" t="str">
        <f t="shared" si="9"/>
        <v>CONFORME</v>
      </c>
      <c r="R10" t="str">
        <f t="shared" si="10"/>
        <v>INVESTIGAR PERDA / SAÍDA NÃO APONTADA</v>
      </c>
      <c r="T10" s="139"/>
      <c r="U10" s="139"/>
      <c r="V10" s="139"/>
      <c r="W10" s="139"/>
      <c r="X10" s="294"/>
      <c r="Y10" s="294"/>
      <c r="Z10" s="294"/>
      <c r="AA10" s="139"/>
    </row>
    <row r="11" spans="1:27" x14ac:dyDescent="0.25">
      <c r="A11" s="90" t="s">
        <v>378</v>
      </c>
      <c r="B11" s="90" t="s">
        <v>407</v>
      </c>
      <c r="C11" s="90" t="s">
        <v>408</v>
      </c>
      <c r="D11" s="81">
        <v>6</v>
      </c>
      <c r="E11" s="81">
        <f>IFERROR(INDEX(Controle_Materiais!$J:$J,MATCH(C11,Controle_Materiais!$A:$A,0)),0)</f>
        <v>10</v>
      </c>
      <c r="F11" s="285">
        <f t="shared" si="0"/>
        <v>10</v>
      </c>
      <c r="G11">
        <f>IFERROR(INDEX(Controle_Materiais!$O:$O,MATCH(C11,Controle_Materiais!$A:$A,0)),0)+IFERROR(INDEX(Consumo_Quadrantes!$F:$F,MATCH(C11,Consumo_Quadrantes!$A:$A,0)),0)</f>
        <v>0</v>
      </c>
      <c r="H11" s="271">
        <f>IFERROR(SUMIF('CONSUMO FISICO'!$B:$B,$C11,'CONSUMO FISICO'!$W:$W),0)</f>
        <v>0</v>
      </c>
      <c r="I11" s="261">
        <f t="shared" si="1"/>
        <v>10</v>
      </c>
      <c r="J11" s="78">
        <f t="shared" si="2"/>
        <v>0</v>
      </c>
      <c r="K11" s="242">
        <f t="shared" si="3"/>
        <v>0</v>
      </c>
      <c r="L11">
        <f t="shared" si="4"/>
        <v>0</v>
      </c>
      <c r="M11" s="242">
        <f t="shared" si="5"/>
        <v>0</v>
      </c>
      <c r="N11" s="78">
        <f t="shared" si="6"/>
        <v>0</v>
      </c>
      <c r="O11" s="242">
        <f t="shared" si="7"/>
        <v>0</v>
      </c>
      <c r="P11" s="242">
        <f t="shared" si="8"/>
        <v>1</v>
      </c>
      <c r="Q11" t="str">
        <f t="shared" si="9"/>
        <v>CONFORME</v>
      </c>
      <c r="R11" t="str">
        <f t="shared" si="10"/>
        <v>OK</v>
      </c>
      <c r="T11" s="302" t="s">
        <v>1285</v>
      </c>
      <c r="U11" s="368" t="s">
        <v>1285</v>
      </c>
      <c r="V11" s="368"/>
      <c r="W11" s="368"/>
      <c r="X11" s="368" t="s">
        <v>2056</v>
      </c>
      <c r="Y11" s="368"/>
      <c r="Z11" s="368"/>
      <c r="AA11" s="139"/>
    </row>
    <row r="12" spans="1:27" ht="19.5" x14ac:dyDescent="0.25">
      <c r="A12" s="90" t="s">
        <v>392</v>
      </c>
      <c r="B12" s="90" t="s">
        <v>410</v>
      </c>
      <c r="C12" s="90" t="s">
        <v>411</v>
      </c>
      <c r="D12" s="81">
        <v>888</v>
      </c>
      <c r="E12" s="81">
        <f>IFERROR(INDEX(Controle_Materiais!$J:$J,MATCH(C12,Controle_Materiais!$A:$A,0)),0)</f>
        <v>864</v>
      </c>
      <c r="F12" s="285">
        <f t="shared" si="0"/>
        <v>714</v>
      </c>
      <c r="G12">
        <f>Apontamento_Montagem!D35*2</f>
        <v>100</v>
      </c>
      <c r="H12" s="271">
        <f>IFERROR(SUMIF('CONSUMO FISICO'!$B:$B,$C12,'CONSUMO FISICO'!$W:$W),0)</f>
        <v>150</v>
      </c>
      <c r="I12" s="261">
        <f t="shared" si="1"/>
        <v>764</v>
      </c>
      <c r="J12" s="78">
        <f t="shared" si="2"/>
        <v>50</v>
      </c>
      <c r="K12" s="242">
        <f t="shared" si="3"/>
        <v>7.0028011204481794E-2</v>
      </c>
      <c r="L12">
        <f t="shared" si="4"/>
        <v>-50</v>
      </c>
      <c r="M12" s="242">
        <f t="shared" si="5"/>
        <v>-0.5</v>
      </c>
      <c r="N12" s="78">
        <f t="shared" si="6"/>
        <v>50</v>
      </c>
      <c r="O12" s="242">
        <f t="shared" si="7"/>
        <v>6.5445026178010471E-2</v>
      </c>
      <c r="P12" s="242">
        <f t="shared" si="8"/>
        <v>0.93455497382198949</v>
      </c>
      <c r="Q12" t="str">
        <f t="shared" si="9"/>
        <v>CRÍTICO</v>
      </c>
      <c r="R12" t="str">
        <f t="shared" si="10"/>
        <v>INVESTIGAR PERDA / SAÍDA NÃO APONTADA</v>
      </c>
      <c r="S12" t="s">
        <v>2096</v>
      </c>
      <c r="T12" s="299">
        <v>11</v>
      </c>
      <c r="U12" s="367">
        <v>0</v>
      </c>
      <c r="V12" s="367"/>
      <c r="W12" s="367"/>
      <c r="X12" s="367">
        <v>0</v>
      </c>
      <c r="Y12" s="367"/>
      <c r="Z12" s="367"/>
      <c r="AA12" s="139"/>
    </row>
    <row r="13" spans="1:27" x14ac:dyDescent="0.25">
      <c r="A13" s="90" t="s">
        <v>395</v>
      </c>
      <c r="B13" s="90" t="s">
        <v>416</v>
      </c>
      <c r="C13" s="90" t="s">
        <v>417</v>
      </c>
      <c r="D13" s="81">
        <v>1224</v>
      </c>
      <c r="E13" s="81">
        <f>IFERROR(INDEX(Controle_Materiais!$J:$J,MATCH(C13,Controle_Materiais!$A:$A,0)),0)</f>
        <v>1285</v>
      </c>
      <c r="F13" s="285">
        <f t="shared" si="0"/>
        <v>880</v>
      </c>
      <c r="G13">
        <f>Apontamento_Montagem!D34*8</f>
        <v>200</v>
      </c>
      <c r="H13" s="271">
        <f>IFERROR(SUMIF('CONSUMO FISICO'!$B:$B,$C13,'CONSUMO FISICO'!$W:$W),0)</f>
        <v>405</v>
      </c>
      <c r="I13" s="261">
        <f t="shared" si="1"/>
        <v>1085</v>
      </c>
      <c r="J13" s="78">
        <f t="shared" si="2"/>
        <v>205</v>
      </c>
      <c r="K13" s="242">
        <f t="shared" si="3"/>
        <v>0.23295454545454544</v>
      </c>
      <c r="L13">
        <f t="shared" si="4"/>
        <v>-205</v>
      </c>
      <c r="M13" s="242">
        <f t="shared" si="5"/>
        <v>-1.0249999999999999</v>
      </c>
      <c r="N13" s="78">
        <f t="shared" si="6"/>
        <v>205</v>
      </c>
      <c r="O13" s="242">
        <f t="shared" si="7"/>
        <v>0.1889400921658986</v>
      </c>
      <c r="P13" s="242">
        <f t="shared" si="8"/>
        <v>0.81105990783410142</v>
      </c>
      <c r="Q13" t="str">
        <f t="shared" si="9"/>
        <v>CRÍTICO</v>
      </c>
      <c r="R13" t="str">
        <f t="shared" si="10"/>
        <v>INVESTIGAR PERDA / SAÍDA NÃO APONTADA</v>
      </c>
      <c r="S13" t="s">
        <v>2096</v>
      </c>
      <c r="T13" s="139"/>
      <c r="U13" s="139"/>
      <c r="V13" s="139"/>
      <c r="W13" s="139"/>
      <c r="X13" s="294"/>
      <c r="Y13" s="294"/>
      <c r="Z13" s="294"/>
      <c r="AA13" s="139"/>
    </row>
    <row r="14" spans="1:27" x14ac:dyDescent="0.25">
      <c r="A14" s="90" t="s">
        <v>395</v>
      </c>
      <c r="B14" s="90" t="s">
        <v>419</v>
      </c>
      <c r="C14" s="90" t="s">
        <v>420</v>
      </c>
      <c r="D14" s="81">
        <v>72</v>
      </c>
      <c r="E14" s="81">
        <f>IFERROR(INDEX(Controle_Materiais!$J:$J,MATCH(C14,Controle_Materiais!$A:$A,0)),0)</f>
        <v>72</v>
      </c>
      <c r="F14" s="285">
        <f t="shared" si="0"/>
        <v>-6</v>
      </c>
      <c r="G14">
        <f>IFERROR(INDEX(Controle_Materiais!$O:$O,MATCH(C14,Controle_Materiais!$A:$A,0)),0)+IFERROR(INDEX(Consumo_Quadrantes!$F:$F,MATCH(C14,Consumo_Quadrantes!$A:$A,0)),0)</f>
        <v>0</v>
      </c>
      <c r="H14" s="271">
        <f>IFERROR(SUMIF('CONSUMO FISICO'!$B:$B,$C14,'CONSUMO FISICO'!$W:$W),0)</f>
        <v>78</v>
      </c>
      <c r="I14" s="261">
        <f t="shared" si="1"/>
        <v>72</v>
      </c>
      <c r="J14" s="78">
        <f t="shared" si="2"/>
        <v>78</v>
      </c>
      <c r="K14" s="242">
        <f t="shared" si="3"/>
        <v>-13</v>
      </c>
      <c r="L14">
        <f t="shared" si="4"/>
        <v>-78</v>
      </c>
      <c r="M14" s="242">
        <f t="shared" si="5"/>
        <v>1</v>
      </c>
      <c r="N14" s="78">
        <f t="shared" si="6"/>
        <v>78</v>
      </c>
      <c r="O14" s="242">
        <f t="shared" si="7"/>
        <v>1.0833333333333333</v>
      </c>
      <c r="P14" s="242">
        <f t="shared" si="8"/>
        <v>0</v>
      </c>
      <c r="Q14" t="str">
        <f t="shared" si="9"/>
        <v>CRÍTICO</v>
      </c>
      <c r="R14" t="str">
        <f t="shared" si="10"/>
        <v>INVESTIGAR PERDA / SAÍDA NÃO APONTADA</v>
      </c>
      <c r="S14" t="s">
        <v>2091</v>
      </c>
      <c r="T14" s="139"/>
      <c r="U14" s="139"/>
      <c r="V14" s="139"/>
      <c r="W14" s="139"/>
      <c r="X14" s="294"/>
      <c r="Y14" s="294"/>
      <c r="Z14" s="294"/>
      <c r="AA14" s="139"/>
    </row>
    <row r="15" spans="1:27" x14ac:dyDescent="0.25">
      <c r="A15" s="90" t="s">
        <v>395</v>
      </c>
      <c r="B15" s="90" t="s">
        <v>421</v>
      </c>
      <c r="C15" s="90" t="s">
        <v>422</v>
      </c>
      <c r="D15" s="81">
        <v>2</v>
      </c>
      <c r="E15" s="81">
        <f>IFERROR(INDEX(Controle_Materiais!$J:$J,MATCH(C15,Controle_Materiais!$A:$A,0)),0)</f>
        <v>0</v>
      </c>
      <c r="F15" s="285">
        <f t="shared" si="0"/>
        <v>0</v>
      </c>
      <c r="G15">
        <f>IFERROR(INDEX(Controle_Materiais!$O:$O,MATCH(C15,Controle_Materiais!$A:$A,0)),0)+IFERROR(INDEX(Consumo_Quadrantes!$F:$F,MATCH(C15,Consumo_Quadrantes!$A:$A,0)),0)</f>
        <v>0</v>
      </c>
      <c r="H15" s="271">
        <f>IFERROR(SUMIF('CONSUMO FISICO'!$B:$B,$C15,'CONSUMO FISICO'!$W:$W),0)</f>
        <v>0</v>
      </c>
      <c r="I15" s="261">
        <f t="shared" si="1"/>
        <v>0</v>
      </c>
      <c r="J15" s="78">
        <f t="shared" si="2"/>
        <v>0</v>
      </c>
      <c r="K15" s="242">
        <f t="shared" si="3"/>
        <v>0</v>
      </c>
      <c r="L15">
        <f t="shared" si="4"/>
        <v>0</v>
      </c>
      <c r="M15" s="242">
        <f t="shared" si="5"/>
        <v>0</v>
      </c>
      <c r="N15" s="78">
        <f t="shared" si="6"/>
        <v>0</v>
      </c>
      <c r="O15" s="242">
        <f t="shared" si="7"/>
        <v>0</v>
      </c>
      <c r="P15" s="242">
        <f t="shared" si="8"/>
        <v>1</v>
      </c>
      <c r="Q15" t="str">
        <f t="shared" si="9"/>
        <v>CONFORME</v>
      </c>
      <c r="R15" t="str">
        <f t="shared" si="10"/>
        <v>OK</v>
      </c>
      <c r="T15" s="288" t="s">
        <v>67</v>
      </c>
      <c r="U15" s="304" t="s">
        <v>67</v>
      </c>
      <c r="V15" s="304" t="s">
        <v>102</v>
      </c>
      <c r="W15" s="304" t="s">
        <v>101</v>
      </c>
      <c r="X15" s="304" t="s">
        <v>2057</v>
      </c>
      <c r="Y15" s="304" t="s">
        <v>2063</v>
      </c>
      <c r="Z15" s="304" t="s">
        <v>1699</v>
      </c>
      <c r="AA15" s="304" t="s">
        <v>2058</v>
      </c>
    </row>
    <row r="16" spans="1:27" x14ac:dyDescent="0.25">
      <c r="A16" s="90" t="s">
        <v>378</v>
      </c>
      <c r="B16" s="90" t="s">
        <v>426</v>
      </c>
      <c r="C16" s="90" t="s">
        <v>427</v>
      </c>
      <c r="D16" s="81">
        <v>8215</v>
      </c>
      <c r="E16" s="81">
        <f>IFERROR(INDEX(Controle_Materiais!$J:$J,MATCH(C16,Controle_Materiais!$A:$A,0)),0)</f>
        <v>3850</v>
      </c>
      <c r="F16" s="285">
        <f t="shared" si="0"/>
        <v>1222</v>
      </c>
      <c r="G16">
        <f>IFERROR(INDEX(Controle_Materiais!$O:$O,MATCH(C16,Controle_Materiais!$A:$A,0)),0)+IFERROR(INDEX(Consumo_Quadrantes!$F:$F,MATCH(C16,Consumo_Quadrantes!$A:$A,0)),0)</f>
        <v>2134</v>
      </c>
      <c r="H16" s="271">
        <f>IFERROR(SUMIF('CONSUMO FISICO'!$B:$B,$C16,'CONSUMO FISICO'!$W:$W),0)</f>
        <v>2628</v>
      </c>
      <c r="I16" s="261">
        <f t="shared" si="1"/>
        <v>1716</v>
      </c>
      <c r="J16" s="78">
        <f t="shared" si="2"/>
        <v>494</v>
      </c>
      <c r="K16" s="242">
        <f t="shared" si="3"/>
        <v>0.40425531914893614</v>
      </c>
      <c r="L16">
        <f t="shared" si="4"/>
        <v>-494</v>
      </c>
      <c r="M16" s="242">
        <f t="shared" si="5"/>
        <v>-0.23149015932521086</v>
      </c>
      <c r="N16" s="78">
        <f t="shared" si="6"/>
        <v>494</v>
      </c>
      <c r="O16" s="242">
        <f t="shared" si="7"/>
        <v>0.2878787878787879</v>
      </c>
      <c r="P16" s="242">
        <f t="shared" si="8"/>
        <v>0.71212121212121215</v>
      </c>
      <c r="Q16" t="str">
        <f t="shared" si="9"/>
        <v>CRÍTICO</v>
      </c>
      <c r="R16" t="str">
        <f t="shared" si="10"/>
        <v>INVESTIGAR PERDA / SAÍDA NÃO APONTADA</v>
      </c>
      <c r="S16" t="s">
        <v>2098</v>
      </c>
      <c r="T16" s="292" t="s">
        <v>2059</v>
      </c>
      <c r="U16" s="143"/>
      <c r="V16" s="143"/>
      <c r="W16" s="143"/>
      <c r="X16" s="120"/>
      <c r="Y16" s="120"/>
      <c r="Z16" s="120"/>
      <c r="AA16" s="143"/>
    </row>
    <row r="17" spans="1:27" x14ac:dyDescent="0.25">
      <c r="A17" s="90" t="s">
        <v>395</v>
      </c>
      <c r="B17" s="90" t="s">
        <v>433</v>
      </c>
      <c r="C17" s="90" t="s">
        <v>434</v>
      </c>
      <c r="D17" s="81">
        <v>1298</v>
      </c>
      <c r="E17" s="81">
        <f>IFERROR(INDEX(Controle_Materiais!$J:$J,MATCH(C17,Controle_Materiais!$A:$A,0)),0)</f>
        <v>1219</v>
      </c>
      <c r="F17" s="285">
        <f t="shared" si="0"/>
        <v>722</v>
      </c>
      <c r="G17">
        <f>G13</f>
        <v>200</v>
      </c>
      <c r="H17" s="271">
        <f>IFERROR(SUMIF('CONSUMO FISICO'!$B:$B,$C17,'CONSUMO FISICO'!$W:$W),0)</f>
        <v>497</v>
      </c>
      <c r="I17" s="261">
        <f t="shared" si="1"/>
        <v>1019</v>
      </c>
      <c r="J17" s="78">
        <f t="shared" si="2"/>
        <v>297</v>
      </c>
      <c r="K17" s="242">
        <f t="shared" si="3"/>
        <v>0.41135734072022162</v>
      </c>
      <c r="L17">
        <f t="shared" si="4"/>
        <v>-297</v>
      </c>
      <c r="M17" s="242">
        <f t="shared" si="5"/>
        <v>-1.4850000000000001</v>
      </c>
      <c r="N17" s="78">
        <f t="shared" si="6"/>
        <v>297</v>
      </c>
      <c r="O17" s="242">
        <f t="shared" si="7"/>
        <v>0.29146221786064769</v>
      </c>
      <c r="P17" s="242">
        <f t="shared" si="8"/>
        <v>0.70853778213935237</v>
      </c>
      <c r="Q17" t="str">
        <f t="shared" si="9"/>
        <v>CRÍTICO</v>
      </c>
      <c r="R17" t="str">
        <f t="shared" si="10"/>
        <v>INVESTIGAR PERDA / SAÍDA NÃO APONTADA</v>
      </c>
      <c r="S17" t="s">
        <v>2099</v>
      </c>
      <c r="T17" s="292" t="s">
        <v>2059</v>
      </c>
      <c r="U17" s="143"/>
      <c r="V17" s="143"/>
      <c r="W17" s="143"/>
      <c r="X17" s="120"/>
      <c r="Y17" s="120"/>
      <c r="Z17" s="120"/>
      <c r="AA17" s="143"/>
    </row>
    <row r="18" spans="1:27" x14ac:dyDescent="0.25">
      <c r="A18" s="90" t="s">
        <v>406</v>
      </c>
      <c r="B18" s="90" t="s">
        <v>372</v>
      </c>
      <c r="C18" s="90" t="s">
        <v>373</v>
      </c>
      <c r="D18" s="81">
        <v>8135</v>
      </c>
      <c r="E18" s="81">
        <f>IFERROR(INDEX(Controle_Materiais!$J:$J,MATCH(C18,Controle_Materiais!$A:$A,0)),0)</f>
        <v>2800</v>
      </c>
      <c r="F18" s="285">
        <f t="shared" si="0"/>
        <v>-167</v>
      </c>
      <c r="G18">
        <f>IFERROR(INDEX(Controle_Materiais!$O:$O,MATCH(C18,Controle_Materiais!$A:$A,0)),0)+IFERROR(INDEX(Consumo_Quadrantes!$F:$F,MATCH(C18,Consumo_Quadrantes!$A:$A,0)),0)</f>
        <v>2134</v>
      </c>
      <c r="H18" s="271">
        <f>IFERROR(SUMIF('CONSUMO FISICO'!$B:$B,$C18,'CONSUMO FISICO'!$W:$W),0)</f>
        <v>2967</v>
      </c>
      <c r="I18" s="261">
        <f t="shared" si="1"/>
        <v>666</v>
      </c>
      <c r="J18" s="78">
        <f t="shared" si="2"/>
        <v>833</v>
      </c>
      <c r="K18" s="242">
        <f t="shared" si="3"/>
        <v>-4.9880239520958085</v>
      </c>
      <c r="L18">
        <f t="shared" si="4"/>
        <v>-833</v>
      </c>
      <c r="M18" s="242">
        <f t="shared" si="5"/>
        <v>-0.39034676663542645</v>
      </c>
      <c r="N18" s="78">
        <f t="shared" si="6"/>
        <v>833</v>
      </c>
      <c r="O18" s="242">
        <f t="shared" si="7"/>
        <v>1.2507507507507507</v>
      </c>
      <c r="P18" s="242">
        <f t="shared" si="8"/>
        <v>0</v>
      </c>
      <c r="Q18" t="str">
        <f t="shared" si="9"/>
        <v>CRÍTICO</v>
      </c>
      <c r="R18" t="str">
        <f t="shared" si="10"/>
        <v>INVESTIGAR PERDA / SAÍDA NÃO APONTADA</v>
      </c>
      <c r="S18" t="s">
        <v>2098</v>
      </c>
      <c r="T18" s="292" t="s">
        <v>2059</v>
      </c>
      <c r="U18" s="369" t="s">
        <v>2061</v>
      </c>
      <c r="V18" s="370"/>
      <c r="W18" s="370"/>
      <c r="X18" s="370"/>
      <c r="Y18" s="370"/>
      <c r="Z18" s="370"/>
      <c r="AA18" s="370"/>
    </row>
    <row r="19" spans="1:27" x14ac:dyDescent="0.25">
      <c r="A19" s="243" t="s">
        <v>409</v>
      </c>
      <c r="B19" s="243" t="s">
        <v>393</v>
      </c>
      <c r="C19" s="90" t="s">
        <v>394</v>
      </c>
      <c r="D19" s="81">
        <v>568</v>
      </c>
      <c r="E19" s="81">
        <f>IFERROR(INDEX(Controle_Materiais!$J:$J,MATCH(C19,Controle_Materiais!$A:$A,0)),0)</f>
        <v>367</v>
      </c>
      <c r="F19" s="285">
        <f t="shared" si="0"/>
        <v>77</v>
      </c>
      <c r="G19">
        <f>IFERROR(INDEX(Controle_Materiais!$O:$O,MATCH(C19,Controle_Materiais!$A:$A,0)),0)+IFERROR(INDEX(Consumo_Quadrantes!$F:$F,MATCH(C19,Consumo_Quadrantes!$A:$A,0)),0)</f>
        <v>1158</v>
      </c>
      <c r="H19" s="271">
        <f>IFERROR(SUMIF('CONSUMO FISICO'!$B:$B,$C19,'CONSUMO FISICO'!$W:$W),0)</f>
        <v>290</v>
      </c>
      <c r="I19" s="261">
        <f t="shared" si="1"/>
        <v>-791</v>
      </c>
      <c r="J19" s="78">
        <f t="shared" si="2"/>
        <v>-868</v>
      </c>
      <c r="K19" s="242">
        <f t="shared" si="3"/>
        <v>-11.272727272727273</v>
      </c>
      <c r="L19">
        <f t="shared" si="4"/>
        <v>868</v>
      </c>
      <c r="M19" s="242">
        <f t="shared" si="5"/>
        <v>0.74956822107081178</v>
      </c>
      <c r="N19" s="78">
        <f t="shared" si="6"/>
        <v>-868</v>
      </c>
      <c r="O19" s="242">
        <f t="shared" si="7"/>
        <v>1.0973451327433628</v>
      </c>
      <c r="P19" s="242">
        <f t="shared" si="8"/>
        <v>0</v>
      </c>
      <c r="Q19" t="str">
        <f t="shared" si="9"/>
        <v>CRÍTICO</v>
      </c>
      <c r="R19" t="str">
        <f t="shared" si="10"/>
        <v>VALIDAR SOBRA / ENTRADA / BAIXA</v>
      </c>
      <c r="S19" t="s">
        <v>2097</v>
      </c>
      <c r="T19" s="292" t="s">
        <v>2059</v>
      </c>
      <c r="U19" s="291" t="s">
        <v>2062</v>
      </c>
      <c r="V19" s="366" t="s">
        <v>2079</v>
      </c>
      <c r="W19" s="366"/>
      <c r="X19" s="366"/>
      <c r="Y19" s="366" t="s">
        <v>2064</v>
      </c>
      <c r="Z19" s="366"/>
      <c r="AA19" s="366"/>
    </row>
    <row r="20" spans="1:27" ht="30" customHeight="1" x14ac:dyDescent="0.25">
      <c r="A20" s="90" t="s">
        <v>406</v>
      </c>
      <c r="B20" s="90" t="s">
        <v>379</v>
      </c>
      <c r="C20" s="90" t="s">
        <v>380</v>
      </c>
      <c r="D20" s="81">
        <v>1298</v>
      </c>
      <c r="E20" s="81">
        <f>IFERROR(INDEX(Controle_Materiais!$J:$J,MATCH(C20,Controle_Materiais!$A:$A,0)),0)</f>
        <v>1305</v>
      </c>
      <c r="F20" s="285">
        <f t="shared" si="0"/>
        <v>888</v>
      </c>
      <c r="G20">
        <f>G13</f>
        <v>200</v>
      </c>
      <c r="H20" s="271">
        <f>IFERROR(SUMIF('CONSUMO FISICO'!$B:$B,$C20,'CONSUMO FISICO'!$W:$W),0)</f>
        <v>417</v>
      </c>
      <c r="I20" s="261">
        <f t="shared" si="1"/>
        <v>1105</v>
      </c>
      <c r="J20" s="78">
        <f t="shared" si="2"/>
        <v>217</v>
      </c>
      <c r="K20" s="242">
        <f t="shared" si="3"/>
        <v>0.24436936936936937</v>
      </c>
      <c r="L20">
        <f t="shared" si="4"/>
        <v>-217</v>
      </c>
      <c r="M20" s="242">
        <f t="shared" si="5"/>
        <v>-1.085</v>
      </c>
      <c r="N20" s="78">
        <f t="shared" si="6"/>
        <v>217</v>
      </c>
      <c r="O20" s="242">
        <f t="shared" si="7"/>
        <v>0.19638009049773755</v>
      </c>
      <c r="P20" s="242">
        <f t="shared" si="8"/>
        <v>0.80361990950226247</v>
      </c>
      <c r="Q20" t="str">
        <f t="shared" si="9"/>
        <v>CRÍTICO</v>
      </c>
      <c r="R20" t="str">
        <f t="shared" si="10"/>
        <v>INVESTIGAR PERDA / SAÍDA NÃO APONTADA</v>
      </c>
      <c r="T20" s="292" t="s">
        <v>2059</v>
      </c>
      <c r="U20" s="291" t="s">
        <v>2057</v>
      </c>
      <c r="V20" s="366" t="s">
        <v>2080</v>
      </c>
      <c r="W20" s="366"/>
      <c r="X20" s="366"/>
      <c r="Y20" s="366" t="s">
        <v>2065</v>
      </c>
      <c r="Z20" s="366"/>
      <c r="AA20" s="366"/>
    </row>
    <row r="21" spans="1:27" ht="18" customHeight="1" x14ac:dyDescent="0.25">
      <c r="A21" s="90" t="s">
        <v>413</v>
      </c>
      <c r="B21" s="90" t="s">
        <v>424</v>
      </c>
      <c r="C21" s="90" t="s">
        <v>425</v>
      </c>
      <c r="D21" s="81">
        <v>1302</v>
      </c>
      <c r="E21" s="81">
        <f>IFERROR(INDEX(Controle_Materiais!$J:$J,MATCH(C21,Controle_Materiais!$A:$A,0)),0)</f>
        <v>890</v>
      </c>
      <c r="F21" s="285">
        <f t="shared" si="0"/>
        <v>696</v>
      </c>
      <c r="G21">
        <f>Apontamento_Montagem!D33*4</f>
        <v>140</v>
      </c>
      <c r="H21" s="271">
        <f>IFERROR(SUMIF('CONSUMO FISICO'!$B:$B,$C21,'CONSUMO FISICO'!$W:$W),0)</f>
        <v>194</v>
      </c>
      <c r="I21" s="261">
        <f t="shared" si="1"/>
        <v>750</v>
      </c>
      <c r="J21" s="78">
        <f t="shared" si="2"/>
        <v>54</v>
      </c>
      <c r="K21" s="242">
        <f t="shared" si="3"/>
        <v>7.7586206896551727E-2</v>
      </c>
      <c r="L21">
        <f t="shared" si="4"/>
        <v>-54</v>
      </c>
      <c r="M21" s="242">
        <f t="shared" si="5"/>
        <v>-0.38571428571428573</v>
      </c>
      <c r="N21" s="78">
        <f t="shared" si="6"/>
        <v>54</v>
      </c>
      <c r="O21" s="242">
        <f t="shared" si="7"/>
        <v>7.1999999999999995E-2</v>
      </c>
      <c r="P21" s="242">
        <f t="shared" si="8"/>
        <v>0.92800000000000005</v>
      </c>
      <c r="Q21" t="str">
        <f t="shared" si="9"/>
        <v>CRÍTICO</v>
      </c>
      <c r="R21" t="str">
        <f t="shared" si="10"/>
        <v>INVESTIGAR PERDA / SAÍDA NÃO APONTADA</v>
      </c>
      <c r="T21" s="292" t="s">
        <v>2059</v>
      </c>
      <c r="U21" s="143"/>
      <c r="V21" s="143"/>
      <c r="W21" s="143"/>
      <c r="X21" s="120"/>
      <c r="Y21" s="120"/>
      <c r="Z21" s="120"/>
      <c r="AA21" s="143"/>
    </row>
    <row r="22" spans="1:27" ht="18" customHeight="1" x14ac:dyDescent="0.25">
      <c r="A22" s="90" t="s">
        <v>413</v>
      </c>
      <c r="B22" s="90" t="s">
        <v>428</v>
      </c>
      <c r="C22" s="90" t="s">
        <v>429</v>
      </c>
      <c r="D22" s="81">
        <v>736</v>
      </c>
      <c r="E22" s="81">
        <f>IFERROR(INDEX(Controle_Materiais!$J:$J,MATCH(C22,Controle_Materiais!$A:$A,0)),0)</f>
        <v>560</v>
      </c>
      <c r="F22" s="285">
        <f t="shared" si="0"/>
        <v>532</v>
      </c>
      <c r="G22">
        <f>IFERROR(INDEX(Controle_Materiais!$O:$O,MATCH(C22,Controle_Materiais!$A:$A,0)),0)+IFERROR(INDEX(Consumo_Quadrantes!$F:$F,MATCH(C22,Consumo_Quadrantes!$A:$A,0)),0)</f>
        <v>0</v>
      </c>
      <c r="H22" s="271">
        <f>IFERROR(SUMIF('CONSUMO FISICO'!$B:$B,$C22,'CONSUMO FISICO'!$W:$W),0)</f>
        <v>28</v>
      </c>
      <c r="I22" s="261">
        <f t="shared" si="1"/>
        <v>560</v>
      </c>
      <c r="J22" s="78">
        <f t="shared" si="2"/>
        <v>28</v>
      </c>
      <c r="K22" s="242">
        <f t="shared" si="3"/>
        <v>5.2631578947368418E-2</v>
      </c>
      <c r="L22">
        <f t="shared" si="4"/>
        <v>-28</v>
      </c>
      <c r="M22" s="242">
        <f t="shared" si="5"/>
        <v>1</v>
      </c>
      <c r="N22" s="78">
        <f t="shared" si="6"/>
        <v>28</v>
      </c>
      <c r="O22" s="242">
        <f t="shared" si="7"/>
        <v>0.05</v>
      </c>
      <c r="P22" s="242">
        <f t="shared" si="8"/>
        <v>0.95</v>
      </c>
      <c r="Q22" t="str">
        <f t="shared" si="9"/>
        <v>ATENÇÃO</v>
      </c>
      <c r="R22" t="str">
        <f t="shared" si="10"/>
        <v>INVESTIGAR PERDA / SAÍDA NÃO APONTADA</v>
      </c>
      <c r="S22" t="s">
        <v>2094</v>
      </c>
      <c r="T22" s="293" t="s">
        <v>2060</v>
      </c>
      <c r="U22" s="139"/>
      <c r="V22" s="139"/>
      <c r="W22" s="139"/>
      <c r="X22" s="294"/>
      <c r="Y22" s="294"/>
      <c r="Z22" s="294"/>
      <c r="AA22" s="139"/>
    </row>
    <row r="23" spans="1:27" ht="18" customHeight="1" x14ac:dyDescent="0.25">
      <c r="A23" s="90" t="s">
        <v>418</v>
      </c>
      <c r="B23" s="90" t="s">
        <v>368</v>
      </c>
      <c r="C23" s="90" t="s">
        <v>369</v>
      </c>
      <c r="D23" s="81">
        <v>870</v>
      </c>
      <c r="E23" s="81">
        <f>IFERROR(INDEX(Controle_Materiais!$J:$J,MATCH(C23,Controle_Materiais!$A:$A,0)),0)</f>
        <v>488</v>
      </c>
      <c r="F23" s="285">
        <f t="shared" si="0"/>
        <v>304</v>
      </c>
      <c r="G23">
        <f>G21</f>
        <v>140</v>
      </c>
      <c r="H23" s="271">
        <f>IFERROR(SUMIF('CONSUMO FISICO'!$B:$B,$C23,'CONSUMO FISICO'!$W:$W),0)</f>
        <v>184</v>
      </c>
      <c r="I23" s="261">
        <f t="shared" si="1"/>
        <v>348</v>
      </c>
      <c r="J23" s="78">
        <f t="shared" si="2"/>
        <v>44</v>
      </c>
      <c r="K23" s="242">
        <f t="shared" si="3"/>
        <v>0.14473684210526316</v>
      </c>
      <c r="L23">
        <f t="shared" si="4"/>
        <v>-44</v>
      </c>
      <c r="M23" s="242">
        <f t="shared" si="5"/>
        <v>-0.31428571428571428</v>
      </c>
      <c r="N23" s="78">
        <f t="shared" si="6"/>
        <v>44</v>
      </c>
      <c r="O23" s="242">
        <f t="shared" si="7"/>
        <v>0.12643678160919541</v>
      </c>
      <c r="P23" s="242">
        <f t="shared" si="8"/>
        <v>0.87356321839080464</v>
      </c>
      <c r="Q23" t="str">
        <f t="shared" si="9"/>
        <v>CRÍTICO</v>
      </c>
      <c r="R23" t="str">
        <f t="shared" si="10"/>
        <v>INVESTIGAR PERDA / SAÍDA NÃO APONTADA</v>
      </c>
      <c r="S23" t="s">
        <v>2093</v>
      </c>
      <c r="T23" s="293" t="s">
        <v>2060</v>
      </c>
      <c r="U23" s="139"/>
      <c r="V23" s="139"/>
      <c r="W23" s="139"/>
      <c r="X23" s="294"/>
      <c r="Y23" s="294"/>
      <c r="Z23" s="294"/>
      <c r="AA23" s="139"/>
    </row>
    <row r="24" spans="1:27" ht="18" customHeight="1" x14ac:dyDescent="0.25">
      <c r="A24" s="90" t="s">
        <v>418</v>
      </c>
      <c r="B24" s="90" t="s">
        <v>374</v>
      </c>
      <c r="C24" s="90" t="s">
        <v>375</v>
      </c>
      <c r="D24" s="81">
        <v>488</v>
      </c>
      <c r="E24" s="81">
        <f>IFERROR(INDEX(Controle_Materiais!$J:$J,MATCH(C24,Controle_Materiais!$A:$A,0)),0)</f>
        <v>488</v>
      </c>
      <c r="F24" s="285">
        <f t="shared" si="0"/>
        <v>438</v>
      </c>
      <c r="G24">
        <f>IFERROR(INDEX(Controle_Materiais!$O:$O,MATCH(C24,Controle_Materiais!$A:$A,0)),0)+IFERROR(INDEX(Consumo_Quadrantes!$F:$F,MATCH(C24,Consumo_Quadrantes!$A:$A,0)),0)</f>
        <v>0</v>
      </c>
      <c r="H24" s="271">
        <f>IFERROR(SUMIF('CONSUMO FISICO'!$B:$B,$C24,'CONSUMO FISICO'!$W:$W),0)</f>
        <v>50</v>
      </c>
      <c r="I24" s="261">
        <f t="shared" si="1"/>
        <v>488</v>
      </c>
      <c r="J24" s="78">
        <f t="shared" si="2"/>
        <v>50</v>
      </c>
      <c r="K24" s="242">
        <f t="shared" si="3"/>
        <v>0.11415525114155251</v>
      </c>
      <c r="L24">
        <f t="shared" si="4"/>
        <v>-50</v>
      </c>
      <c r="M24" s="242">
        <f t="shared" si="5"/>
        <v>1</v>
      </c>
      <c r="N24" s="78">
        <f t="shared" si="6"/>
        <v>50</v>
      </c>
      <c r="O24" s="242">
        <f t="shared" si="7"/>
        <v>0.10245901639344263</v>
      </c>
      <c r="P24" s="242">
        <f t="shared" si="8"/>
        <v>0.89754098360655732</v>
      </c>
      <c r="Q24" t="str">
        <f t="shared" si="9"/>
        <v>CRÍTICO</v>
      </c>
      <c r="R24" t="str">
        <f t="shared" si="10"/>
        <v>INVESTIGAR PERDA / SAÍDA NÃO APONTADA</v>
      </c>
      <c r="S24" t="s">
        <v>2094</v>
      </c>
      <c r="T24" s="293" t="s">
        <v>2060</v>
      </c>
      <c r="U24" s="139"/>
      <c r="V24" s="139"/>
      <c r="W24" s="139"/>
      <c r="X24" s="294"/>
      <c r="Y24" s="294"/>
      <c r="Z24" s="294"/>
      <c r="AA24" s="139"/>
    </row>
    <row r="25" spans="1:27" ht="18" customHeight="1" x14ac:dyDescent="0.25">
      <c r="A25" s="90" t="s">
        <v>423</v>
      </c>
      <c r="B25" s="90" t="s">
        <v>410</v>
      </c>
      <c r="C25" s="90" t="s">
        <v>412</v>
      </c>
      <c r="D25" s="81">
        <v>13072</v>
      </c>
      <c r="E25" s="81">
        <f>IFERROR(INDEX(Controle_Materiais!$J:$J,MATCH(C25,Controle_Materiais!$A:$A,0)),0)</f>
        <v>12400</v>
      </c>
      <c r="F25" s="285">
        <f t="shared" si="0"/>
        <v>7401</v>
      </c>
      <c r="G25">
        <f>IFERROR(INDEX(Controle_Materiais!$O:$O,MATCH(C25,Controle_Materiais!$A:$A,0)),0)+IFERROR(INDEX(Consumo_Quadrantes!$F:$F,MATCH(C25,Consumo_Quadrantes!$A:$A,0)),0)</f>
        <v>5024</v>
      </c>
      <c r="H25" s="271">
        <f>IFERROR(SUMIF('CONSUMO FISICO'!$B:$B,$C25,'CONSUMO FISICO'!$W:$W),0)</f>
        <v>4999</v>
      </c>
      <c r="I25" s="261">
        <f t="shared" si="1"/>
        <v>7376</v>
      </c>
      <c r="J25" s="78">
        <f t="shared" si="2"/>
        <v>-25</v>
      </c>
      <c r="K25" s="242">
        <f t="shared" si="3"/>
        <v>-3.3779219024456155E-3</v>
      </c>
      <c r="L25">
        <f t="shared" si="4"/>
        <v>25</v>
      </c>
      <c r="M25" s="242">
        <f t="shared" si="5"/>
        <v>4.9761146496815284E-3</v>
      </c>
      <c r="N25" s="78">
        <f t="shared" si="6"/>
        <v>-25</v>
      </c>
      <c r="O25" s="242">
        <f t="shared" si="7"/>
        <v>-3.3893709327548808E-3</v>
      </c>
      <c r="P25" s="242">
        <f t="shared" si="8"/>
        <v>0.99661062906724507</v>
      </c>
      <c r="Q25" t="str">
        <f t="shared" si="9"/>
        <v>CONFORME</v>
      </c>
      <c r="R25" t="str">
        <f t="shared" si="10"/>
        <v>VALIDAR SOBRA / ENTRADA / BAIXA</v>
      </c>
      <c r="T25" s="293" t="s">
        <v>2060</v>
      </c>
      <c r="U25" s="139"/>
      <c r="V25" s="139"/>
      <c r="W25" s="139"/>
      <c r="X25" s="294"/>
      <c r="Y25" s="294"/>
      <c r="Z25" s="294"/>
      <c r="AA25" s="139"/>
    </row>
    <row r="26" spans="1:27" ht="18" customHeight="1" x14ac:dyDescent="0.25">
      <c r="A26" s="90" t="s">
        <v>392</v>
      </c>
      <c r="B26" s="90" t="s">
        <v>414</v>
      </c>
      <c r="C26" s="90" t="s">
        <v>415</v>
      </c>
      <c r="D26" s="81">
        <v>307192</v>
      </c>
      <c r="E26" s="81">
        <f>IFERROR(INDEX(Controle_Materiais!$J:$J,MATCH(C26,Controle_Materiais!$A:$A,0)),0)</f>
        <v>156400</v>
      </c>
      <c r="F26" s="285">
        <f t="shared" si="0"/>
        <v>38162</v>
      </c>
      <c r="G26">
        <f>IFERROR(INDEX(Controle_Materiais!$O:$O,MATCH(C26,Controle_Materiais!$A:$A,0)),0)+IFERROR(INDEX(Consumo_Quadrantes!$F:$F,MATCH(C26,Consumo_Quadrantes!$A:$A,0)),0)</f>
        <v>118046</v>
      </c>
      <c r="H26" s="271">
        <f>IFERROR(SUMIF('CONSUMO FISICO'!$B:$B,$C26,'CONSUMO FISICO'!$W:$W),0)</f>
        <v>118238</v>
      </c>
      <c r="I26" s="261">
        <f t="shared" si="1"/>
        <v>38354</v>
      </c>
      <c r="J26" s="78">
        <f t="shared" si="2"/>
        <v>192</v>
      </c>
      <c r="K26" s="242">
        <f t="shared" si="3"/>
        <v>5.0311828520517793E-3</v>
      </c>
      <c r="L26">
        <f t="shared" si="4"/>
        <v>-192</v>
      </c>
      <c r="M26" s="242">
        <f t="shared" si="5"/>
        <v>-1.6264845907527573E-3</v>
      </c>
      <c r="N26" s="78">
        <f t="shared" si="6"/>
        <v>192</v>
      </c>
      <c r="O26" s="242">
        <f t="shared" si="7"/>
        <v>5.0059967669604209E-3</v>
      </c>
      <c r="P26" s="242">
        <f t="shared" si="8"/>
        <v>0.99499400323303955</v>
      </c>
      <c r="Q26" t="str">
        <f t="shared" si="9"/>
        <v>CONFORME</v>
      </c>
      <c r="R26" t="str">
        <f t="shared" si="10"/>
        <v>INVESTIGAR PERDA / SAÍDA NÃO APONTADA</v>
      </c>
      <c r="T26" s="293" t="s">
        <v>2060</v>
      </c>
      <c r="U26" s="139"/>
      <c r="V26" s="139"/>
      <c r="W26" s="139"/>
      <c r="X26" s="294"/>
      <c r="Y26" s="294"/>
      <c r="Z26" s="294"/>
      <c r="AA26" s="139"/>
    </row>
    <row r="27" spans="1:27" ht="18" customHeight="1" x14ac:dyDescent="0.25">
      <c r="A27" s="90" t="s">
        <v>378</v>
      </c>
      <c r="B27" s="90" t="s">
        <v>430</v>
      </c>
      <c r="C27" s="90" t="s">
        <v>431</v>
      </c>
      <c r="D27" s="81">
        <v>307192</v>
      </c>
      <c r="E27" s="81">
        <f>IFERROR(INDEX(Controle_Materiais!$J:$J,MATCH(C27,Controle_Materiais!$A:$A,0)),0)</f>
        <v>158900</v>
      </c>
      <c r="F27" s="285">
        <f t="shared" si="0"/>
        <v>35773</v>
      </c>
      <c r="G27">
        <f>IFERROR(INDEX(Controle_Materiais!$O:$O,MATCH(C27,Controle_Materiais!$A:$A,0)),0)+IFERROR(INDEX(Consumo_Quadrantes!$F:$F,MATCH(C27,Consumo_Quadrantes!$A:$A,0)),0)</f>
        <v>123069</v>
      </c>
      <c r="H27" s="271">
        <f>IFERROR(SUMIF('CONSUMO FISICO'!$B:$B,$C27,'CONSUMO FISICO'!$W:$W),0)</f>
        <v>123127</v>
      </c>
      <c r="I27" s="261">
        <f t="shared" si="1"/>
        <v>35831</v>
      </c>
      <c r="J27" s="78">
        <f t="shared" si="2"/>
        <v>58</v>
      </c>
      <c r="K27" s="242">
        <f t="shared" si="3"/>
        <v>1.6213345260391915E-3</v>
      </c>
      <c r="L27">
        <f t="shared" si="4"/>
        <v>-58</v>
      </c>
      <c r="M27" s="242">
        <f t="shared" si="5"/>
        <v>-4.71280338671802E-4</v>
      </c>
      <c r="N27" s="78">
        <f t="shared" si="6"/>
        <v>58</v>
      </c>
      <c r="O27" s="242">
        <f t="shared" si="7"/>
        <v>1.6187100555385002E-3</v>
      </c>
      <c r="P27" s="242">
        <f t="shared" si="8"/>
        <v>0.99838128994446151</v>
      </c>
      <c r="Q27" t="str">
        <f t="shared" si="9"/>
        <v>CONFORME</v>
      </c>
      <c r="R27" t="str">
        <f t="shared" si="10"/>
        <v>INVESTIGAR PERDA / SAÍDA NÃO APONTADA</v>
      </c>
      <c r="T27" s="293" t="s">
        <v>2060</v>
      </c>
      <c r="U27" s="139"/>
      <c r="V27" s="139"/>
      <c r="W27" s="139"/>
      <c r="X27" s="294"/>
      <c r="Y27" s="294"/>
      <c r="Z27" s="294"/>
      <c r="AA27" s="139"/>
    </row>
    <row r="28" spans="1:27" ht="18" customHeight="1" x14ac:dyDescent="0.25">
      <c r="A28" s="90" t="s">
        <v>406</v>
      </c>
      <c r="B28" s="90" t="s">
        <v>376</v>
      </c>
      <c r="C28" s="90" t="s">
        <v>377</v>
      </c>
      <c r="D28" s="81">
        <v>320264</v>
      </c>
      <c r="E28" s="81">
        <f>IFERROR(INDEX(Controle_Materiais!$J:$J,MATCH(C28,Controle_Materiais!$A:$A,0)),0)</f>
        <v>158900</v>
      </c>
      <c r="F28" s="285">
        <f t="shared" si="0"/>
        <v>35493</v>
      </c>
      <c r="G28">
        <f>IFERROR(INDEX(Controle_Materiais!$O:$O,MATCH(C28,Controle_Materiais!$A:$A,0)),0)+IFERROR(INDEX(Consumo_Quadrantes!$F:$F,MATCH(C28,Consumo_Quadrantes!$A:$A,0)),0)</f>
        <v>123069</v>
      </c>
      <c r="H28" s="271">
        <f>IFERROR(SUMIF('CONSUMO FISICO'!$B:$B,$C28,'CONSUMO FISICO'!$W:$W),0)</f>
        <v>123407</v>
      </c>
      <c r="I28" s="261">
        <f t="shared" si="1"/>
        <v>35831</v>
      </c>
      <c r="J28" s="78">
        <f t="shared" si="2"/>
        <v>338</v>
      </c>
      <c r="K28" s="242">
        <f t="shared" si="3"/>
        <v>9.5230045361057118E-3</v>
      </c>
      <c r="L28">
        <f t="shared" si="4"/>
        <v>-338</v>
      </c>
      <c r="M28" s="242">
        <f t="shared" si="5"/>
        <v>-2.7464268012253289E-3</v>
      </c>
      <c r="N28" s="78">
        <f t="shared" si="6"/>
        <v>338</v>
      </c>
      <c r="O28" s="242">
        <f t="shared" si="7"/>
        <v>9.433172392620915E-3</v>
      </c>
      <c r="P28" s="242">
        <f t="shared" si="8"/>
        <v>0.99056682760737913</v>
      </c>
      <c r="Q28" t="str">
        <f t="shared" si="9"/>
        <v>CONFORME</v>
      </c>
      <c r="R28" t="str">
        <f t="shared" si="10"/>
        <v>INVESTIGAR PERDA / SAÍDA NÃO APONTADA</v>
      </c>
      <c r="T28" s="293" t="s">
        <v>2060</v>
      </c>
      <c r="U28" s="139"/>
      <c r="V28" s="139"/>
      <c r="W28" s="139"/>
      <c r="X28" s="294"/>
      <c r="Y28" s="294"/>
      <c r="Z28" s="294"/>
      <c r="AA28" s="139"/>
    </row>
    <row r="29" spans="1:27" ht="18" customHeight="1" x14ac:dyDescent="0.25">
      <c r="A29" s="90" t="s">
        <v>432</v>
      </c>
      <c r="B29" s="90" t="s">
        <v>381</v>
      </c>
      <c r="C29" s="90" t="s">
        <v>382</v>
      </c>
      <c r="D29" s="81">
        <v>209152</v>
      </c>
      <c r="E29" s="81">
        <f>IFERROR(INDEX(Controle_Materiais!$J:$J,MATCH(C29,Controle_Materiais!$A:$A,0)),0)</f>
        <v>138400</v>
      </c>
      <c r="F29" s="285">
        <f t="shared" si="0"/>
        <v>54431</v>
      </c>
      <c r="G29">
        <f>IFERROR(INDEX(Controle_Materiais!$O:$O,MATCH(C29,Controle_Materiais!$A:$A,0)),0)+IFERROR(INDEX(Consumo_Quadrantes!$F:$F,MATCH(C29,Consumo_Quadrantes!$A:$A,0)),0)+Apontamento_Montagem!D35*2</f>
        <v>80472</v>
      </c>
      <c r="H29" s="271">
        <f>IFERROR(SUMIF('CONSUMO FISICO'!$B:$B,$C29,'CONSUMO FISICO'!$W:$W),0)</f>
        <v>83969</v>
      </c>
      <c r="I29" s="261">
        <f t="shared" si="1"/>
        <v>57928</v>
      </c>
      <c r="J29" s="78">
        <f t="shared" si="2"/>
        <v>3497</v>
      </c>
      <c r="K29" s="242">
        <f t="shared" si="3"/>
        <v>6.4246477191306425E-2</v>
      </c>
      <c r="L29">
        <f t="shared" si="4"/>
        <v>-3497</v>
      </c>
      <c r="M29" s="242">
        <f t="shared" si="5"/>
        <v>-4.3456108957152802E-2</v>
      </c>
      <c r="N29" s="78">
        <f t="shared" si="6"/>
        <v>3497</v>
      </c>
      <c r="O29" s="242">
        <f t="shared" si="7"/>
        <v>6.0368043087971272E-2</v>
      </c>
      <c r="P29" s="242">
        <f t="shared" si="8"/>
        <v>0.93963195691202872</v>
      </c>
      <c r="Q29" t="str">
        <f t="shared" si="9"/>
        <v>CRÍTICO</v>
      </c>
      <c r="R29" t="str">
        <f t="shared" si="10"/>
        <v>INVESTIGAR PERDA / SAÍDA NÃO APONTADA</v>
      </c>
      <c r="S29" t="s">
        <v>2092</v>
      </c>
      <c r="T29" s="293" t="s">
        <v>2060</v>
      </c>
      <c r="U29" s="139"/>
      <c r="V29" s="139"/>
      <c r="W29" s="139"/>
      <c r="X29" s="294"/>
      <c r="Y29" s="294"/>
      <c r="Z29" s="294"/>
      <c r="AA29" s="139"/>
    </row>
    <row r="30" spans="1:27" ht="18" customHeight="1" x14ac:dyDescent="0.25">
      <c r="A30" s="90" t="s">
        <v>409</v>
      </c>
      <c r="B30" s="243" t="s">
        <v>1276</v>
      </c>
      <c r="C30" s="90" t="s">
        <v>2074</v>
      </c>
      <c r="D30" s="81">
        <v>0</v>
      </c>
      <c r="E30" s="81">
        <f>IFERROR(INDEX(Controle_Materiais!$J:$J,MATCH(C30,Controle_Materiais!$A:$A,0)),0)</f>
        <v>0</v>
      </c>
      <c r="F30" s="285">
        <v>0</v>
      </c>
      <c r="G30">
        <f>IFERROR(INDEX(Controle_Materiais!$O:$O,MATCH(C30,Controle_Materiais!$A:$A,0)),0)+IFERROR(INDEX(Consumo_Quadrantes!$F:$F,MATCH(C30,Consumo_Quadrantes!$A:$A,0)),0)+Apontamento_Montagem!D36*2</f>
        <v>0</v>
      </c>
      <c r="H30" s="271">
        <f>IFERROR(SUMIF('CONSUMO FISICO'!$B:$B,$C30,'CONSUMO FISICO'!$W:$W),0)</f>
        <v>0</v>
      </c>
      <c r="I30" s="261">
        <f t="shared" ref="I30" si="11">E30-G30</f>
        <v>0</v>
      </c>
      <c r="J30" s="78">
        <f t="shared" ref="J30" si="12">I30-F30</f>
        <v>0</v>
      </c>
      <c r="K30" s="242">
        <f t="shared" ref="K30" si="13">IF(F30=0,IF(F30=0,0,1),J30/F30)</f>
        <v>0</v>
      </c>
      <c r="L30">
        <f t="shared" ref="L30" si="14">G30-H30</f>
        <v>0</v>
      </c>
      <c r="M30" s="242">
        <f t="shared" ref="M30" si="15">IF(G30=0,IF(H30=0,0,1),L30/G30)</f>
        <v>0</v>
      </c>
      <c r="N30" s="78">
        <f t="shared" ref="N30" si="16">I30-F30</f>
        <v>0</v>
      </c>
      <c r="O30" s="242">
        <f t="shared" ref="O30" si="17">IF(I30=0,IF(F30=0,0,1),N30/I30)</f>
        <v>0</v>
      </c>
      <c r="P30" s="242">
        <f t="shared" si="8"/>
        <v>1</v>
      </c>
      <c r="Q30" t="str">
        <f t="shared" si="9"/>
        <v>CONFORME</v>
      </c>
      <c r="R30" t="str">
        <f t="shared" ref="R30" si="18">IF(N30&gt;0,"INVESTIGAR PERDA / SAÍDA NÃO APONTADA",IF(N30&lt;0,"VALIDAR SOBRA / ENTRADA / BAIXA","OK"))</f>
        <v>OK</v>
      </c>
      <c r="T30" s="293" t="s">
        <v>2060</v>
      </c>
      <c r="U30" s="139"/>
      <c r="V30" s="139"/>
      <c r="W30" s="139"/>
      <c r="X30" s="294"/>
      <c r="Y30" s="294"/>
      <c r="Z30" s="294"/>
      <c r="AA30" s="139"/>
    </row>
    <row r="31" spans="1:27" ht="18" customHeight="1" x14ac:dyDescent="0.25">
      <c r="A31" s="90" t="s">
        <v>409</v>
      </c>
      <c r="B31" s="243" t="s">
        <v>1350</v>
      </c>
      <c r="C31" s="90" t="s">
        <v>2076</v>
      </c>
      <c r="D31" s="81">
        <v>0</v>
      </c>
      <c r="E31" s="81">
        <f>IFERROR(INDEX(Controle_Materiais!$J:$J,MATCH(C31,Controle_Materiais!$A:$A,0)),0)</f>
        <v>0</v>
      </c>
      <c r="F31" s="285">
        <v>0</v>
      </c>
      <c r="G31">
        <f>IFERROR(INDEX(Controle_Materiais!$O:$O,MATCH(C31,Controle_Materiais!$A:$A,0)),0)+IFERROR(INDEX(Consumo_Quadrantes!$F:$F,MATCH(C31,Consumo_Quadrantes!$A:$A,0)),0)+Apontamento_Montagem!D37*2</f>
        <v>0</v>
      </c>
      <c r="H31" s="271">
        <f>IFERROR(SUMIF('CONSUMO FISICO'!$B:$B,$C31,'CONSUMO FISICO'!$W:$W),0)</f>
        <v>0</v>
      </c>
      <c r="I31" s="261">
        <f t="shared" ref="I31" si="19">E31-G31</f>
        <v>0</v>
      </c>
      <c r="J31" s="78">
        <f t="shared" ref="J31" si="20">I31-F31</f>
        <v>0</v>
      </c>
      <c r="K31" s="242">
        <f t="shared" ref="K31" si="21">IF(F31=0,IF(F31=0,0,1),J31/F31)</f>
        <v>0</v>
      </c>
      <c r="L31">
        <f t="shared" ref="L31" si="22">G31-H31</f>
        <v>0</v>
      </c>
      <c r="M31" s="242">
        <f t="shared" ref="M31" si="23">IF(G31=0,IF(H31=0,0,1),L31/G31)</f>
        <v>0</v>
      </c>
      <c r="N31" s="78">
        <f t="shared" ref="N31" si="24">I31-F31</f>
        <v>0</v>
      </c>
      <c r="O31" s="242">
        <f t="shared" ref="O31" si="25">IF(I31=0,IF(F31=0,0,1),N31/I31)</f>
        <v>0</v>
      </c>
      <c r="P31" s="242">
        <f t="shared" si="8"/>
        <v>1</v>
      </c>
      <c r="Q31" t="str">
        <f t="shared" si="9"/>
        <v>CONFORME</v>
      </c>
      <c r="R31" t="str">
        <f t="shared" ref="R31" si="26">IF(N31&gt;0,"INVESTIGAR PERDA / SAÍDA NÃO APONTADA",IF(N31&lt;0,"VALIDAR SOBRA / ENTRADA / BAIXA","OK"))</f>
        <v>OK</v>
      </c>
      <c r="T31" s="293" t="s">
        <v>2060</v>
      </c>
      <c r="U31" s="139"/>
      <c r="V31" s="139"/>
      <c r="W31" s="139"/>
      <c r="X31" s="294"/>
      <c r="Y31" s="294"/>
      <c r="Z31" s="294"/>
      <c r="AA31" s="139"/>
    </row>
    <row r="32" spans="1:27" ht="18" customHeight="1" x14ac:dyDescent="0.25">
      <c r="A32" t="s">
        <v>195</v>
      </c>
      <c r="B32" t="s">
        <v>2132</v>
      </c>
      <c r="C32" t="s">
        <v>2131</v>
      </c>
      <c r="D32" t="s">
        <v>2185</v>
      </c>
      <c r="K32" t="s">
        <v>2078</v>
      </c>
      <c r="T32" s="293" t="s">
        <v>2060</v>
      </c>
      <c r="U32" s="139"/>
      <c r="V32" s="139"/>
      <c r="W32" s="139"/>
      <c r="X32" s="294"/>
      <c r="Y32" s="294"/>
      <c r="Z32" s="294"/>
      <c r="AA32" s="139"/>
    </row>
    <row r="33" spans="1:27" ht="18" customHeight="1" x14ac:dyDescent="0.25">
      <c r="A33" s="297" t="s">
        <v>195</v>
      </c>
      <c r="B33" s="297" t="s">
        <v>2132</v>
      </c>
      <c r="C33" s="297" t="s">
        <v>2134</v>
      </c>
      <c r="D33" s="297" t="s">
        <v>2185</v>
      </c>
      <c r="E33" s="297"/>
      <c r="F33" s="297"/>
      <c r="G33" s="297"/>
      <c r="H33" s="297"/>
      <c r="I33" s="297"/>
      <c r="J33" s="297"/>
      <c r="K33" s="297" t="s">
        <v>2078</v>
      </c>
      <c r="L33" s="297"/>
      <c r="M33" s="297"/>
      <c r="T33" s="143"/>
      <c r="U33" s="139"/>
      <c r="V33" s="139"/>
      <c r="W33" s="139"/>
      <c r="X33" s="294"/>
      <c r="Y33" s="294"/>
      <c r="Z33" s="294"/>
      <c r="AA33" s="139"/>
    </row>
    <row r="34" spans="1:27" ht="18" customHeight="1" x14ac:dyDescent="0.25">
      <c r="A34" t="s">
        <v>2136</v>
      </c>
      <c r="B34" t="s">
        <v>2137</v>
      </c>
      <c r="C34" t="s">
        <v>2135</v>
      </c>
      <c r="D34" t="s">
        <v>2185</v>
      </c>
      <c r="K34" t="s">
        <v>2078</v>
      </c>
      <c r="T34" s="143"/>
      <c r="U34" s="139"/>
      <c r="V34" s="139"/>
      <c r="W34" s="139"/>
      <c r="X34" s="294"/>
      <c r="Y34" s="294"/>
      <c r="Z34" s="294"/>
      <c r="AA34" s="139"/>
    </row>
    <row r="35" spans="1:27" ht="18" customHeight="1" x14ac:dyDescent="0.25">
      <c r="A35" s="241" t="s">
        <v>2136</v>
      </c>
      <c r="B35" s="241" t="s">
        <v>2139</v>
      </c>
      <c r="C35" s="241" t="s">
        <v>2138</v>
      </c>
      <c r="D35" s="241" t="s">
        <v>2185</v>
      </c>
      <c r="E35" s="241"/>
      <c r="F35" s="241"/>
      <c r="G35" s="241"/>
      <c r="H35" s="241"/>
      <c r="I35" s="241"/>
      <c r="J35" s="241"/>
      <c r="K35" s="241" t="s">
        <v>2078</v>
      </c>
      <c r="L35" s="241"/>
      <c r="M35" s="241"/>
      <c r="T35" s="300" t="s">
        <v>2061</v>
      </c>
      <c r="U35" s="139"/>
      <c r="V35" s="139"/>
      <c r="W35" s="139"/>
      <c r="X35" s="294"/>
      <c r="Y35" s="294"/>
      <c r="Z35" s="294"/>
      <c r="AA35" s="139"/>
    </row>
    <row r="36" spans="1:27" ht="18" customHeight="1" x14ac:dyDescent="0.25">
      <c r="A36" s="244" t="s">
        <v>2136</v>
      </c>
      <c r="B36" t="s">
        <v>2141</v>
      </c>
      <c r="C36" t="s">
        <v>2140</v>
      </c>
      <c r="D36" t="s">
        <v>2185</v>
      </c>
      <c r="F36" s="242"/>
      <c r="G36" s="242"/>
      <c r="H36" s="242"/>
      <c r="I36" s="242"/>
      <c r="J36" s="242"/>
      <c r="K36" t="s">
        <v>2078</v>
      </c>
      <c r="T36" s="289" t="s">
        <v>27</v>
      </c>
      <c r="U36" s="139"/>
      <c r="V36" s="139"/>
      <c r="W36" s="139"/>
      <c r="X36" s="294"/>
      <c r="Y36" s="294"/>
      <c r="Z36" s="294"/>
      <c r="AA36" s="139"/>
    </row>
    <row r="37" spans="1:27" ht="18" customHeight="1" x14ac:dyDescent="0.25">
      <c r="A37" s="244" t="s">
        <v>2136</v>
      </c>
      <c r="B37" t="s">
        <v>2141</v>
      </c>
      <c r="C37" t="s">
        <v>2142</v>
      </c>
      <c r="D37" t="s">
        <v>2185</v>
      </c>
      <c r="F37" s="242"/>
      <c r="G37" s="242"/>
      <c r="H37" s="242"/>
      <c r="I37" s="242"/>
      <c r="J37" s="242"/>
      <c r="K37" t="s">
        <v>2078</v>
      </c>
      <c r="T37" s="290" t="s">
        <v>24</v>
      </c>
      <c r="U37" s="139"/>
      <c r="V37" s="139"/>
      <c r="W37" s="139"/>
      <c r="X37" s="294"/>
      <c r="Y37" s="294"/>
      <c r="Z37" s="294"/>
      <c r="AA37" s="139"/>
    </row>
    <row r="38" spans="1:27" ht="18" customHeight="1" x14ac:dyDescent="0.25">
      <c r="A38" s="244" t="s">
        <v>2136</v>
      </c>
      <c r="B38" t="s">
        <v>2141</v>
      </c>
      <c r="C38" t="s">
        <v>2143</v>
      </c>
      <c r="D38" t="s">
        <v>2185</v>
      </c>
      <c r="F38" s="242"/>
      <c r="G38" s="242"/>
      <c r="H38" s="242"/>
      <c r="I38" s="242"/>
      <c r="J38" s="242"/>
      <c r="K38" t="s">
        <v>2078</v>
      </c>
      <c r="T38" s="291" t="s">
        <v>2062</v>
      </c>
      <c r="U38" s="139"/>
      <c r="V38" s="139"/>
      <c r="W38" s="139"/>
      <c r="X38" s="294"/>
      <c r="Y38" s="294"/>
      <c r="Z38" s="294"/>
      <c r="AA38" s="139"/>
    </row>
    <row r="39" spans="1:27" ht="18" customHeight="1" x14ac:dyDescent="0.25">
      <c r="A39" s="244" t="s">
        <v>2136</v>
      </c>
      <c r="B39" t="s">
        <v>2145</v>
      </c>
      <c r="C39" t="s">
        <v>2144</v>
      </c>
      <c r="D39" t="s">
        <v>2185</v>
      </c>
      <c r="F39" s="242"/>
      <c r="G39" s="242"/>
      <c r="H39" s="242"/>
      <c r="J39" s="242"/>
      <c r="K39" t="s">
        <v>2078</v>
      </c>
      <c r="T39" s="291" t="s">
        <v>2057</v>
      </c>
      <c r="U39" s="139"/>
      <c r="V39" s="139"/>
      <c r="W39" s="139"/>
      <c r="X39" s="294"/>
      <c r="Y39" s="294"/>
      <c r="Z39" s="294"/>
      <c r="AA39" s="139"/>
    </row>
    <row r="40" spans="1:27" ht="18" customHeight="1" x14ac:dyDescent="0.25">
      <c r="A40" s="244" t="s">
        <v>2136</v>
      </c>
      <c r="B40" t="s">
        <v>2145</v>
      </c>
      <c r="C40" t="s">
        <v>2146</v>
      </c>
      <c r="D40" t="s">
        <v>2185</v>
      </c>
      <c r="F40" s="242"/>
      <c r="G40" s="242"/>
      <c r="H40" s="242"/>
      <c r="J40" s="242"/>
      <c r="K40" t="s">
        <v>2078</v>
      </c>
      <c r="T40" s="143"/>
      <c r="U40" s="139"/>
      <c r="V40" s="139"/>
      <c r="W40" s="139"/>
      <c r="X40" s="294"/>
      <c r="Y40" s="294"/>
      <c r="Z40" s="294"/>
      <c r="AA40" s="139"/>
    </row>
    <row r="41" spans="1:27" ht="18" customHeight="1" x14ac:dyDescent="0.25">
      <c r="A41" s="244" t="s">
        <v>2136</v>
      </c>
      <c r="B41" t="s">
        <v>2145</v>
      </c>
      <c r="C41" t="s">
        <v>2147</v>
      </c>
      <c r="D41" t="s">
        <v>2185</v>
      </c>
      <c r="F41" s="242"/>
      <c r="G41" s="242"/>
      <c r="H41" s="242"/>
      <c r="J41" s="242"/>
      <c r="K41" t="s">
        <v>2078</v>
      </c>
      <c r="T41" s="139"/>
      <c r="U41" s="139"/>
      <c r="V41" s="139"/>
      <c r="W41" s="139"/>
      <c r="X41" s="294"/>
      <c r="Y41" s="294"/>
      <c r="Z41" s="294"/>
      <c r="AA41" s="139"/>
    </row>
    <row r="42" spans="1:27" ht="18" customHeight="1" x14ac:dyDescent="0.25">
      <c r="A42" s="244" t="s">
        <v>2136</v>
      </c>
      <c r="B42" t="s">
        <v>2149</v>
      </c>
      <c r="C42" t="s">
        <v>2148</v>
      </c>
      <c r="D42" t="s">
        <v>2185</v>
      </c>
      <c r="F42" s="242"/>
      <c r="G42" s="242"/>
      <c r="H42" s="242"/>
      <c r="J42" s="242"/>
      <c r="K42" t="s">
        <v>2078</v>
      </c>
      <c r="T42" s="139"/>
      <c r="U42" s="139"/>
      <c r="V42" s="139"/>
      <c r="W42" s="139"/>
      <c r="X42" s="294"/>
      <c r="Y42" s="294"/>
      <c r="Z42" s="294"/>
      <c r="AA42" s="139"/>
    </row>
    <row r="43" spans="1:27" ht="18" customHeight="1" x14ac:dyDescent="0.25">
      <c r="A43" s="244" t="s">
        <v>2136</v>
      </c>
      <c r="B43" t="s">
        <v>2149</v>
      </c>
      <c r="C43" t="s">
        <v>2150</v>
      </c>
      <c r="D43" t="s">
        <v>2185</v>
      </c>
      <c r="F43" s="242"/>
      <c r="G43" s="242"/>
      <c r="H43" s="242"/>
      <c r="J43" s="242"/>
      <c r="K43" t="s">
        <v>2078</v>
      </c>
      <c r="T43" s="139"/>
      <c r="U43" s="139"/>
      <c r="V43" s="139"/>
      <c r="W43" s="139"/>
      <c r="X43" s="294"/>
      <c r="Y43" s="294"/>
      <c r="Z43" s="294"/>
      <c r="AA43" s="139"/>
    </row>
    <row r="44" spans="1:27" ht="18" customHeight="1" x14ac:dyDescent="0.25">
      <c r="A44" s="244" t="s">
        <v>2136</v>
      </c>
      <c r="B44" t="s">
        <v>2152</v>
      </c>
      <c r="C44" t="s">
        <v>2151</v>
      </c>
      <c r="D44" t="s">
        <v>2185</v>
      </c>
      <c r="F44" s="242"/>
      <c r="G44" s="242"/>
      <c r="H44" s="242"/>
      <c r="I44" s="242"/>
      <c r="J44" s="242"/>
      <c r="K44" t="s">
        <v>2078</v>
      </c>
      <c r="T44" s="139"/>
      <c r="U44" s="139"/>
      <c r="V44" s="139"/>
      <c r="W44" s="139"/>
      <c r="X44" s="294"/>
      <c r="Y44" s="294"/>
      <c r="Z44" s="294"/>
      <c r="AA44" s="139"/>
    </row>
    <row r="45" spans="1:27" ht="18" customHeight="1" x14ac:dyDescent="0.25">
      <c r="A45" s="244" t="s">
        <v>2136</v>
      </c>
      <c r="B45" t="s">
        <v>2154</v>
      </c>
      <c r="C45" t="s">
        <v>2153</v>
      </c>
      <c r="D45" t="s">
        <v>2185</v>
      </c>
      <c r="F45" s="242"/>
      <c r="G45" s="242"/>
      <c r="H45" s="242"/>
      <c r="I45" s="242"/>
      <c r="J45" s="242"/>
      <c r="K45" t="s">
        <v>2078</v>
      </c>
      <c r="T45" s="139"/>
      <c r="U45" s="139"/>
      <c r="V45" s="139"/>
      <c r="W45" s="139"/>
      <c r="X45" s="294"/>
      <c r="Y45" s="294"/>
      <c r="Z45" s="294"/>
      <c r="AA45" s="139"/>
    </row>
    <row r="46" spans="1:27" ht="18" customHeight="1" x14ac:dyDescent="0.25">
      <c r="A46" s="244" t="s">
        <v>2136</v>
      </c>
      <c r="B46" t="s">
        <v>2154</v>
      </c>
      <c r="C46" t="s">
        <v>2155</v>
      </c>
      <c r="D46" t="s">
        <v>2185</v>
      </c>
      <c r="F46" s="242"/>
      <c r="G46" s="242"/>
      <c r="H46" s="242"/>
      <c r="I46" s="242"/>
      <c r="J46" s="242"/>
      <c r="K46" t="s">
        <v>2078</v>
      </c>
      <c r="T46" s="139"/>
      <c r="U46" s="139"/>
      <c r="V46" s="139"/>
      <c r="W46" s="139"/>
      <c r="X46" s="294"/>
      <c r="Y46" s="294"/>
      <c r="Z46" s="294"/>
      <c r="AA46" s="139"/>
    </row>
    <row r="47" spans="1:27" ht="18" customHeight="1" x14ac:dyDescent="0.25">
      <c r="A47" s="244" t="s">
        <v>2136</v>
      </c>
      <c r="B47" t="s">
        <v>2157</v>
      </c>
      <c r="C47" t="s">
        <v>2156</v>
      </c>
      <c r="D47" t="s">
        <v>2185</v>
      </c>
      <c r="F47" s="242"/>
      <c r="G47" s="242"/>
      <c r="H47" s="242"/>
      <c r="I47" s="242"/>
      <c r="J47" s="242"/>
      <c r="K47" t="s">
        <v>2078</v>
      </c>
      <c r="T47" s="139"/>
      <c r="U47" s="139"/>
      <c r="V47" s="139"/>
      <c r="W47" s="139"/>
      <c r="X47" s="294"/>
      <c r="Y47" s="294"/>
      <c r="Z47" s="294"/>
      <c r="AA47" s="139"/>
    </row>
    <row r="48" spans="1:27" ht="18" customHeight="1" x14ac:dyDescent="0.25">
      <c r="A48" s="244" t="s">
        <v>2136</v>
      </c>
      <c r="B48" t="s">
        <v>2157</v>
      </c>
      <c r="C48" t="s">
        <v>2158</v>
      </c>
      <c r="D48" t="s">
        <v>2185</v>
      </c>
      <c r="F48" s="242"/>
      <c r="G48" s="242"/>
      <c r="H48" s="242"/>
      <c r="I48" s="242"/>
      <c r="J48" s="242"/>
      <c r="K48" t="s">
        <v>2078</v>
      </c>
      <c r="T48" s="139"/>
      <c r="U48" s="139"/>
      <c r="V48" s="139"/>
      <c r="W48" s="139"/>
      <c r="X48" s="294"/>
      <c r="Y48" s="294"/>
      <c r="Z48" s="294"/>
      <c r="AA48" s="139"/>
    </row>
    <row r="49" spans="1:27" ht="18" customHeight="1" x14ac:dyDescent="0.25">
      <c r="A49" s="244" t="s">
        <v>2136</v>
      </c>
      <c r="B49" t="s">
        <v>2179</v>
      </c>
      <c r="C49" t="s">
        <v>2159</v>
      </c>
      <c r="D49" t="s">
        <v>2185</v>
      </c>
      <c r="F49" s="242"/>
      <c r="G49" s="242"/>
      <c r="H49" s="242"/>
      <c r="I49" s="242"/>
      <c r="J49" s="242"/>
      <c r="K49" t="s">
        <v>2078</v>
      </c>
      <c r="T49" s="139"/>
      <c r="U49" s="139"/>
      <c r="V49" s="139"/>
      <c r="W49" s="139"/>
      <c r="X49" s="294"/>
      <c r="Y49" s="294"/>
      <c r="Z49" s="294"/>
      <c r="AA49" s="139"/>
    </row>
    <row r="50" spans="1:27" ht="18" customHeight="1" x14ac:dyDescent="0.25">
      <c r="A50" s="244" t="s">
        <v>2136</v>
      </c>
      <c r="B50" t="s">
        <v>2162</v>
      </c>
      <c r="C50" t="s">
        <v>2161</v>
      </c>
      <c r="D50" t="s">
        <v>2185</v>
      </c>
      <c r="F50" s="242"/>
      <c r="G50" s="242"/>
      <c r="H50" s="242"/>
      <c r="I50" s="242"/>
      <c r="J50" s="242"/>
      <c r="K50" t="s">
        <v>2078</v>
      </c>
      <c r="T50" s="139"/>
      <c r="U50" s="139"/>
      <c r="V50" s="139"/>
      <c r="W50" s="139"/>
      <c r="X50" s="294"/>
      <c r="Y50" s="294"/>
      <c r="Z50" s="294"/>
      <c r="AA50" s="139"/>
    </row>
    <row r="51" spans="1:27" ht="18" customHeight="1" x14ac:dyDescent="0.25">
      <c r="A51" s="244" t="s">
        <v>2136</v>
      </c>
      <c r="B51" t="s">
        <v>2164</v>
      </c>
      <c r="C51" t="s">
        <v>2163</v>
      </c>
      <c r="D51" t="s">
        <v>2185</v>
      </c>
      <c r="F51" s="242"/>
      <c r="G51" s="242"/>
      <c r="H51" s="242"/>
      <c r="I51" s="242"/>
      <c r="J51" s="242"/>
      <c r="K51" t="s">
        <v>2078</v>
      </c>
      <c r="T51" s="139"/>
      <c r="U51" s="139"/>
      <c r="V51" s="139"/>
      <c r="W51" s="139"/>
      <c r="X51" s="294"/>
      <c r="Y51" s="294"/>
      <c r="Z51" s="294"/>
      <c r="AA51" s="139"/>
    </row>
    <row r="52" spans="1:27" ht="18" customHeight="1" x14ac:dyDescent="0.25">
      <c r="A52" s="244" t="s">
        <v>2166</v>
      </c>
      <c r="B52" t="s">
        <v>2180</v>
      </c>
      <c r="C52" t="s">
        <v>2165</v>
      </c>
      <c r="D52" t="s">
        <v>2185</v>
      </c>
      <c r="F52" s="242"/>
      <c r="G52" s="242"/>
      <c r="H52" s="242"/>
      <c r="I52" s="242"/>
      <c r="J52" s="242"/>
      <c r="K52" t="s">
        <v>2078</v>
      </c>
      <c r="T52" s="139"/>
      <c r="U52" s="139"/>
      <c r="V52" s="139"/>
      <c r="W52" s="139"/>
      <c r="X52" s="294"/>
      <c r="Y52" s="294"/>
      <c r="Z52" s="294"/>
      <c r="AA52" s="139"/>
    </row>
    <row r="53" spans="1:27" ht="18" customHeight="1" x14ac:dyDescent="0.25">
      <c r="A53" s="244" t="s">
        <v>2166</v>
      </c>
      <c r="B53" t="s">
        <v>2181</v>
      </c>
      <c r="C53" t="s">
        <v>2168</v>
      </c>
      <c r="D53" t="s">
        <v>2185</v>
      </c>
      <c r="F53" s="242"/>
      <c r="G53" s="242"/>
      <c r="H53" s="242"/>
      <c r="I53" s="242"/>
      <c r="J53" s="242"/>
      <c r="K53" t="s">
        <v>2078</v>
      </c>
      <c r="T53" s="139"/>
      <c r="U53" s="139"/>
      <c r="V53" s="139"/>
      <c r="W53" s="139"/>
      <c r="X53" s="294"/>
      <c r="Y53" s="294"/>
      <c r="Z53" s="294"/>
      <c r="AA53" s="139"/>
    </row>
    <row r="54" spans="1:27" ht="18" customHeight="1" x14ac:dyDescent="0.25">
      <c r="A54" s="244" t="s">
        <v>2171</v>
      </c>
      <c r="B54" t="s">
        <v>2182</v>
      </c>
      <c r="C54" t="s">
        <v>2170</v>
      </c>
      <c r="D54" t="s">
        <v>2185</v>
      </c>
      <c r="F54" s="242"/>
      <c r="G54" s="242"/>
      <c r="H54" s="242"/>
      <c r="I54" s="242"/>
      <c r="J54" s="242"/>
      <c r="K54" t="s">
        <v>2078</v>
      </c>
      <c r="T54" s="139"/>
      <c r="U54" s="139"/>
      <c r="V54" s="139"/>
      <c r="W54" s="139"/>
      <c r="X54" s="294"/>
      <c r="Y54" s="294"/>
      <c r="Z54" s="294"/>
      <c r="AA54" s="139"/>
    </row>
    <row r="55" spans="1:27" ht="18" customHeight="1" x14ac:dyDescent="0.25">
      <c r="A55" s="244" t="s">
        <v>195</v>
      </c>
      <c r="B55" t="s">
        <v>2132</v>
      </c>
      <c r="C55" t="s">
        <v>2131</v>
      </c>
      <c r="D55" t="s">
        <v>2185</v>
      </c>
      <c r="E55">
        <v>0</v>
      </c>
      <c r="F55" s="242">
        <v>0</v>
      </c>
      <c r="G55" s="242">
        <v>0</v>
      </c>
      <c r="H55" s="242">
        <v>0</v>
      </c>
      <c r="I55" s="242">
        <v>0</v>
      </c>
      <c r="J55" s="242">
        <v>0</v>
      </c>
      <c r="K55" t="s">
        <v>2078</v>
      </c>
      <c r="L55">
        <v>0</v>
      </c>
      <c r="T55" s="139"/>
      <c r="U55" s="139"/>
      <c r="V55" s="139"/>
      <c r="W55" s="139"/>
      <c r="X55" s="294"/>
      <c r="Y55" s="294"/>
      <c r="Z55" s="294"/>
      <c r="AA55" s="139"/>
    </row>
    <row r="56" spans="1:27" ht="18" customHeight="1" x14ac:dyDescent="0.25">
      <c r="A56" s="244" t="s">
        <v>195</v>
      </c>
      <c r="B56" t="s">
        <v>2132</v>
      </c>
      <c r="C56" t="s">
        <v>2134</v>
      </c>
      <c r="D56" t="s">
        <v>2185</v>
      </c>
      <c r="E56">
        <v>0</v>
      </c>
      <c r="F56" s="242">
        <v>0</v>
      </c>
      <c r="G56" s="242">
        <v>0</v>
      </c>
      <c r="H56" s="242">
        <v>0</v>
      </c>
      <c r="I56" s="242">
        <v>0</v>
      </c>
      <c r="J56" s="242">
        <v>0</v>
      </c>
      <c r="K56" t="s">
        <v>2078</v>
      </c>
      <c r="L56">
        <v>0</v>
      </c>
      <c r="T56" s="139"/>
      <c r="U56" s="139"/>
      <c r="V56" s="139"/>
      <c r="W56" s="139"/>
      <c r="X56" s="294"/>
      <c r="Y56" s="294"/>
      <c r="Z56" s="294"/>
      <c r="AA56" s="139"/>
    </row>
    <row r="57" spans="1:27" ht="18" customHeight="1" x14ac:dyDescent="0.25">
      <c r="A57" s="244" t="s">
        <v>2136</v>
      </c>
      <c r="B57" t="s">
        <v>2137</v>
      </c>
      <c r="C57" t="s">
        <v>2135</v>
      </c>
      <c r="D57" t="s">
        <v>2185</v>
      </c>
      <c r="E57">
        <v>0</v>
      </c>
      <c r="F57" s="242">
        <v>0</v>
      </c>
      <c r="G57" s="242">
        <v>0</v>
      </c>
      <c r="H57" s="242">
        <v>0</v>
      </c>
      <c r="I57" s="242">
        <v>0</v>
      </c>
      <c r="J57" s="242">
        <v>0</v>
      </c>
      <c r="K57" t="s">
        <v>2078</v>
      </c>
      <c r="L57">
        <v>0</v>
      </c>
      <c r="T57" s="139"/>
      <c r="U57" s="139"/>
      <c r="V57" s="139"/>
      <c r="W57" s="139"/>
      <c r="X57" s="294"/>
      <c r="Y57" s="294"/>
      <c r="Z57" s="294"/>
      <c r="AA57" s="139"/>
    </row>
    <row r="58" spans="1:27" ht="18" customHeight="1" x14ac:dyDescent="0.25">
      <c r="A58" s="244" t="s">
        <v>2136</v>
      </c>
      <c r="B58" t="s">
        <v>2139</v>
      </c>
      <c r="C58" t="s">
        <v>2138</v>
      </c>
      <c r="D58" t="s">
        <v>2185</v>
      </c>
      <c r="E58">
        <v>0</v>
      </c>
      <c r="F58" s="242">
        <v>0</v>
      </c>
      <c r="G58" s="242">
        <v>0</v>
      </c>
      <c r="H58" s="242">
        <v>0</v>
      </c>
      <c r="I58" s="242">
        <v>0</v>
      </c>
      <c r="J58" s="242">
        <v>0</v>
      </c>
      <c r="K58" t="s">
        <v>2078</v>
      </c>
      <c r="L58">
        <v>0</v>
      </c>
      <c r="T58" s="139"/>
      <c r="U58" s="139"/>
      <c r="V58" s="139"/>
      <c r="W58" s="139"/>
      <c r="X58" s="294"/>
      <c r="Y58" s="294"/>
      <c r="Z58" s="294"/>
      <c r="AA58" s="139"/>
    </row>
    <row r="59" spans="1:27" ht="18" customHeight="1" x14ac:dyDescent="0.25">
      <c r="A59" s="244" t="s">
        <v>2136</v>
      </c>
      <c r="B59" t="s">
        <v>2141</v>
      </c>
      <c r="C59" t="s">
        <v>2140</v>
      </c>
      <c r="D59" t="s">
        <v>2185</v>
      </c>
      <c r="E59">
        <v>0</v>
      </c>
      <c r="F59" s="242">
        <v>0</v>
      </c>
      <c r="G59" s="242">
        <v>0</v>
      </c>
      <c r="H59" s="242">
        <v>0</v>
      </c>
      <c r="I59" s="242">
        <v>0</v>
      </c>
      <c r="J59" s="242">
        <v>0</v>
      </c>
      <c r="K59" t="s">
        <v>2078</v>
      </c>
      <c r="L59">
        <v>0</v>
      </c>
      <c r="T59" s="139"/>
      <c r="U59" s="139"/>
      <c r="V59" s="139"/>
      <c r="W59" s="139"/>
      <c r="X59" s="294"/>
      <c r="Y59" s="294"/>
      <c r="Z59" s="294"/>
      <c r="AA59" s="139"/>
    </row>
    <row r="60" spans="1:27" ht="18" customHeight="1" x14ac:dyDescent="0.25">
      <c r="A60" s="245" t="s">
        <v>2136</v>
      </c>
      <c r="B60" s="240" t="s">
        <v>2141</v>
      </c>
      <c r="C60" s="240" t="s">
        <v>2142</v>
      </c>
      <c r="D60" s="240" t="s">
        <v>2185</v>
      </c>
      <c r="E60" s="240">
        <v>0</v>
      </c>
      <c r="F60" s="246">
        <v>0</v>
      </c>
      <c r="G60" s="246">
        <v>0</v>
      </c>
      <c r="H60" s="246">
        <v>0</v>
      </c>
      <c r="I60" s="246">
        <v>0</v>
      </c>
      <c r="J60" s="246">
        <v>0</v>
      </c>
      <c r="K60" s="240" t="s">
        <v>2078</v>
      </c>
      <c r="L60" s="240">
        <v>0</v>
      </c>
      <c r="M60" s="240"/>
      <c r="T60" s="139"/>
      <c r="U60" s="139"/>
      <c r="V60" s="139"/>
      <c r="W60" s="139"/>
      <c r="X60" s="294"/>
      <c r="Y60" s="294"/>
      <c r="Z60" s="294"/>
      <c r="AA60" s="139"/>
    </row>
    <row r="61" spans="1:27" ht="18" customHeight="1" x14ac:dyDescent="0.25">
      <c r="A61" t="s">
        <v>2136</v>
      </c>
      <c r="B61" t="s">
        <v>2141</v>
      </c>
      <c r="C61" t="s">
        <v>2143</v>
      </c>
      <c r="D61" t="s">
        <v>2185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 t="s">
        <v>2078</v>
      </c>
      <c r="L61">
        <v>0</v>
      </c>
      <c r="T61" s="139"/>
      <c r="U61" s="139"/>
      <c r="V61" s="139"/>
      <c r="W61" s="139"/>
      <c r="X61" s="294"/>
      <c r="Y61" s="294"/>
      <c r="Z61" s="294"/>
      <c r="AA61" s="139"/>
    </row>
    <row r="62" spans="1:27" ht="18" customHeight="1" x14ac:dyDescent="0.25">
      <c r="A62" t="s">
        <v>2136</v>
      </c>
      <c r="B62" t="s">
        <v>2145</v>
      </c>
      <c r="C62" t="s">
        <v>2144</v>
      </c>
      <c r="D62" t="s">
        <v>2185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 t="s">
        <v>2078</v>
      </c>
      <c r="L62">
        <v>0</v>
      </c>
      <c r="T62" s="139"/>
      <c r="U62" s="139"/>
      <c r="V62" s="139"/>
      <c r="W62" s="139"/>
      <c r="X62" s="294"/>
      <c r="Y62" s="294"/>
      <c r="Z62" s="294"/>
      <c r="AA62" s="139"/>
    </row>
    <row r="63" spans="1:27" ht="18" customHeight="1" x14ac:dyDescent="0.25">
      <c r="A63" t="s">
        <v>2136</v>
      </c>
      <c r="B63" t="s">
        <v>2145</v>
      </c>
      <c r="C63" t="s">
        <v>2146</v>
      </c>
      <c r="D63" t="s">
        <v>2185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 t="s">
        <v>2078</v>
      </c>
      <c r="L63">
        <v>0</v>
      </c>
      <c r="T63" s="139"/>
      <c r="U63" s="139"/>
      <c r="V63" s="139"/>
      <c r="W63" s="139"/>
      <c r="X63" s="294"/>
      <c r="Y63" s="294"/>
      <c r="Z63" s="294"/>
      <c r="AA63" s="139"/>
    </row>
    <row r="64" spans="1:27" ht="18" customHeight="1" x14ac:dyDescent="0.25">
      <c r="A64" t="s">
        <v>2136</v>
      </c>
      <c r="B64" t="s">
        <v>2145</v>
      </c>
      <c r="C64" t="s">
        <v>2147</v>
      </c>
      <c r="D64" t="s">
        <v>2185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 t="s">
        <v>2078</v>
      </c>
      <c r="L64">
        <v>0</v>
      </c>
      <c r="T64" s="139"/>
      <c r="U64" s="139"/>
      <c r="V64" s="139"/>
      <c r="W64" s="139"/>
      <c r="X64" s="294"/>
      <c r="Y64" s="294"/>
      <c r="Z64" s="294"/>
      <c r="AA64" s="139"/>
    </row>
    <row r="65" spans="1:27" ht="18" customHeight="1" x14ac:dyDescent="0.25">
      <c r="A65" t="s">
        <v>2136</v>
      </c>
      <c r="B65" t="s">
        <v>2149</v>
      </c>
      <c r="C65" t="s">
        <v>2148</v>
      </c>
      <c r="D65" t="s">
        <v>2185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 t="s">
        <v>2078</v>
      </c>
      <c r="L65">
        <v>0</v>
      </c>
      <c r="T65" s="139"/>
      <c r="U65" s="139"/>
      <c r="V65" s="139"/>
      <c r="W65" s="139"/>
      <c r="X65" s="294"/>
      <c r="Y65" s="294"/>
      <c r="Z65" s="294"/>
      <c r="AA65" s="139"/>
    </row>
    <row r="66" spans="1:27" ht="18" customHeight="1" x14ac:dyDescent="0.25">
      <c r="A66" t="s">
        <v>2136</v>
      </c>
      <c r="B66" t="s">
        <v>2149</v>
      </c>
      <c r="C66" t="s">
        <v>2150</v>
      </c>
      <c r="D66" t="s">
        <v>2185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 t="s">
        <v>2078</v>
      </c>
      <c r="L66">
        <v>0</v>
      </c>
      <c r="T66" s="139"/>
      <c r="U66" s="139"/>
      <c r="V66" s="139"/>
      <c r="W66" s="139"/>
      <c r="X66" s="294"/>
      <c r="Y66" s="294"/>
      <c r="Z66" s="294"/>
      <c r="AA66" s="139"/>
    </row>
    <row r="67" spans="1:27" ht="18" customHeight="1" x14ac:dyDescent="0.25">
      <c r="A67" t="s">
        <v>2136</v>
      </c>
      <c r="B67" t="s">
        <v>2152</v>
      </c>
      <c r="C67" t="s">
        <v>2151</v>
      </c>
      <c r="D67" t="s">
        <v>2185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 t="s">
        <v>2078</v>
      </c>
      <c r="L67">
        <v>0</v>
      </c>
      <c r="T67" s="139"/>
      <c r="U67" s="139"/>
      <c r="V67" s="139"/>
      <c r="W67" s="139"/>
      <c r="X67" s="294"/>
      <c r="Y67" s="294"/>
      <c r="Z67" s="294"/>
      <c r="AA67" s="139"/>
    </row>
    <row r="68" spans="1:27" ht="18" customHeight="1" x14ac:dyDescent="0.25">
      <c r="A68" t="s">
        <v>2136</v>
      </c>
      <c r="B68" t="s">
        <v>2154</v>
      </c>
      <c r="C68" t="s">
        <v>2153</v>
      </c>
      <c r="D68" t="s">
        <v>2185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 t="s">
        <v>2078</v>
      </c>
      <c r="L68">
        <v>0</v>
      </c>
      <c r="T68" s="139"/>
      <c r="U68" s="139"/>
      <c r="V68" s="139"/>
      <c r="W68" s="139"/>
      <c r="X68" s="294"/>
      <c r="Y68" s="294"/>
      <c r="Z68" s="294"/>
      <c r="AA68" s="139"/>
    </row>
    <row r="69" spans="1:27" ht="18" customHeight="1" x14ac:dyDescent="0.25">
      <c r="A69" t="s">
        <v>2136</v>
      </c>
      <c r="B69" t="s">
        <v>2154</v>
      </c>
      <c r="C69" t="s">
        <v>2155</v>
      </c>
      <c r="D69" t="s">
        <v>2185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 t="s">
        <v>2078</v>
      </c>
      <c r="L69">
        <v>0</v>
      </c>
      <c r="T69" s="139"/>
      <c r="U69" s="139"/>
      <c r="V69" s="139"/>
      <c r="W69" s="139"/>
      <c r="X69" s="294"/>
      <c r="Y69" s="294"/>
      <c r="Z69" s="294"/>
      <c r="AA69" s="139"/>
    </row>
    <row r="70" spans="1:27" ht="18" customHeight="1" x14ac:dyDescent="0.25">
      <c r="A70" t="s">
        <v>2136</v>
      </c>
      <c r="B70" t="s">
        <v>2157</v>
      </c>
      <c r="C70" t="s">
        <v>2156</v>
      </c>
      <c r="D70" t="s">
        <v>2185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 t="s">
        <v>2078</v>
      </c>
      <c r="L70">
        <v>0</v>
      </c>
      <c r="T70" s="139"/>
      <c r="U70" s="139"/>
      <c r="V70" s="139"/>
      <c r="W70" s="139"/>
      <c r="X70" s="294"/>
      <c r="Y70" s="294"/>
      <c r="Z70" s="294"/>
      <c r="AA70" s="139"/>
    </row>
    <row r="71" spans="1:27" ht="18" customHeight="1" x14ac:dyDescent="0.25">
      <c r="A71" t="s">
        <v>2136</v>
      </c>
      <c r="B71" t="s">
        <v>2157</v>
      </c>
      <c r="C71" t="s">
        <v>2158</v>
      </c>
      <c r="D71" t="s">
        <v>2185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 t="s">
        <v>2078</v>
      </c>
      <c r="L71">
        <v>0</v>
      </c>
      <c r="T71" s="139"/>
      <c r="U71" s="139"/>
      <c r="V71" s="139"/>
      <c r="W71" s="139"/>
      <c r="X71" s="294"/>
      <c r="Y71" s="294"/>
      <c r="Z71" s="294"/>
      <c r="AA71" s="139"/>
    </row>
    <row r="72" spans="1:27" ht="18" customHeight="1" x14ac:dyDescent="0.25">
      <c r="A72" t="s">
        <v>2136</v>
      </c>
      <c r="B72" t="s">
        <v>2186</v>
      </c>
      <c r="C72" t="s">
        <v>2159</v>
      </c>
      <c r="D72" t="s">
        <v>2185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 t="s">
        <v>2078</v>
      </c>
      <c r="L72">
        <v>0</v>
      </c>
      <c r="T72" s="139"/>
      <c r="U72" s="139"/>
      <c r="V72" s="139"/>
      <c r="W72" s="139"/>
      <c r="X72" s="294"/>
      <c r="Y72" s="294"/>
      <c r="Z72" s="294"/>
      <c r="AA72" s="139"/>
    </row>
    <row r="73" spans="1:27" ht="18" customHeight="1" x14ac:dyDescent="0.25">
      <c r="A73" t="s">
        <v>2136</v>
      </c>
      <c r="B73" t="s">
        <v>2162</v>
      </c>
      <c r="C73" t="s">
        <v>2161</v>
      </c>
      <c r="D73" t="s">
        <v>2185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 t="s">
        <v>2078</v>
      </c>
      <c r="L73">
        <v>0</v>
      </c>
      <c r="T73" s="139"/>
      <c r="U73" s="139"/>
      <c r="V73" s="139"/>
      <c r="W73" s="139"/>
      <c r="X73" s="294"/>
      <c r="Y73" s="294"/>
      <c r="Z73" s="294"/>
      <c r="AA73" s="139"/>
    </row>
    <row r="74" spans="1:27" ht="18" customHeight="1" x14ac:dyDescent="0.25">
      <c r="A74" t="s">
        <v>2136</v>
      </c>
      <c r="B74" t="s">
        <v>2164</v>
      </c>
      <c r="C74" t="s">
        <v>2163</v>
      </c>
      <c r="D74" t="s">
        <v>2185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 t="s">
        <v>2078</v>
      </c>
      <c r="L74">
        <v>0</v>
      </c>
      <c r="T74" s="139"/>
      <c r="U74" s="139"/>
      <c r="V74" s="139"/>
      <c r="W74" s="139"/>
      <c r="X74" s="294"/>
      <c r="Y74" s="294"/>
      <c r="Z74" s="294"/>
      <c r="AA74" s="139"/>
    </row>
    <row r="75" spans="1:27" ht="18" customHeight="1" x14ac:dyDescent="0.25">
      <c r="A75" t="s">
        <v>2166</v>
      </c>
      <c r="B75" t="s">
        <v>2180</v>
      </c>
      <c r="C75" t="s">
        <v>2165</v>
      </c>
      <c r="D75" t="s">
        <v>2185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 t="s">
        <v>2078</v>
      </c>
      <c r="L75">
        <v>0</v>
      </c>
      <c r="T75" s="139"/>
      <c r="U75" s="139"/>
      <c r="V75" s="139"/>
      <c r="W75" s="139"/>
      <c r="X75" s="294"/>
      <c r="Y75" s="294"/>
      <c r="Z75" s="294"/>
      <c r="AA75" s="139"/>
    </row>
    <row r="76" spans="1:27" ht="18" customHeight="1" x14ac:dyDescent="0.25">
      <c r="A76" t="s">
        <v>2166</v>
      </c>
      <c r="B76" t="s">
        <v>2181</v>
      </c>
      <c r="C76" t="s">
        <v>2168</v>
      </c>
      <c r="D76" t="s">
        <v>2185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 t="s">
        <v>2078</v>
      </c>
      <c r="L76">
        <v>0</v>
      </c>
      <c r="T76" s="139"/>
      <c r="U76" s="139"/>
      <c r="V76" s="139"/>
      <c r="W76" s="139"/>
      <c r="X76" s="294"/>
      <c r="Y76" s="294"/>
      <c r="Z76" s="294"/>
      <c r="AA76" s="139"/>
    </row>
    <row r="77" spans="1:27" ht="18" customHeight="1" x14ac:dyDescent="0.25">
      <c r="A77" t="s">
        <v>2171</v>
      </c>
      <c r="B77" t="s">
        <v>2187</v>
      </c>
      <c r="C77" t="s">
        <v>2170</v>
      </c>
      <c r="D77" t="s">
        <v>2185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 t="s">
        <v>2078</v>
      </c>
      <c r="L77">
        <v>0</v>
      </c>
      <c r="T77" s="139"/>
      <c r="U77" s="139"/>
      <c r="V77" s="139"/>
      <c r="W77" s="139"/>
      <c r="X77" s="294"/>
      <c r="Y77" s="294"/>
      <c r="Z77" s="294"/>
      <c r="AA77" s="139"/>
    </row>
    <row r="78" spans="1:27" ht="18" customHeight="1" x14ac:dyDescent="0.25">
      <c r="T78" s="139"/>
      <c r="U78" s="139"/>
      <c r="V78" s="139"/>
      <c r="W78" s="139"/>
      <c r="X78" s="294"/>
      <c r="Y78" s="294"/>
      <c r="Z78" s="294"/>
      <c r="AA78" s="139"/>
    </row>
    <row r="79" spans="1:27" ht="18" customHeight="1" x14ac:dyDescent="0.25">
      <c r="T79" s="139"/>
      <c r="U79" s="139"/>
      <c r="V79" s="139"/>
      <c r="W79" s="139"/>
      <c r="X79" s="294"/>
      <c r="Y79" s="294"/>
      <c r="Z79" s="294"/>
      <c r="AA79" s="139"/>
    </row>
    <row r="80" spans="1:27" ht="18" customHeight="1" x14ac:dyDescent="0.25">
      <c r="T80" s="139"/>
      <c r="U80" s="139"/>
      <c r="V80" s="139"/>
      <c r="W80" s="139"/>
      <c r="X80" s="294"/>
      <c r="Y80" s="294"/>
      <c r="Z80" s="294"/>
      <c r="AA80" s="139"/>
    </row>
    <row r="81" spans="20:27" ht="18" customHeight="1" x14ac:dyDescent="0.25">
      <c r="T81" s="139"/>
      <c r="U81" s="139"/>
      <c r="V81" s="139"/>
      <c r="W81" s="139"/>
      <c r="X81" s="294"/>
      <c r="Y81" s="294"/>
      <c r="Z81" s="294"/>
      <c r="AA81" s="139"/>
    </row>
    <row r="82" spans="20:27" ht="18" customHeight="1" x14ac:dyDescent="0.25">
      <c r="T82" s="139"/>
      <c r="U82" s="139"/>
      <c r="V82" s="139"/>
      <c r="W82" s="139"/>
      <c r="X82" s="294"/>
      <c r="Y82" s="294"/>
      <c r="Z82" s="294"/>
      <c r="AA82" s="139"/>
    </row>
    <row r="83" spans="20:27" ht="18" customHeight="1" x14ac:dyDescent="0.25">
      <c r="T83" s="139"/>
      <c r="U83" s="139"/>
      <c r="V83" s="139"/>
      <c r="W83" s="139"/>
      <c r="X83" s="294"/>
      <c r="Y83" s="294"/>
      <c r="Z83" s="294"/>
      <c r="AA83" s="139"/>
    </row>
    <row r="84" spans="20:27" ht="18" customHeight="1" x14ac:dyDescent="0.25">
      <c r="T84" s="139"/>
      <c r="U84" s="139"/>
      <c r="V84" s="139"/>
      <c r="W84" s="139"/>
      <c r="X84" s="294"/>
      <c r="Y84" s="294"/>
      <c r="Z84" s="294"/>
      <c r="AA84" s="139"/>
    </row>
    <row r="85" spans="20:27" ht="18" customHeight="1" x14ac:dyDescent="0.25">
      <c r="T85" s="139"/>
      <c r="U85" s="139"/>
      <c r="V85" s="139"/>
      <c r="W85" s="139"/>
      <c r="X85" s="294"/>
      <c r="Y85" s="294"/>
      <c r="Z85" s="294"/>
      <c r="AA85" s="139"/>
    </row>
    <row r="86" spans="20:27" ht="18" customHeight="1" x14ac:dyDescent="0.25">
      <c r="T86" s="139"/>
      <c r="U86" s="139"/>
      <c r="V86" s="139"/>
      <c r="W86" s="139"/>
      <c r="X86" s="294"/>
      <c r="Y86" s="294"/>
      <c r="Z86" s="294"/>
      <c r="AA86" s="139"/>
    </row>
    <row r="87" spans="20:27" ht="18" customHeight="1" x14ac:dyDescent="0.25">
      <c r="T87" s="139"/>
      <c r="U87" s="139"/>
      <c r="V87" s="139"/>
      <c r="W87" s="139"/>
      <c r="X87" s="294"/>
      <c r="Y87" s="294"/>
      <c r="Z87" s="294"/>
      <c r="AA87" s="139"/>
    </row>
    <row r="88" spans="20:27" ht="18" customHeight="1" x14ac:dyDescent="0.25">
      <c r="T88" s="139"/>
      <c r="U88" s="139"/>
      <c r="V88" s="139"/>
      <c r="W88" s="139"/>
      <c r="X88" s="294"/>
      <c r="Y88" s="294"/>
      <c r="Z88" s="294"/>
      <c r="AA88" s="139"/>
    </row>
    <row r="89" spans="20:27" ht="18" customHeight="1" x14ac:dyDescent="0.25">
      <c r="T89" s="139"/>
      <c r="U89" s="139"/>
      <c r="V89" s="139"/>
      <c r="W89" s="139"/>
      <c r="X89" s="294"/>
      <c r="Y89" s="294"/>
      <c r="Z89" s="294"/>
      <c r="AA89" s="139"/>
    </row>
    <row r="90" spans="20:27" ht="18" customHeight="1" x14ac:dyDescent="0.25">
      <c r="T90" s="139"/>
      <c r="U90" s="139"/>
      <c r="V90" s="139"/>
      <c r="W90" s="139"/>
      <c r="X90" s="294"/>
      <c r="Y90" s="294"/>
      <c r="Z90" s="294"/>
      <c r="AA90" s="139"/>
    </row>
    <row r="91" spans="20:27" ht="18" customHeight="1" x14ac:dyDescent="0.25">
      <c r="T91" s="139"/>
      <c r="U91" s="139"/>
      <c r="V91" s="139"/>
      <c r="W91" s="139"/>
      <c r="X91" s="294"/>
      <c r="Y91" s="294"/>
      <c r="Z91" s="294"/>
      <c r="AA91" s="139"/>
    </row>
    <row r="92" spans="20:27" ht="18" customHeight="1" x14ac:dyDescent="0.25">
      <c r="T92" s="139"/>
      <c r="U92" s="139"/>
      <c r="V92" s="139"/>
      <c r="W92" s="139"/>
      <c r="X92" s="294"/>
      <c r="Y92" s="294"/>
      <c r="Z92" s="294"/>
      <c r="AA92" s="139"/>
    </row>
    <row r="93" spans="20:27" ht="18" customHeight="1" x14ac:dyDescent="0.25">
      <c r="T93" s="139"/>
      <c r="U93" s="139"/>
      <c r="V93" s="139"/>
      <c r="W93" s="139"/>
      <c r="X93" s="294"/>
      <c r="Y93" s="294"/>
      <c r="Z93" s="294"/>
      <c r="AA93" s="139"/>
    </row>
    <row r="94" spans="20:27" ht="18" customHeight="1" x14ac:dyDescent="0.25">
      <c r="T94" s="139"/>
      <c r="U94" s="139"/>
      <c r="V94" s="139"/>
      <c r="W94" s="139"/>
      <c r="X94" s="294"/>
      <c r="Y94" s="294"/>
      <c r="Z94" s="294"/>
      <c r="AA94" s="139"/>
    </row>
    <row r="95" spans="20:27" ht="18" customHeight="1" x14ac:dyDescent="0.25">
      <c r="T95" s="139"/>
      <c r="U95" s="139"/>
      <c r="V95" s="139"/>
      <c r="W95" s="139"/>
      <c r="X95" s="294"/>
      <c r="Y95" s="294"/>
      <c r="Z95" s="294"/>
      <c r="AA95" s="139"/>
    </row>
    <row r="96" spans="20:27" ht="18" customHeight="1" x14ac:dyDescent="0.25">
      <c r="T96" s="139"/>
      <c r="U96" s="139"/>
      <c r="V96" s="139"/>
      <c r="W96" s="139"/>
      <c r="X96" s="294"/>
      <c r="Y96" s="294"/>
      <c r="Z96" s="294"/>
      <c r="AA96" s="139"/>
    </row>
    <row r="97" spans="20:27" ht="18" customHeight="1" x14ac:dyDescent="0.25">
      <c r="T97" s="139"/>
      <c r="U97" s="139"/>
      <c r="V97" s="139"/>
      <c r="W97" s="139"/>
      <c r="X97" s="294"/>
      <c r="Y97" s="294"/>
      <c r="Z97" s="294"/>
      <c r="AA97" s="139"/>
    </row>
    <row r="98" spans="20:27" ht="18" customHeight="1" x14ac:dyDescent="0.25">
      <c r="T98" s="139"/>
      <c r="U98" s="139"/>
      <c r="V98" s="139"/>
      <c r="W98" s="139"/>
      <c r="X98" s="294"/>
      <c r="Y98" s="294"/>
      <c r="Z98" s="294"/>
      <c r="AA98" s="139"/>
    </row>
    <row r="99" spans="20:27" ht="18" customHeight="1" x14ac:dyDescent="0.25">
      <c r="T99" s="139"/>
      <c r="U99" s="139"/>
      <c r="V99" s="139"/>
      <c r="W99" s="139"/>
      <c r="X99" s="294"/>
      <c r="Y99" s="294"/>
      <c r="Z99" s="294"/>
      <c r="AA99" s="139"/>
    </row>
    <row r="100" spans="20:27" ht="18" customHeight="1" x14ac:dyDescent="0.25">
      <c r="T100" s="139"/>
      <c r="U100" s="139"/>
      <c r="V100" s="139"/>
      <c r="W100" s="139"/>
      <c r="X100" s="294"/>
      <c r="Y100" s="294"/>
      <c r="Z100" s="294"/>
      <c r="AA100" s="139"/>
    </row>
    <row r="101" spans="20:27" ht="18" customHeight="1" x14ac:dyDescent="0.25">
      <c r="T101" s="139"/>
      <c r="U101" s="139"/>
      <c r="V101" s="139"/>
      <c r="W101" s="139"/>
      <c r="X101" s="294"/>
      <c r="Y101" s="294"/>
      <c r="Z101" s="294"/>
      <c r="AA101" s="139"/>
    </row>
    <row r="102" spans="20:27" ht="18" customHeight="1" x14ac:dyDescent="0.25">
      <c r="T102" s="139"/>
      <c r="U102" s="139"/>
      <c r="V102" s="139"/>
      <c r="W102" s="139"/>
      <c r="X102" s="294"/>
      <c r="Y102" s="294"/>
      <c r="Z102" s="294"/>
      <c r="AA102" s="139"/>
    </row>
    <row r="103" spans="20:27" ht="18" customHeight="1" x14ac:dyDescent="0.25">
      <c r="T103" s="139"/>
      <c r="U103" s="139"/>
      <c r="V103" s="139"/>
      <c r="W103" s="139"/>
      <c r="X103" s="294"/>
      <c r="Y103" s="294"/>
      <c r="Z103" s="294"/>
      <c r="AA103" s="139"/>
    </row>
    <row r="104" spans="20:27" ht="18" customHeight="1" x14ac:dyDescent="0.25">
      <c r="T104" s="139"/>
      <c r="U104" s="139"/>
      <c r="V104" s="139"/>
      <c r="W104" s="139"/>
      <c r="X104" s="294"/>
      <c r="Y104" s="294"/>
      <c r="Z104" s="294"/>
      <c r="AA104" s="139"/>
    </row>
    <row r="105" spans="20:27" ht="18" customHeight="1" x14ac:dyDescent="0.25">
      <c r="T105" s="139"/>
      <c r="U105" s="139"/>
      <c r="V105" s="139"/>
      <c r="W105" s="139"/>
      <c r="X105" s="294"/>
      <c r="Y105" s="294"/>
      <c r="Z105" s="294"/>
      <c r="AA105" s="139"/>
    </row>
    <row r="106" spans="20:27" ht="18" customHeight="1" x14ac:dyDescent="0.25">
      <c r="T106" s="139"/>
      <c r="U106" s="139"/>
      <c r="V106" s="139"/>
      <c r="W106" s="139"/>
      <c r="X106" s="294"/>
      <c r="Y106" s="294"/>
      <c r="Z106" s="294"/>
      <c r="AA106" s="139"/>
    </row>
    <row r="107" spans="20:27" ht="18" customHeight="1" x14ac:dyDescent="0.25">
      <c r="T107" s="139"/>
      <c r="U107" s="139"/>
      <c r="V107" s="139"/>
      <c r="W107" s="139"/>
      <c r="X107" s="294"/>
      <c r="Y107" s="294"/>
      <c r="Z107" s="294"/>
      <c r="AA107" s="139"/>
    </row>
    <row r="108" spans="20:27" ht="18" customHeight="1" x14ac:dyDescent="0.25">
      <c r="T108" s="139"/>
      <c r="U108" s="139"/>
      <c r="V108" s="139"/>
      <c r="W108" s="139"/>
      <c r="X108" s="294"/>
      <c r="Y108" s="294"/>
      <c r="Z108" s="294"/>
      <c r="AA108" s="139"/>
    </row>
    <row r="109" spans="20:27" ht="18" customHeight="1" x14ac:dyDescent="0.25">
      <c r="T109" s="139"/>
      <c r="U109" s="139"/>
      <c r="V109" s="139"/>
      <c r="W109" s="139"/>
      <c r="X109" s="294"/>
      <c r="Y109" s="294"/>
      <c r="Z109" s="294"/>
      <c r="AA109" s="139"/>
    </row>
    <row r="110" spans="20:27" ht="18" customHeight="1" x14ac:dyDescent="0.25">
      <c r="T110" s="139"/>
      <c r="U110" s="139"/>
      <c r="V110" s="139"/>
      <c r="W110" s="139"/>
      <c r="X110" s="294"/>
      <c r="Y110" s="294"/>
      <c r="Z110" s="294"/>
      <c r="AA110" s="139"/>
    </row>
    <row r="111" spans="20:27" ht="18" customHeight="1" x14ac:dyDescent="0.25">
      <c r="T111" s="139"/>
      <c r="U111" s="139"/>
      <c r="V111" s="139"/>
      <c r="W111" s="139"/>
      <c r="X111" s="294"/>
      <c r="Y111" s="294"/>
      <c r="Z111" s="294"/>
      <c r="AA111" s="139"/>
    </row>
    <row r="112" spans="20:27" ht="18" customHeight="1" x14ac:dyDescent="0.25">
      <c r="T112" s="139"/>
      <c r="U112" s="139"/>
      <c r="V112" s="139"/>
      <c r="W112" s="139"/>
      <c r="X112" s="294"/>
      <c r="Y112" s="294"/>
      <c r="Z112" s="294"/>
      <c r="AA112" s="139"/>
    </row>
    <row r="113" spans="20:27" ht="18" customHeight="1" x14ac:dyDescent="0.25">
      <c r="T113" s="139"/>
      <c r="U113" s="139"/>
      <c r="V113" s="139"/>
      <c r="W113" s="139"/>
      <c r="X113" s="294"/>
      <c r="Y113" s="294"/>
      <c r="Z113" s="294"/>
      <c r="AA113" s="139"/>
    </row>
    <row r="114" spans="20:27" ht="18" customHeight="1" x14ac:dyDescent="0.25">
      <c r="T114" s="139"/>
      <c r="U114" s="139"/>
      <c r="V114" s="139"/>
      <c r="W114" s="139"/>
      <c r="X114" s="294"/>
      <c r="Y114" s="294"/>
      <c r="Z114" s="294"/>
      <c r="AA114" s="139"/>
    </row>
    <row r="115" spans="20:27" ht="18" customHeight="1" x14ac:dyDescent="0.25">
      <c r="T115" s="139"/>
      <c r="U115" s="139"/>
      <c r="V115" s="139"/>
      <c r="W115" s="139"/>
      <c r="X115" s="294"/>
      <c r="Y115" s="294"/>
      <c r="Z115" s="294"/>
      <c r="AA115" s="139"/>
    </row>
    <row r="116" spans="20:27" ht="18" customHeight="1" x14ac:dyDescent="0.25">
      <c r="T116" s="139"/>
      <c r="U116" s="139"/>
      <c r="V116" s="139"/>
      <c r="W116" s="139"/>
      <c r="X116" s="294"/>
      <c r="Y116" s="294"/>
      <c r="Z116" s="294"/>
      <c r="AA116" s="139"/>
    </row>
    <row r="117" spans="20:27" ht="18" customHeight="1" x14ac:dyDescent="0.25">
      <c r="T117" s="139"/>
      <c r="U117" s="139"/>
      <c r="V117" s="139"/>
      <c r="W117" s="139"/>
      <c r="X117" s="294"/>
      <c r="Y117" s="294"/>
      <c r="Z117" s="294"/>
      <c r="AA117" s="139"/>
    </row>
    <row r="118" spans="20:27" ht="18" customHeight="1" x14ac:dyDescent="0.25">
      <c r="T118" s="139"/>
      <c r="U118" s="139"/>
      <c r="V118" s="139"/>
      <c r="W118" s="139"/>
      <c r="X118" s="294"/>
      <c r="Y118" s="294"/>
      <c r="Z118" s="294"/>
      <c r="AA118" s="139"/>
    </row>
    <row r="119" spans="20:27" ht="18" customHeight="1" x14ac:dyDescent="0.25">
      <c r="T119" s="139"/>
      <c r="U119" s="139"/>
      <c r="V119" s="139"/>
      <c r="W119" s="139"/>
      <c r="X119" s="294"/>
      <c r="Y119" s="294"/>
      <c r="Z119" s="294"/>
      <c r="AA119" s="139"/>
    </row>
    <row r="120" spans="20:27" ht="18" customHeight="1" x14ac:dyDescent="0.25">
      <c r="T120" s="139"/>
      <c r="U120" s="139"/>
      <c r="V120" s="139"/>
      <c r="W120" s="139"/>
      <c r="X120" s="294"/>
      <c r="Y120" s="294"/>
      <c r="Z120" s="294"/>
      <c r="AA120" s="139"/>
    </row>
    <row r="121" spans="20:27" ht="18" customHeight="1" x14ac:dyDescent="0.25">
      <c r="T121" s="139"/>
      <c r="U121" s="139"/>
      <c r="V121" s="139"/>
      <c r="W121" s="139"/>
      <c r="X121" s="294"/>
      <c r="Y121" s="294"/>
      <c r="Z121" s="294"/>
      <c r="AA121" s="139"/>
    </row>
    <row r="122" spans="20:27" ht="18" customHeight="1" x14ac:dyDescent="0.25">
      <c r="T122" s="139"/>
      <c r="U122" s="139"/>
      <c r="V122" s="139"/>
      <c r="W122" s="139"/>
      <c r="X122" s="294"/>
      <c r="Y122" s="294"/>
      <c r="Z122" s="294"/>
      <c r="AA122" s="139"/>
    </row>
    <row r="123" spans="20:27" ht="18" customHeight="1" x14ac:dyDescent="0.25">
      <c r="T123" s="139"/>
      <c r="U123" s="139"/>
      <c r="V123" s="139"/>
      <c r="W123" s="139"/>
      <c r="X123" s="294"/>
      <c r="Y123" s="294"/>
      <c r="Z123" s="294"/>
      <c r="AA123" s="139"/>
    </row>
    <row r="124" spans="20:27" ht="18" customHeight="1" x14ac:dyDescent="0.25">
      <c r="T124" s="139"/>
      <c r="U124" s="139"/>
      <c r="V124" s="139"/>
      <c r="W124" s="139"/>
      <c r="X124" s="294"/>
      <c r="Y124" s="294"/>
      <c r="Z124" s="294"/>
      <c r="AA124" s="139"/>
    </row>
    <row r="125" spans="20:27" ht="18" customHeight="1" x14ac:dyDescent="0.25">
      <c r="T125" s="139"/>
      <c r="U125" s="139"/>
      <c r="V125" s="139"/>
      <c r="W125" s="139"/>
      <c r="X125" s="294"/>
      <c r="Y125" s="294"/>
      <c r="Z125" s="294"/>
      <c r="AA125" s="139"/>
    </row>
    <row r="126" spans="20:27" ht="18" customHeight="1" x14ac:dyDescent="0.25">
      <c r="T126" s="139"/>
      <c r="U126" s="139"/>
      <c r="V126" s="139"/>
      <c r="W126" s="139"/>
      <c r="X126" s="294"/>
      <c r="Y126" s="294"/>
      <c r="Z126" s="294"/>
      <c r="AA126" s="139"/>
    </row>
    <row r="127" spans="20:27" ht="18" customHeight="1" x14ac:dyDescent="0.25">
      <c r="T127" s="139"/>
      <c r="U127" s="139"/>
      <c r="V127" s="139"/>
      <c r="W127" s="139"/>
      <c r="X127" s="294"/>
      <c r="Y127" s="294"/>
      <c r="Z127" s="294"/>
      <c r="AA127" s="139"/>
    </row>
    <row r="128" spans="20:27" ht="18" customHeight="1" x14ac:dyDescent="0.25">
      <c r="T128" s="139"/>
      <c r="U128" s="139"/>
      <c r="V128" s="139"/>
      <c r="W128" s="139"/>
      <c r="X128" s="294"/>
      <c r="Y128" s="294"/>
      <c r="Z128" s="294"/>
      <c r="AA128" s="139"/>
    </row>
    <row r="129" spans="20:27" ht="18" customHeight="1" x14ac:dyDescent="0.25">
      <c r="T129" s="139"/>
      <c r="U129" s="139"/>
      <c r="V129" s="139"/>
      <c r="W129" s="139"/>
      <c r="X129" s="294"/>
      <c r="Y129" s="294"/>
      <c r="Z129" s="294"/>
      <c r="AA129" s="139"/>
    </row>
    <row r="130" spans="20:27" ht="18" customHeight="1" x14ac:dyDescent="0.25">
      <c r="T130" s="139"/>
      <c r="U130" s="139"/>
      <c r="V130" s="139"/>
      <c r="W130" s="139"/>
      <c r="X130" s="294"/>
      <c r="Y130" s="294"/>
      <c r="Z130" s="294"/>
      <c r="AA130" s="139"/>
    </row>
    <row r="131" spans="20:27" ht="18" customHeight="1" x14ac:dyDescent="0.25">
      <c r="T131" s="139"/>
      <c r="U131" s="139"/>
      <c r="V131" s="139"/>
      <c r="W131" s="139"/>
      <c r="X131" s="294"/>
      <c r="Y131" s="294"/>
      <c r="Z131" s="294"/>
      <c r="AA131" s="139"/>
    </row>
    <row r="132" spans="20:27" ht="18" customHeight="1" x14ac:dyDescent="0.25">
      <c r="T132" s="139"/>
      <c r="U132" s="139"/>
      <c r="V132" s="139"/>
      <c r="W132" s="139"/>
      <c r="X132" s="294"/>
      <c r="Y132" s="294"/>
      <c r="Z132" s="294"/>
      <c r="AA132" s="139"/>
    </row>
    <row r="133" spans="20:27" ht="18" customHeight="1" x14ac:dyDescent="0.25">
      <c r="T133" s="139"/>
      <c r="U133" s="139"/>
      <c r="V133" s="139"/>
      <c r="W133" s="139"/>
      <c r="X133" s="294"/>
      <c r="Y133" s="294"/>
      <c r="Z133" s="294"/>
      <c r="AA133" s="139"/>
    </row>
    <row r="134" spans="20:27" ht="18" customHeight="1" x14ac:dyDescent="0.25">
      <c r="T134" s="139"/>
      <c r="U134" s="139"/>
      <c r="V134" s="139"/>
      <c r="W134" s="139"/>
      <c r="X134" s="294"/>
      <c r="Y134" s="294"/>
      <c r="Z134" s="294"/>
      <c r="AA134" s="139"/>
    </row>
    <row r="135" spans="20:27" ht="18" customHeight="1" x14ac:dyDescent="0.25">
      <c r="T135" s="139"/>
      <c r="U135" s="139"/>
      <c r="V135" s="139"/>
      <c r="W135" s="139"/>
      <c r="X135" s="294"/>
      <c r="Y135" s="294"/>
      <c r="Z135" s="294"/>
      <c r="AA135" s="139"/>
    </row>
    <row r="136" spans="20:27" ht="18" customHeight="1" x14ac:dyDescent="0.25">
      <c r="T136" s="139"/>
      <c r="U136" s="139"/>
      <c r="V136" s="139"/>
      <c r="W136" s="139"/>
      <c r="X136" s="294"/>
      <c r="Y136" s="294"/>
      <c r="Z136" s="294"/>
      <c r="AA136" s="139"/>
    </row>
    <row r="137" spans="20:27" ht="18" customHeight="1" x14ac:dyDescent="0.25">
      <c r="T137" s="139"/>
      <c r="U137" s="139"/>
      <c r="V137" s="139"/>
      <c r="W137" s="139"/>
      <c r="X137" s="294"/>
      <c r="Y137" s="294"/>
      <c r="Z137" s="294"/>
      <c r="AA137" s="139"/>
    </row>
    <row r="138" spans="20:27" ht="18" customHeight="1" x14ac:dyDescent="0.25">
      <c r="T138" s="139"/>
      <c r="U138" s="139"/>
      <c r="V138" s="139"/>
      <c r="W138" s="139"/>
      <c r="X138" s="294"/>
      <c r="Y138" s="294"/>
      <c r="Z138" s="294"/>
      <c r="AA138" s="139"/>
    </row>
    <row r="139" spans="20:27" ht="18" customHeight="1" x14ac:dyDescent="0.25">
      <c r="T139" s="139"/>
      <c r="U139" s="139"/>
      <c r="V139" s="139"/>
      <c r="W139" s="139"/>
      <c r="X139" s="294"/>
      <c r="Y139" s="294"/>
      <c r="Z139" s="294"/>
      <c r="AA139" s="139"/>
    </row>
    <row r="140" spans="20:27" ht="18" customHeight="1" x14ac:dyDescent="0.25">
      <c r="T140" s="139"/>
      <c r="U140" s="139"/>
      <c r="V140" s="139"/>
      <c r="W140" s="139"/>
      <c r="X140" s="294"/>
      <c r="Y140" s="294"/>
      <c r="Z140" s="294"/>
      <c r="AA140" s="139"/>
    </row>
    <row r="141" spans="20:27" ht="18" customHeight="1" x14ac:dyDescent="0.25">
      <c r="T141" s="139"/>
      <c r="U141" s="139"/>
      <c r="V141" s="139"/>
      <c r="W141" s="139"/>
      <c r="X141" s="294"/>
      <c r="Y141" s="294"/>
      <c r="Z141" s="294"/>
      <c r="AA141" s="139"/>
    </row>
    <row r="142" spans="20:27" ht="18" customHeight="1" x14ac:dyDescent="0.25">
      <c r="T142" s="139"/>
      <c r="U142" s="139"/>
      <c r="V142" s="139"/>
      <c r="W142" s="139"/>
      <c r="X142" s="294"/>
      <c r="Y142" s="294"/>
      <c r="Z142" s="294"/>
      <c r="AA142" s="139"/>
    </row>
    <row r="143" spans="20:27" ht="18" customHeight="1" x14ac:dyDescent="0.25">
      <c r="T143" s="139"/>
      <c r="U143" s="139"/>
      <c r="V143" s="139"/>
      <c r="W143" s="139"/>
      <c r="X143" s="294"/>
      <c r="Y143" s="294"/>
      <c r="Z143" s="294"/>
      <c r="AA143" s="139"/>
    </row>
    <row r="144" spans="20:27" ht="18" customHeight="1" x14ac:dyDescent="0.25">
      <c r="T144" s="139"/>
      <c r="U144" s="139"/>
      <c r="V144" s="139"/>
      <c r="W144" s="139"/>
      <c r="X144" s="294"/>
      <c r="Y144" s="294"/>
      <c r="Z144" s="294"/>
      <c r="AA144" s="139"/>
    </row>
    <row r="145" spans="20:27" ht="18" customHeight="1" x14ac:dyDescent="0.25">
      <c r="T145" s="139"/>
      <c r="U145" s="139"/>
      <c r="V145" s="139"/>
      <c r="W145" s="139"/>
      <c r="X145" s="294"/>
      <c r="Y145" s="294"/>
      <c r="Z145" s="294"/>
      <c r="AA145" s="139"/>
    </row>
    <row r="146" spans="20:27" ht="18" customHeight="1" x14ac:dyDescent="0.25">
      <c r="T146" s="139"/>
      <c r="U146" s="139"/>
      <c r="V146" s="139"/>
      <c r="W146" s="139"/>
      <c r="X146" s="294"/>
      <c r="Y146" s="294"/>
      <c r="Z146" s="294"/>
      <c r="AA146" s="139"/>
    </row>
    <row r="147" spans="20:27" ht="18" customHeight="1" x14ac:dyDescent="0.25">
      <c r="T147" s="139"/>
      <c r="U147" s="139"/>
      <c r="V147" s="139"/>
      <c r="W147" s="139"/>
      <c r="X147" s="294"/>
      <c r="Y147" s="294"/>
      <c r="Z147" s="294"/>
      <c r="AA147" s="139"/>
    </row>
    <row r="148" spans="20:27" ht="18" customHeight="1" x14ac:dyDescent="0.25">
      <c r="T148" s="139"/>
      <c r="U148" s="139"/>
      <c r="V148" s="139"/>
      <c r="W148" s="139"/>
      <c r="X148" s="294"/>
      <c r="Y148" s="294"/>
      <c r="Z148" s="294"/>
      <c r="AA148" s="139"/>
    </row>
    <row r="149" spans="20:27" ht="18" customHeight="1" x14ac:dyDescent="0.25">
      <c r="T149" s="139"/>
      <c r="U149" s="139"/>
      <c r="V149" s="139"/>
      <c r="W149" s="139"/>
      <c r="X149" s="294"/>
      <c r="Y149" s="294"/>
      <c r="Z149" s="294"/>
      <c r="AA149" s="139"/>
    </row>
    <row r="150" spans="20:27" ht="18" customHeight="1" x14ac:dyDescent="0.25">
      <c r="T150" s="139"/>
      <c r="U150" s="139"/>
      <c r="V150" s="139"/>
      <c r="W150" s="139"/>
      <c r="X150" s="294"/>
      <c r="Y150" s="294"/>
      <c r="Z150" s="294"/>
      <c r="AA150" s="139"/>
    </row>
    <row r="151" spans="20:27" ht="18" customHeight="1" x14ac:dyDescent="0.25">
      <c r="T151" s="139"/>
      <c r="U151" s="139"/>
      <c r="V151" s="139"/>
      <c r="W151" s="139"/>
      <c r="X151" s="294"/>
      <c r="Y151" s="294"/>
      <c r="Z151" s="294"/>
      <c r="AA151" s="139"/>
    </row>
    <row r="152" spans="20:27" ht="18" customHeight="1" x14ac:dyDescent="0.25">
      <c r="T152" s="139"/>
      <c r="U152" s="139"/>
      <c r="V152" s="139"/>
      <c r="W152" s="139"/>
      <c r="X152" s="294"/>
      <c r="Y152" s="294"/>
      <c r="Z152" s="294"/>
      <c r="AA152" s="139"/>
    </row>
    <row r="153" spans="20:27" ht="18" customHeight="1" x14ac:dyDescent="0.25">
      <c r="T153" s="139"/>
      <c r="U153" s="139"/>
      <c r="V153" s="139"/>
      <c r="W153" s="139"/>
      <c r="X153" s="294"/>
      <c r="Y153" s="294"/>
      <c r="Z153" s="294"/>
      <c r="AA153" s="139"/>
    </row>
    <row r="154" spans="20:27" ht="18" customHeight="1" x14ac:dyDescent="0.25">
      <c r="T154" s="139"/>
      <c r="U154" s="139"/>
      <c r="V154" s="139"/>
      <c r="W154" s="139"/>
      <c r="X154" s="294"/>
      <c r="Y154" s="294"/>
      <c r="Z154" s="294"/>
      <c r="AA154" s="139"/>
    </row>
    <row r="155" spans="20:27" ht="18" customHeight="1" x14ac:dyDescent="0.25">
      <c r="T155" s="139"/>
      <c r="U155" s="139"/>
      <c r="V155" s="139"/>
      <c r="W155" s="139"/>
      <c r="X155" s="294"/>
      <c r="Y155" s="294"/>
      <c r="Z155" s="294"/>
      <c r="AA155" s="139"/>
    </row>
    <row r="156" spans="20:27" ht="18" customHeight="1" x14ac:dyDescent="0.25">
      <c r="T156" s="139"/>
      <c r="U156" s="139"/>
      <c r="V156" s="139"/>
      <c r="W156" s="139"/>
      <c r="X156" s="294"/>
      <c r="Y156" s="294"/>
      <c r="Z156" s="294"/>
      <c r="AA156" s="139"/>
    </row>
    <row r="157" spans="20:27" ht="18" customHeight="1" x14ac:dyDescent="0.25">
      <c r="T157" s="139"/>
      <c r="U157" s="139"/>
      <c r="V157" s="139"/>
      <c r="W157" s="139"/>
      <c r="X157" s="294"/>
      <c r="Y157" s="294"/>
      <c r="Z157" s="294"/>
      <c r="AA157" s="139"/>
    </row>
    <row r="158" spans="20:27" ht="18" customHeight="1" x14ac:dyDescent="0.25">
      <c r="T158" s="139"/>
      <c r="U158" s="139"/>
      <c r="V158" s="139"/>
      <c r="W158" s="139"/>
      <c r="X158" s="294"/>
      <c r="Y158" s="294"/>
      <c r="Z158" s="294"/>
      <c r="AA158" s="139"/>
    </row>
    <row r="159" spans="20:27" ht="18" customHeight="1" x14ac:dyDescent="0.25">
      <c r="T159" s="139"/>
      <c r="U159" s="139"/>
      <c r="V159" s="139"/>
      <c r="W159" s="139"/>
      <c r="X159" s="294"/>
      <c r="Y159" s="294"/>
      <c r="Z159" s="294"/>
      <c r="AA159" s="139"/>
    </row>
    <row r="160" spans="20:27" ht="18" customHeight="1" x14ac:dyDescent="0.25">
      <c r="T160" s="139"/>
      <c r="U160" s="139"/>
      <c r="V160" s="139"/>
      <c r="W160" s="139"/>
      <c r="X160" s="294"/>
      <c r="Y160" s="294"/>
      <c r="Z160" s="294"/>
      <c r="AA160" s="139"/>
    </row>
    <row r="161" spans="20:27" ht="18" customHeight="1" x14ac:dyDescent="0.25">
      <c r="T161" s="139"/>
      <c r="U161" s="139"/>
      <c r="V161" s="139"/>
      <c r="W161" s="139"/>
      <c r="X161" s="294"/>
      <c r="Y161" s="294"/>
      <c r="Z161" s="294"/>
      <c r="AA161" s="139"/>
    </row>
    <row r="162" spans="20:27" ht="18" customHeight="1" x14ac:dyDescent="0.25">
      <c r="T162" s="139"/>
      <c r="U162" s="139"/>
      <c r="V162" s="139"/>
      <c r="W162" s="139"/>
      <c r="X162" s="294"/>
      <c r="Y162" s="294"/>
      <c r="Z162" s="294"/>
      <c r="AA162" s="139"/>
    </row>
    <row r="163" spans="20:27" ht="18" customHeight="1" x14ac:dyDescent="0.25">
      <c r="T163" s="139"/>
      <c r="U163" s="139"/>
      <c r="V163" s="139"/>
      <c r="W163" s="139"/>
      <c r="X163" s="294"/>
      <c r="Y163" s="294"/>
      <c r="Z163" s="294"/>
      <c r="AA163" s="139"/>
    </row>
    <row r="164" spans="20:27" ht="18" customHeight="1" x14ac:dyDescent="0.25">
      <c r="T164" s="139"/>
      <c r="U164" s="139"/>
      <c r="V164" s="139"/>
      <c r="W164" s="139"/>
      <c r="X164" s="294"/>
      <c r="Y164" s="294"/>
      <c r="Z164" s="294"/>
      <c r="AA164" s="139"/>
    </row>
    <row r="165" spans="20:27" ht="18" customHeight="1" x14ac:dyDescent="0.25">
      <c r="T165" s="139"/>
      <c r="U165" s="139"/>
      <c r="V165" s="139"/>
      <c r="W165" s="139"/>
      <c r="X165" s="294"/>
      <c r="Y165" s="294"/>
      <c r="Z165" s="294"/>
      <c r="AA165" s="139"/>
    </row>
    <row r="166" spans="20:27" ht="18" customHeight="1" x14ac:dyDescent="0.25">
      <c r="T166" s="139"/>
      <c r="U166" s="139"/>
      <c r="V166" s="139"/>
      <c r="W166" s="139"/>
      <c r="X166" s="294"/>
      <c r="Y166" s="294"/>
      <c r="Z166" s="294"/>
      <c r="AA166" s="139"/>
    </row>
    <row r="167" spans="20:27" ht="18" customHeight="1" x14ac:dyDescent="0.25">
      <c r="T167" s="139"/>
      <c r="U167" s="139"/>
      <c r="V167" s="139"/>
      <c r="W167" s="139"/>
      <c r="X167" s="294"/>
      <c r="Y167" s="294"/>
      <c r="Z167" s="294"/>
      <c r="AA167" s="139"/>
    </row>
    <row r="168" spans="20:27" ht="18" customHeight="1" x14ac:dyDescent="0.25">
      <c r="T168" s="139"/>
      <c r="U168" s="139"/>
      <c r="V168" s="139"/>
      <c r="W168" s="139"/>
      <c r="X168" s="294"/>
      <c r="Y168" s="294"/>
      <c r="Z168" s="294"/>
      <c r="AA168" s="139"/>
    </row>
    <row r="169" spans="20:27" ht="18" customHeight="1" x14ac:dyDescent="0.25">
      <c r="T169" s="139"/>
      <c r="U169" s="139"/>
      <c r="V169" s="139"/>
      <c r="W169" s="139"/>
      <c r="X169" s="294"/>
      <c r="Y169" s="294"/>
      <c r="Z169" s="294"/>
      <c r="AA169" s="139"/>
    </row>
    <row r="170" spans="20:27" ht="18" customHeight="1" x14ac:dyDescent="0.25">
      <c r="T170" s="139"/>
      <c r="U170" s="139"/>
      <c r="V170" s="139"/>
      <c r="W170" s="139"/>
      <c r="X170" s="294"/>
      <c r="Y170" s="294"/>
      <c r="Z170" s="294"/>
      <c r="AA170" s="139"/>
    </row>
    <row r="171" spans="20:27" ht="18" customHeight="1" x14ac:dyDescent="0.25">
      <c r="T171" s="139"/>
      <c r="U171" s="139"/>
      <c r="V171" s="139"/>
      <c r="W171" s="139"/>
      <c r="X171" s="294"/>
      <c r="Y171" s="294"/>
      <c r="Z171" s="294"/>
      <c r="AA171" s="139"/>
    </row>
    <row r="172" spans="20:27" ht="18" customHeight="1" x14ac:dyDescent="0.25">
      <c r="T172" s="139"/>
      <c r="U172" s="139"/>
      <c r="V172" s="139"/>
      <c r="W172" s="139"/>
      <c r="X172" s="294"/>
      <c r="Y172" s="294"/>
      <c r="Z172" s="294"/>
      <c r="AA172" s="139"/>
    </row>
    <row r="173" spans="20:27" ht="18" customHeight="1" x14ac:dyDescent="0.25">
      <c r="T173" s="139"/>
      <c r="U173" s="139"/>
      <c r="V173" s="139"/>
      <c r="W173" s="139"/>
      <c r="X173" s="294"/>
      <c r="Y173" s="294"/>
      <c r="Z173" s="294"/>
      <c r="AA173" s="139"/>
    </row>
    <row r="174" spans="20:27" ht="18" customHeight="1" x14ac:dyDescent="0.25">
      <c r="T174" s="139"/>
      <c r="U174" s="139"/>
      <c r="V174" s="139"/>
      <c r="W174" s="139"/>
      <c r="X174" s="294"/>
      <c r="Y174" s="294"/>
      <c r="Z174" s="294"/>
      <c r="AA174" s="139"/>
    </row>
    <row r="175" spans="20:27" ht="18" customHeight="1" x14ac:dyDescent="0.25">
      <c r="T175" s="139"/>
      <c r="U175" s="139"/>
      <c r="V175" s="139"/>
      <c r="W175" s="139"/>
      <c r="X175" s="294"/>
      <c r="Y175" s="294"/>
      <c r="Z175" s="294"/>
      <c r="AA175" s="139"/>
    </row>
    <row r="176" spans="20:27" ht="18" customHeight="1" x14ac:dyDescent="0.25">
      <c r="T176" s="139"/>
      <c r="U176" s="139"/>
      <c r="V176" s="139"/>
      <c r="W176" s="139"/>
      <c r="X176" s="294"/>
      <c r="Y176" s="294"/>
      <c r="Z176" s="294"/>
      <c r="AA176" s="139"/>
    </row>
    <row r="177" spans="20:27" ht="18" customHeight="1" x14ac:dyDescent="0.25">
      <c r="T177" s="139"/>
      <c r="U177" s="139"/>
      <c r="V177" s="139"/>
      <c r="W177" s="139"/>
      <c r="X177" s="294"/>
      <c r="Y177" s="294"/>
      <c r="Z177" s="294"/>
      <c r="AA177" s="139"/>
    </row>
    <row r="178" spans="20:27" ht="18" customHeight="1" x14ac:dyDescent="0.25">
      <c r="T178" s="139"/>
      <c r="U178" s="139"/>
      <c r="V178" s="139"/>
      <c r="W178" s="139"/>
      <c r="X178" s="294"/>
      <c r="Y178" s="294"/>
      <c r="Z178" s="294"/>
      <c r="AA178" s="139"/>
    </row>
    <row r="179" spans="20:27" ht="18" customHeight="1" x14ac:dyDescent="0.25">
      <c r="T179" s="139"/>
      <c r="U179" s="139"/>
      <c r="V179" s="139"/>
      <c r="W179" s="139"/>
      <c r="X179" s="294"/>
      <c r="Y179" s="294"/>
      <c r="Z179" s="294"/>
      <c r="AA179" s="139"/>
    </row>
    <row r="180" spans="20:27" ht="18" customHeight="1" x14ac:dyDescent="0.25">
      <c r="T180" s="139"/>
      <c r="U180" s="139"/>
      <c r="V180" s="139"/>
      <c r="W180" s="139"/>
      <c r="X180" s="294"/>
      <c r="Y180" s="294"/>
      <c r="Z180" s="294"/>
      <c r="AA180" s="139"/>
    </row>
    <row r="181" spans="20:27" ht="18" customHeight="1" x14ac:dyDescent="0.25">
      <c r="T181" s="139"/>
      <c r="U181" s="139"/>
      <c r="V181" s="139"/>
      <c r="W181" s="139"/>
      <c r="X181" s="294"/>
      <c r="Y181" s="294"/>
      <c r="Z181" s="294"/>
      <c r="AA181" s="139"/>
    </row>
    <row r="182" spans="20:27" ht="18" customHeight="1" x14ac:dyDescent="0.25">
      <c r="T182" s="139"/>
      <c r="U182" s="139"/>
      <c r="V182" s="139"/>
      <c r="W182" s="139"/>
      <c r="X182" s="294"/>
      <c r="Y182" s="294"/>
      <c r="Z182" s="294"/>
      <c r="AA182" s="139"/>
    </row>
    <row r="183" spans="20:27" ht="18" customHeight="1" x14ac:dyDescent="0.25">
      <c r="T183" s="139"/>
      <c r="U183" s="139"/>
      <c r="V183" s="139"/>
      <c r="W183" s="139"/>
      <c r="X183" s="294"/>
      <c r="Y183" s="294"/>
      <c r="Z183" s="294"/>
      <c r="AA183" s="139"/>
    </row>
    <row r="184" spans="20:27" ht="18" customHeight="1" x14ac:dyDescent="0.25">
      <c r="T184" s="139"/>
      <c r="U184" s="139"/>
      <c r="V184" s="139"/>
      <c r="W184" s="139"/>
      <c r="X184" s="294"/>
      <c r="Y184" s="294"/>
      <c r="Z184" s="294"/>
      <c r="AA184" s="139"/>
    </row>
    <row r="185" spans="20:27" ht="18" customHeight="1" x14ac:dyDescent="0.25">
      <c r="T185" s="139"/>
      <c r="U185" s="139"/>
      <c r="V185" s="139"/>
      <c r="W185" s="139"/>
      <c r="X185" s="294"/>
      <c r="Y185" s="294"/>
      <c r="Z185" s="294"/>
      <c r="AA185" s="139"/>
    </row>
    <row r="186" spans="20:27" ht="18" customHeight="1" x14ac:dyDescent="0.25">
      <c r="T186" s="139"/>
      <c r="U186" s="139"/>
      <c r="V186" s="139"/>
      <c r="W186" s="139"/>
      <c r="X186" s="294"/>
      <c r="Y186" s="294"/>
      <c r="Z186" s="294"/>
      <c r="AA186" s="139"/>
    </row>
    <row r="187" spans="20:27" ht="18" customHeight="1" x14ac:dyDescent="0.25">
      <c r="T187" s="139"/>
      <c r="U187" s="139"/>
      <c r="V187" s="139"/>
      <c r="W187" s="139"/>
      <c r="X187" s="294"/>
      <c r="Y187" s="294"/>
      <c r="Z187" s="294"/>
      <c r="AA187" s="139"/>
    </row>
    <row r="188" spans="20:27" ht="18" customHeight="1" x14ac:dyDescent="0.25">
      <c r="T188" s="139"/>
      <c r="U188" s="139"/>
      <c r="V188" s="139"/>
      <c r="W188" s="139"/>
      <c r="X188" s="294"/>
      <c r="Y188" s="294"/>
      <c r="Z188" s="294"/>
      <c r="AA188" s="139"/>
    </row>
    <row r="189" spans="20:27" ht="18" customHeight="1" x14ac:dyDescent="0.25">
      <c r="T189" s="139"/>
      <c r="U189" s="139"/>
      <c r="V189" s="139"/>
      <c r="W189" s="139"/>
      <c r="X189" s="294"/>
      <c r="Y189" s="294"/>
      <c r="Z189" s="294"/>
      <c r="AA189" s="139"/>
    </row>
    <row r="190" spans="20:27" ht="18" customHeight="1" x14ac:dyDescent="0.25">
      <c r="T190" s="139"/>
      <c r="U190" s="139"/>
      <c r="V190" s="139"/>
      <c r="W190" s="139"/>
      <c r="X190" s="294"/>
      <c r="Y190" s="294"/>
      <c r="Z190" s="294"/>
      <c r="AA190" s="139"/>
    </row>
    <row r="191" spans="20:27" ht="18" customHeight="1" x14ac:dyDescent="0.25">
      <c r="T191" s="139"/>
      <c r="U191" s="139"/>
      <c r="V191" s="139"/>
      <c r="W191" s="139"/>
      <c r="X191" s="294"/>
      <c r="Y191" s="294"/>
      <c r="Z191" s="294"/>
      <c r="AA191" s="139"/>
    </row>
    <row r="192" spans="20:27" ht="18" customHeight="1" x14ac:dyDescent="0.25">
      <c r="T192" s="139"/>
      <c r="U192" s="139"/>
      <c r="V192" s="139"/>
      <c r="W192" s="139"/>
      <c r="X192" s="294"/>
      <c r="Y192" s="294"/>
      <c r="Z192" s="294"/>
      <c r="AA192" s="139"/>
    </row>
    <row r="193" spans="20:27" ht="18" customHeight="1" x14ac:dyDescent="0.25">
      <c r="T193" s="139"/>
      <c r="U193" s="139"/>
      <c r="V193" s="139"/>
      <c r="W193" s="139"/>
      <c r="X193" s="294"/>
      <c r="Y193" s="294"/>
      <c r="Z193" s="294"/>
      <c r="AA193" s="139"/>
    </row>
    <row r="194" spans="20:27" ht="18" customHeight="1" x14ac:dyDescent="0.25">
      <c r="T194" s="139"/>
      <c r="U194" s="139"/>
      <c r="V194" s="139"/>
      <c r="W194" s="139"/>
      <c r="X194" s="294"/>
      <c r="Y194" s="294"/>
      <c r="Z194" s="294"/>
      <c r="AA194" s="139"/>
    </row>
    <row r="195" spans="20:27" ht="18" customHeight="1" x14ac:dyDescent="0.25">
      <c r="T195" s="139"/>
      <c r="U195" s="139"/>
      <c r="V195" s="139"/>
      <c r="W195" s="139"/>
      <c r="X195" s="294"/>
      <c r="Y195" s="294"/>
      <c r="Z195" s="294"/>
      <c r="AA195" s="139"/>
    </row>
    <row r="196" spans="20:27" ht="18" customHeight="1" x14ac:dyDescent="0.25">
      <c r="T196" s="139"/>
      <c r="U196" s="139"/>
      <c r="V196" s="139"/>
      <c r="W196" s="139"/>
      <c r="X196" s="294"/>
      <c r="Y196" s="294"/>
      <c r="Z196" s="294"/>
      <c r="AA196" s="139"/>
    </row>
    <row r="197" spans="20:27" ht="18" customHeight="1" x14ac:dyDescent="0.25">
      <c r="T197" s="139"/>
      <c r="U197" s="139"/>
      <c r="V197" s="139"/>
      <c r="W197" s="139"/>
      <c r="X197" s="294"/>
      <c r="Y197" s="294"/>
      <c r="Z197" s="294"/>
      <c r="AA197" s="139"/>
    </row>
    <row r="198" spans="20:27" ht="18" customHeight="1" x14ac:dyDescent="0.25">
      <c r="T198" s="139"/>
      <c r="U198" s="139"/>
      <c r="V198" s="139"/>
      <c r="W198" s="139"/>
      <c r="X198" s="294"/>
      <c r="Y198" s="294"/>
      <c r="Z198" s="294"/>
      <c r="AA198" s="139"/>
    </row>
    <row r="199" spans="20:27" ht="18" customHeight="1" x14ac:dyDescent="0.25">
      <c r="T199" s="139"/>
      <c r="U199" s="139"/>
      <c r="V199" s="139"/>
      <c r="W199" s="139"/>
      <c r="X199" s="294"/>
      <c r="Y199" s="294"/>
      <c r="Z199" s="294"/>
      <c r="AA199" s="139"/>
    </row>
    <row r="200" spans="20:27" ht="18" customHeight="1" x14ac:dyDescent="0.25">
      <c r="T200" s="139"/>
      <c r="U200" s="139"/>
      <c r="V200" s="139"/>
      <c r="W200" s="139"/>
      <c r="X200" s="294"/>
      <c r="Y200" s="294"/>
      <c r="Z200" s="294"/>
      <c r="AA200" s="139"/>
    </row>
  </sheetData>
  <autoFilter ref="A1:Z1" xr:uid="{00000000-0001-0000-0500-000000000000}"/>
  <mergeCells count="19">
    <mergeCell ref="U2:AA2"/>
    <mergeCell ref="U3:AA3"/>
    <mergeCell ref="U5:W5"/>
    <mergeCell ref="U6:W6"/>
    <mergeCell ref="X5:Z5"/>
    <mergeCell ref="X6:Z6"/>
    <mergeCell ref="U8:W8"/>
    <mergeCell ref="U9:W9"/>
    <mergeCell ref="X8:Z8"/>
    <mergeCell ref="X9:Z9"/>
    <mergeCell ref="U11:W11"/>
    <mergeCell ref="V20:X20"/>
    <mergeCell ref="Y20:AA20"/>
    <mergeCell ref="U12:W12"/>
    <mergeCell ref="X11:Z11"/>
    <mergeCell ref="X12:Z12"/>
    <mergeCell ref="U18:AA18"/>
    <mergeCell ref="V19:X19"/>
    <mergeCell ref="Y19:AA19"/>
  </mergeCells>
  <conditionalFormatting sqref="P2:P31">
    <cfRule type="expression" dxfId="182" priority="1">
      <formula>P2="CRÍTICO"</formula>
    </cfRule>
    <cfRule type="expression" dxfId="181" priority="2">
      <formula>P2="ATENÇÃO"</formula>
    </cfRule>
    <cfRule type="expression" dxfId="180" priority="3">
      <formula>P2="CONFORME"</formula>
    </cfRule>
  </conditionalFormatting>
  <conditionalFormatting sqref="Q2:Q31">
    <cfRule type="expression" dxfId="179" priority="4">
      <formula>Q2="CRÍTICO"</formula>
    </cfRule>
    <cfRule type="expression" dxfId="178" priority="5">
      <formula>Q2="ATENÇÃO"</formula>
    </cfRule>
    <cfRule type="expression" dxfId="177" priority="6">
      <formula>Q2="CONFORME"</formula>
    </cfRule>
  </conditionalFormatting>
  <pageMargins left="0.7" right="0.7" top="0.75" bottom="0.75" header="0.3" footer="0.3"/>
  <ignoredErrors>
    <ignoredError sqref="G6 G17 G20 G2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7D578-EB76-4C30-9E05-F02C945969EE}">
  <dimension ref="A1:O65"/>
  <sheetViews>
    <sheetView topLeftCell="A52" workbookViewId="0">
      <selection activeCell="D62" sqref="D62"/>
    </sheetView>
  </sheetViews>
  <sheetFormatPr defaultRowHeight="15" x14ac:dyDescent="0.25"/>
  <cols>
    <col min="1" max="1" width="11" customWidth="1"/>
    <col min="2" max="2" width="30" customWidth="1"/>
    <col min="3" max="3" width="15" customWidth="1"/>
    <col min="4" max="4" width="16" customWidth="1"/>
    <col min="5" max="5" width="15" customWidth="1"/>
    <col min="6" max="6" width="18" customWidth="1"/>
    <col min="7" max="8" width="13" customWidth="1"/>
    <col min="9" max="9" width="16" customWidth="1"/>
    <col min="10" max="10" width="22" customWidth="1"/>
    <col min="11" max="11" width="12" customWidth="1"/>
    <col min="12" max="13" width="14" customWidth="1"/>
    <col min="14" max="15" width="12" customWidth="1"/>
  </cols>
  <sheetData>
    <row r="1" spans="1:15" ht="18.75" x14ac:dyDescent="0.25">
      <c r="A1" s="410" t="s">
        <v>2103</v>
      </c>
      <c r="B1" s="410"/>
      <c r="C1" s="410"/>
      <c r="D1" s="410"/>
      <c r="E1" s="410"/>
      <c r="F1" s="410"/>
      <c r="G1" s="410"/>
      <c r="H1" s="410"/>
      <c r="I1" s="410"/>
      <c r="J1" s="410"/>
      <c r="K1" s="146"/>
      <c r="L1" s="146"/>
      <c r="M1" s="146"/>
      <c r="N1" s="146"/>
      <c r="O1" s="146"/>
    </row>
    <row r="2" spans="1:15" x14ac:dyDescent="0.25">
      <c r="A2" s="411" t="s">
        <v>2104</v>
      </c>
      <c r="B2" s="411"/>
      <c r="C2" s="411"/>
      <c r="D2" s="411"/>
      <c r="E2" s="411"/>
      <c r="F2" s="411"/>
      <c r="G2" s="411"/>
      <c r="H2" s="411"/>
      <c r="I2" s="411"/>
      <c r="J2" s="411"/>
      <c r="K2" s="146"/>
      <c r="L2" s="146"/>
      <c r="M2" s="146"/>
      <c r="N2" s="146"/>
      <c r="O2" s="146"/>
    </row>
    <row r="3" spans="1:15" x14ac:dyDescent="0.25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</row>
    <row r="4" spans="1:15" ht="30" x14ac:dyDescent="0.25">
      <c r="A4" s="328" t="s">
        <v>2105</v>
      </c>
      <c r="B4" s="328" t="s">
        <v>2106</v>
      </c>
      <c r="C4" s="146"/>
      <c r="D4" s="328"/>
      <c r="E4" s="328"/>
      <c r="F4" s="328"/>
      <c r="G4" s="328"/>
      <c r="H4" s="328"/>
      <c r="I4" s="328"/>
      <c r="J4" s="328"/>
      <c r="K4" s="146"/>
      <c r="L4" s="146"/>
      <c r="M4" s="146"/>
      <c r="N4" s="146"/>
      <c r="O4" s="146"/>
    </row>
    <row r="5" spans="1:15" ht="60" x14ac:dyDescent="0.25">
      <c r="A5" s="329" t="s">
        <v>2107</v>
      </c>
      <c r="B5" s="330">
        <v>117</v>
      </c>
      <c r="C5" s="146"/>
      <c r="D5" s="329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</row>
    <row r="6" spans="1:15" ht="75" x14ac:dyDescent="0.25">
      <c r="A6" s="329" t="s">
        <v>2108</v>
      </c>
      <c r="B6" s="330">
        <v>159</v>
      </c>
      <c r="C6" s="146"/>
      <c r="D6" s="329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</row>
    <row r="7" spans="1:15" x14ac:dyDescent="0.25">
      <c r="A7" s="329" t="s">
        <v>436</v>
      </c>
      <c r="B7" s="146">
        <f>SUM(B5:B6)</f>
        <v>276</v>
      </c>
      <c r="C7" s="146"/>
      <c r="D7" s="329"/>
      <c r="E7" s="331"/>
      <c r="F7" s="331"/>
      <c r="G7" s="331"/>
      <c r="H7" s="146"/>
      <c r="I7" s="146"/>
      <c r="J7" s="146"/>
      <c r="K7" s="146"/>
      <c r="L7" s="146"/>
      <c r="M7" s="146"/>
      <c r="N7" s="146"/>
      <c r="O7" s="146"/>
    </row>
    <row r="8" spans="1:15" x14ac:dyDescent="0.25">
      <c r="A8" s="146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</row>
    <row r="9" spans="1:15" x14ac:dyDescent="0.25">
      <c r="A9" s="146"/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</row>
    <row r="10" spans="1:15" ht="30" x14ac:dyDescent="0.25">
      <c r="A10" s="328" t="s">
        <v>102</v>
      </c>
      <c r="B10" s="328" t="s">
        <v>1400</v>
      </c>
      <c r="C10" s="328" t="s">
        <v>2109</v>
      </c>
      <c r="D10" s="328" t="s">
        <v>2110</v>
      </c>
      <c r="E10" s="328" t="s">
        <v>2111</v>
      </c>
      <c r="F10" s="328" t="s">
        <v>2112</v>
      </c>
      <c r="G10" s="328" t="s">
        <v>2113</v>
      </c>
      <c r="H10" s="328" t="s">
        <v>2114</v>
      </c>
      <c r="I10" s="146"/>
      <c r="J10" s="146"/>
      <c r="K10" s="146"/>
      <c r="L10" s="146"/>
      <c r="M10" s="146"/>
      <c r="N10" s="146"/>
      <c r="O10" s="146"/>
    </row>
    <row r="11" spans="1:15" x14ac:dyDescent="0.25">
      <c r="A11" s="328" t="s">
        <v>384</v>
      </c>
      <c r="B11" s="328" t="s">
        <v>383</v>
      </c>
      <c r="C11" s="328">
        <f>SUM('[2]CONSUMO FISICO'!C3,'[2]CONSUMO FISICO'!E3,'[2]CONSUMO FISICO'!G3,'[2]CONSUMO FISICO'!I3,'[2]CONSUMO FISICO'!K3,'[2]CONSUMO FISICO'!M3,'[2]CONSUMO FISICO'!O3,'[2]CONSUMO FISICO'!Q3)</f>
        <v>0</v>
      </c>
      <c r="D11" s="332">
        <f t="shared" ref="D11:D38" si="0">IFERROR(C11/G11,0)</f>
        <v>0</v>
      </c>
      <c r="E11" s="332">
        <f>SUM('[2]CONSUMO FISICO'!D3,'[2]CONSUMO FISICO'!F3,'[2]CONSUMO FISICO'!H3,'[2]CONSUMO FISICO'!J3,'[2]CONSUMO FISICO'!L3,'[2]CONSUMO FISICO'!N3,'[2]CONSUMO FISICO'!P3,'[2]CONSUMO FISICO'!R3)</f>
        <v>0</v>
      </c>
      <c r="F11" s="332">
        <f t="shared" ref="F11:F38" si="1">IFERROR(E11/G11,0)</f>
        <v>0</v>
      </c>
      <c r="G11" s="328">
        <f t="shared" ref="G11:G38" si="2">C11+E11</f>
        <v>0</v>
      </c>
      <c r="H11" s="328">
        <f>IFERROR(SUMIF([2]Controle_Materiais!$A:$A,$A11,[2]Controle_Materiais!$O:$O),0)</f>
        <v>0</v>
      </c>
      <c r="I11" s="328"/>
      <c r="J11" s="328"/>
      <c r="K11" s="328"/>
      <c r="L11" s="328"/>
      <c r="M11" s="328"/>
      <c r="N11" s="328"/>
      <c r="O11" s="328"/>
    </row>
    <row r="12" spans="1:15" x14ac:dyDescent="0.25">
      <c r="A12" s="146" t="s">
        <v>387</v>
      </c>
      <c r="B12" s="146" t="s">
        <v>386</v>
      </c>
      <c r="C12" s="333">
        <f>SUM('[2]CONSUMO FISICO'!C4,'[2]CONSUMO FISICO'!E4,'[2]CONSUMO FISICO'!G4,'[2]CONSUMO FISICO'!I4,'[2]CONSUMO FISICO'!K4,'[2]CONSUMO FISICO'!M4,'[2]CONSUMO FISICO'!O4,'[2]CONSUMO FISICO'!Q4)</f>
        <v>0</v>
      </c>
      <c r="D12" s="331">
        <f t="shared" si="0"/>
        <v>0</v>
      </c>
      <c r="E12" s="334">
        <f>SUM('[2]CONSUMO FISICO'!D4,'[2]CONSUMO FISICO'!F4,'[2]CONSUMO FISICO'!H4,'[2]CONSUMO FISICO'!J4,'[2]CONSUMO FISICO'!L4,'[2]CONSUMO FISICO'!N4,'[2]CONSUMO FISICO'!P4,'[2]CONSUMO FISICO'!R4)</f>
        <v>0</v>
      </c>
      <c r="F12" s="331">
        <f t="shared" si="1"/>
        <v>0</v>
      </c>
      <c r="G12" s="333">
        <f t="shared" si="2"/>
        <v>0</v>
      </c>
      <c r="H12" s="333">
        <f>IFERROR(SUMIF(Controle_Materiais!$A:$A,$A12,Controle_Materiais!$O:$O),0)</f>
        <v>0</v>
      </c>
      <c r="I12" s="331"/>
      <c r="J12" s="331"/>
      <c r="K12" s="146"/>
      <c r="L12" s="146"/>
      <c r="M12" s="146"/>
      <c r="N12" s="335"/>
      <c r="O12" s="335"/>
    </row>
    <row r="13" spans="1:15" x14ac:dyDescent="0.25">
      <c r="A13" s="146" t="s">
        <v>389</v>
      </c>
      <c r="B13" s="146" t="s">
        <v>388</v>
      </c>
      <c r="C13" s="333">
        <f>SUM('[2]CONSUMO FISICO'!C5,'[2]CONSUMO FISICO'!E5,'[2]CONSUMO FISICO'!G5,'[2]CONSUMO FISICO'!I5,'[2]CONSUMO FISICO'!K5,'[2]CONSUMO FISICO'!M5,'[2]CONSUMO FISICO'!O5,'[2]CONSUMO FISICO'!Q5)</f>
        <v>0</v>
      </c>
      <c r="D13" s="331">
        <f t="shared" si="0"/>
        <v>0</v>
      </c>
      <c r="E13" s="334">
        <f>SUM('[2]CONSUMO FISICO'!D5,'[2]CONSUMO FISICO'!F5,'[2]CONSUMO FISICO'!H5,'[2]CONSUMO FISICO'!J5,'[2]CONSUMO FISICO'!L5,'[2]CONSUMO FISICO'!N5,'[2]CONSUMO FISICO'!P5,'[2]CONSUMO FISICO'!R5)</f>
        <v>0</v>
      </c>
      <c r="F13" s="331">
        <f t="shared" si="1"/>
        <v>0</v>
      </c>
      <c r="G13" s="333">
        <f t="shared" si="2"/>
        <v>0</v>
      </c>
      <c r="H13" s="333">
        <f>IFERROR(SUMIF(Controle_Materiais!$A:$A,$A13,Controle_Materiais!$O:$O),0)</f>
        <v>0</v>
      </c>
      <c r="I13" s="331"/>
      <c r="J13" s="331"/>
      <c r="K13" s="146"/>
      <c r="L13" s="146"/>
      <c r="M13" s="146"/>
      <c r="N13" s="335"/>
      <c r="O13" s="335"/>
    </row>
    <row r="14" spans="1:15" x14ac:dyDescent="0.25">
      <c r="A14" s="146" t="s">
        <v>391</v>
      </c>
      <c r="B14" s="146" t="s">
        <v>390</v>
      </c>
      <c r="C14" s="333">
        <f>SUM('[2]CONSUMO FISICO'!C6,'[2]CONSUMO FISICO'!E6,'[2]CONSUMO FISICO'!G6,'[2]CONSUMO FISICO'!I6,'[2]CONSUMO FISICO'!K6,'[2]CONSUMO FISICO'!M6,'[2]CONSUMO FISICO'!O6,'[2]CONSUMO FISICO'!Q6)</f>
        <v>0</v>
      </c>
      <c r="D14" s="331">
        <f t="shared" si="0"/>
        <v>0</v>
      </c>
      <c r="E14" s="334">
        <f>SUM('[2]CONSUMO FISICO'!D6,'[2]CONSUMO FISICO'!F6,'[2]CONSUMO FISICO'!H6,'[2]CONSUMO FISICO'!J6,'[2]CONSUMO FISICO'!L6,'[2]CONSUMO FISICO'!N6,'[2]CONSUMO FISICO'!P6,'[2]CONSUMO FISICO'!R6)</f>
        <v>0</v>
      </c>
      <c r="F14" s="331">
        <f t="shared" si="1"/>
        <v>0</v>
      </c>
      <c r="G14" s="333">
        <f t="shared" si="2"/>
        <v>0</v>
      </c>
      <c r="H14" s="333">
        <f>IFERROR(SUMIF(Controle_Materiais!$A:$A,$A14,Controle_Materiais!$O:$O),0)</f>
        <v>0</v>
      </c>
      <c r="I14" s="331"/>
      <c r="J14" s="331"/>
      <c r="K14" s="146"/>
      <c r="L14" s="146"/>
      <c r="M14" s="146"/>
      <c r="N14" s="335"/>
      <c r="O14" s="335"/>
    </row>
    <row r="15" spans="1:15" x14ac:dyDescent="0.25">
      <c r="A15" s="146" t="s">
        <v>397</v>
      </c>
      <c r="B15" s="146" t="s">
        <v>396</v>
      </c>
      <c r="C15" s="333">
        <f>SUM('[2]CONSUMO FISICO'!C7,'[2]CONSUMO FISICO'!E7,'[2]CONSUMO FISICO'!G7,'[2]CONSUMO FISICO'!I7,'[2]CONSUMO FISICO'!K7,'[2]CONSUMO FISICO'!M7,'[2]CONSUMO FISICO'!O7,'[2]CONSUMO FISICO'!Q7)</f>
        <v>500</v>
      </c>
      <c r="D15" s="331">
        <f t="shared" si="0"/>
        <v>0.73313782991202348</v>
      </c>
      <c r="E15" s="334">
        <f>SUM('[2]CONSUMO FISICO'!D7,'[2]CONSUMO FISICO'!F7,'[2]CONSUMO FISICO'!H7,'[2]CONSUMO FISICO'!J7,'[2]CONSUMO FISICO'!L7,'[2]CONSUMO FISICO'!N7,'[2]CONSUMO FISICO'!P7,'[2]CONSUMO FISICO'!R7)</f>
        <v>182</v>
      </c>
      <c r="F15" s="331">
        <f t="shared" si="1"/>
        <v>0.26686217008797652</v>
      </c>
      <c r="G15" s="333">
        <f t="shared" si="2"/>
        <v>682</v>
      </c>
      <c r="H15" s="333">
        <f>IFERROR(SUMIF(Controle_Materiais!$A:$A,$A15,Controle_Materiais!$O:$O),0)</f>
        <v>3091</v>
      </c>
      <c r="I15" s="331"/>
      <c r="J15" s="331"/>
      <c r="K15" s="146"/>
      <c r="L15" s="146"/>
      <c r="M15" s="146"/>
      <c r="N15" s="335"/>
      <c r="O15" s="335"/>
    </row>
    <row r="16" spans="1:15" x14ac:dyDescent="0.25">
      <c r="A16" s="146" t="s">
        <v>399</v>
      </c>
      <c r="B16" s="146" t="s">
        <v>398</v>
      </c>
      <c r="C16" s="333">
        <f>SUM('[2]CONSUMO FISICO'!C8,'[2]CONSUMO FISICO'!E8,'[2]CONSUMO FISICO'!G8,'[2]CONSUMO FISICO'!I8,'[2]CONSUMO FISICO'!K8,'[2]CONSUMO FISICO'!M8,'[2]CONSUMO FISICO'!O8,'[2]CONSUMO FISICO'!Q8)</f>
        <v>193</v>
      </c>
      <c r="D16" s="331">
        <f t="shared" si="0"/>
        <v>0.83549783549783552</v>
      </c>
      <c r="E16" s="334">
        <f>SUM('[2]CONSUMO FISICO'!D8,'[2]CONSUMO FISICO'!F8,'[2]CONSUMO FISICO'!H8,'[2]CONSUMO FISICO'!J8,'[2]CONSUMO FISICO'!L8,'[2]CONSUMO FISICO'!N8,'[2]CONSUMO FISICO'!P8,'[2]CONSUMO FISICO'!R8)</f>
        <v>38</v>
      </c>
      <c r="F16" s="331">
        <f t="shared" si="1"/>
        <v>0.16450216450216451</v>
      </c>
      <c r="G16" s="333">
        <f t="shared" si="2"/>
        <v>231</v>
      </c>
      <c r="H16" s="333">
        <f>IFERROR(SUMIF(Controle_Materiais!$A:$A,$A16,Controle_Materiais!$O:$O),0)</f>
        <v>152</v>
      </c>
      <c r="I16" s="331"/>
      <c r="J16" s="331"/>
      <c r="K16" s="146"/>
      <c r="L16" s="146"/>
      <c r="M16" s="146"/>
      <c r="N16" s="335"/>
      <c r="O16" s="335"/>
    </row>
    <row r="17" spans="1:15" x14ac:dyDescent="0.25">
      <c r="A17" s="146" t="s">
        <v>401</v>
      </c>
      <c r="B17" s="146" t="s">
        <v>400</v>
      </c>
      <c r="C17" s="333">
        <f>SUM('[2]CONSUMO FISICO'!C9,'[2]CONSUMO FISICO'!E9,'[2]CONSUMO FISICO'!G9,'[2]CONSUMO FISICO'!I9,'[2]CONSUMO FISICO'!K9,'[2]CONSUMO FISICO'!M9,'[2]CONSUMO FISICO'!O9,'[2]CONSUMO FISICO'!Q9)</f>
        <v>414</v>
      </c>
      <c r="D17" s="331">
        <f t="shared" si="0"/>
        <v>0.65714285714285714</v>
      </c>
      <c r="E17" s="334">
        <f>SUM('[2]CONSUMO FISICO'!D9,'[2]CONSUMO FISICO'!F9,'[2]CONSUMO FISICO'!H9,'[2]CONSUMO FISICO'!J9,'[2]CONSUMO FISICO'!L9,'[2]CONSUMO FISICO'!N9,'[2]CONSUMO FISICO'!P9,'[2]CONSUMO FISICO'!R9)</f>
        <v>216</v>
      </c>
      <c r="F17" s="331">
        <f t="shared" si="1"/>
        <v>0.34285714285714286</v>
      </c>
      <c r="G17" s="333">
        <f t="shared" si="2"/>
        <v>630</v>
      </c>
      <c r="H17" s="333">
        <f>IFERROR(SUMIF(Controle_Materiais!$A:$A,$A17,Controle_Materiais!$O:$O),0)</f>
        <v>336</v>
      </c>
      <c r="I17" s="331"/>
      <c r="J17" s="331"/>
      <c r="K17" s="146"/>
      <c r="L17" s="146"/>
      <c r="M17" s="146"/>
      <c r="N17" s="335"/>
      <c r="O17" s="335"/>
    </row>
    <row r="18" spans="1:15" x14ac:dyDescent="0.25">
      <c r="A18" s="146" t="s">
        <v>403</v>
      </c>
      <c r="B18" s="146" t="s">
        <v>402</v>
      </c>
      <c r="C18" s="333">
        <f>SUM('[2]CONSUMO FISICO'!C10,'[2]CONSUMO FISICO'!E10,'[2]CONSUMO FISICO'!G10,'[2]CONSUMO FISICO'!I10,'[2]CONSUMO FISICO'!K10,'[2]CONSUMO FISICO'!M10,'[2]CONSUMO FISICO'!O10,'[2]CONSUMO FISICO'!Q10)</f>
        <v>360</v>
      </c>
      <c r="D18" s="331">
        <f t="shared" si="0"/>
        <v>0.66666666666666663</v>
      </c>
      <c r="E18" s="334">
        <f>SUM('[2]CONSUMO FISICO'!D10,'[2]CONSUMO FISICO'!F10,'[2]CONSUMO FISICO'!H10,'[2]CONSUMO FISICO'!J10,'[2]CONSUMO FISICO'!L10,'[2]CONSUMO FISICO'!N10,'[2]CONSUMO FISICO'!P10,'[2]CONSUMO FISICO'!R10)</f>
        <v>180</v>
      </c>
      <c r="F18" s="331">
        <f t="shared" si="1"/>
        <v>0.33333333333333331</v>
      </c>
      <c r="G18" s="333">
        <f t="shared" si="2"/>
        <v>540</v>
      </c>
      <c r="H18" s="333">
        <f>IFERROR(SUMIF(Controle_Materiais!$A:$A,$A18,Controle_Materiais!$O:$O),0)</f>
        <v>0</v>
      </c>
      <c r="I18" s="331"/>
      <c r="J18" s="331"/>
      <c r="K18" s="146"/>
      <c r="L18" s="146"/>
      <c r="M18" s="146"/>
      <c r="N18" s="335"/>
      <c r="O18" s="335"/>
    </row>
    <row r="19" spans="1:15" x14ac:dyDescent="0.25">
      <c r="A19" s="146" t="s">
        <v>405</v>
      </c>
      <c r="B19" s="146" t="s">
        <v>404</v>
      </c>
      <c r="C19" s="333">
        <f>SUM('[2]CONSUMO FISICO'!C11,'[2]CONSUMO FISICO'!E11,'[2]CONSUMO FISICO'!G11,'[2]CONSUMO FISICO'!I11,'[2]CONSUMO FISICO'!K11,'[2]CONSUMO FISICO'!M11,'[2]CONSUMO FISICO'!O11,'[2]CONSUMO FISICO'!Q11)</f>
        <v>0</v>
      </c>
      <c r="D19" s="331">
        <f t="shared" si="0"/>
        <v>0</v>
      </c>
      <c r="E19" s="334">
        <f>SUM('[2]CONSUMO FISICO'!D11,'[2]CONSUMO FISICO'!F11,'[2]CONSUMO FISICO'!H11,'[2]CONSUMO FISICO'!J11,'[2]CONSUMO FISICO'!L11,'[2]CONSUMO FISICO'!N11,'[2]CONSUMO FISICO'!P11,'[2]CONSUMO FISICO'!R11)</f>
        <v>22</v>
      </c>
      <c r="F19" s="331">
        <f t="shared" si="1"/>
        <v>1</v>
      </c>
      <c r="G19" s="333">
        <f t="shared" si="2"/>
        <v>22</v>
      </c>
      <c r="H19" s="333">
        <f>IFERROR(SUMIF(Controle_Materiais!$A:$A,$A19,Controle_Materiais!$O:$O),0)</f>
        <v>0</v>
      </c>
      <c r="I19" s="331"/>
      <c r="J19" s="331"/>
      <c r="K19" s="146"/>
      <c r="L19" s="146"/>
      <c r="M19" s="146"/>
      <c r="N19" s="335"/>
      <c r="O19" s="335"/>
    </row>
    <row r="20" spans="1:15" x14ac:dyDescent="0.25">
      <c r="A20" s="146" t="s">
        <v>408</v>
      </c>
      <c r="B20" s="146" t="s">
        <v>407</v>
      </c>
      <c r="C20" s="333">
        <f>SUM('[2]CONSUMO FISICO'!C12,'[2]CONSUMO FISICO'!E12,'[2]CONSUMO FISICO'!G12,'[2]CONSUMO FISICO'!I12,'[2]CONSUMO FISICO'!K12,'[2]CONSUMO FISICO'!M12,'[2]CONSUMO FISICO'!O12,'[2]CONSUMO FISICO'!Q12)</f>
        <v>0</v>
      </c>
      <c r="D20" s="331">
        <f t="shared" si="0"/>
        <v>0</v>
      </c>
      <c r="E20" s="334">
        <f>SUM('[2]CONSUMO FISICO'!D12,'[2]CONSUMO FISICO'!F12,'[2]CONSUMO FISICO'!H12,'[2]CONSUMO FISICO'!J12,'[2]CONSUMO FISICO'!L12,'[2]CONSUMO FISICO'!N12,'[2]CONSUMO FISICO'!P12,'[2]CONSUMO FISICO'!R12)</f>
        <v>0</v>
      </c>
      <c r="F20" s="331">
        <f t="shared" si="1"/>
        <v>0</v>
      </c>
      <c r="G20" s="333">
        <f t="shared" si="2"/>
        <v>0</v>
      </c>
      <c r="H20" s="333">
        <f>IFERROR(SUMIF(Controle_Materiais!$A:$A,$A20,Controle_Materiais!$O:$O),0)</f>
        <v>0</v>
      </c>
      <c r="I20" s="331"/>
      <c r="J20" s="331"/>
      <c r="K20" s="146"/>
      <c r="L20" s="146"/>
      <c r="M20" s="146"/>
      <c r="N20" s="335"/>
      <c r="O20" s="335"/>
    </row>
    <row r="21" spans="1:15" x14ac:dyDescent="0.25">
      <c r="A21" s="146" t="s">
        <v>411</v>
      </c>
      <c r="B21" s="146" t="s">
        <v>410</v>
      </c>
      <c r="C21" s="333">
        <f>SUM('[2]CONSUMO FISICO'!C13,'[2]CONSUMO FISICO'!E13,'[2]CONSUMO FISICO'!G13,'[2]CONSUMO FISICO'!I13,'[2]CONSUMO FISICO'!K13,'[2]CONSUMO FISICO'!M13,'[2]CONSUMO FISICO'!O13,'[2]CONSUMO FISICO'!Q13)</f>
        <v>150</v>
      </c>
      <c r="D21" s="331">
        <f t="shared" si="0"/>
        <v>1</v>
      </c>
      <c r="E21" s="334">
        <f>SUM('[2]CONSUMO FISICO'!D13,'[2]CONSUMO FISICO'!F13,'[2]CONSUMO FISICO'!H13,'[2]CONSUMO FISICO'!J13,'[2]CONSUMO FISICO'!L13,'[2]CONSUMO FISICO'!N13,'[2]CONSUMO FISICO'!P13,'[2]CONSUMO FISICO'!R13)</f>
        <v>0</v>
      </c>
      <c r="F21" s="331">
        <f t="shared" si="1"/>
        <v>0</v>
      </c>
      <c r="G21" s="333">
        <f t="shared" si="2"/>
        <v>150</v>
      </c>
      <c r="H21" s="333">
        <f>IFERROR(SUMIF(Controle_Materiais!$A:$A,$A21,Controle_Materiais!$O:$O),0)</f>
        <v>0</v>
      </c>
      <c r="I21" s="331"/>
      <c r="J21" s="331"/>
      <c r="K21" s="146"/>
      <c r="L21" s="146"/>
      <c r="M21" s="146"/>
      <c r="N21" s="335"/>
      <c r="O21" s="335"/>
    </row>
    <row r="22" spans="1:15" x14ac:dyDescent="0.25">
      <c r="A22" s="146" t="s">
        <v>417</v>
      </c>
      <c r="B22" s="146" t="s">
        <v>416</v>
      </c>
      <c r="C22" s="333">
        <f>SUM('[2]CONSUMO FISICO'!C14,'[2]CONSUMO FISICO'!E14,'[2]CONSUMO FISICO'!G14,'[2]CONSUMO FISICO'!I14,'[2]CONSUMO FISICO'!K14,'[2]CONSUMO FISICO'!M14,'[2]CONSUMO FISICO'!O14,'[2]CONSUMO FISICO'!Q14)</f>
        <v>229</v>
      </c>
      <c r="D22" s="331">
        <f t="shared" si="0"/>
        <v>0.57974683544303796</v>
      </c>
      <c r="E22" s="334">
        <f>SUM('[2]CONSUMO FISICO'!D14,'[2]CONSUMO FISICO'!F14,'[2]CONSUMO FISICO'!H14,'[2]CONSUMO FISICO'!J14,'[2]CONSUMO FISICO'!L14,'[2]CONSUMO FISICO'!N14,'[2]CONSUMO FISICO'!P14,'[2]CONSUMO FISICO'!R14)</f>
        <v>166</v>
      </c>
      <c r="F22" s="331">
        <f t="shared" si="1"/>
        <v>0.42025316455696204</v>
      </c>
      <c r="G22" s="333">
        <f t="shared" si="2"/>
        <v>395</v>
      </c>
      <c r="H22" s="333">
        <f>IFERROR(SUMIF(Controle_Materiais!$A:$A,$A22,Controle_Materiais!$O:$O),0)</f>
        <v>120</v>
      </c>
      <c r="I22" s="331"/>
      <c r="J22" s="331"/>
      <c r="K22" s="146"/>
      <c r="L22" s="146"/>
      <c r="M22" s="146"/>
      <c r="N22" s="335"/>
      <c r="O22" s="335"/>
    </row>
    <row r="23" spans="1:15" x14ac:dyDescent="0.25">
      <c r="A23" s="146" t="s">
        <v>420</v>
      </c>
      <c r="B23" s="146" t="s">
        <v>419</v>
      </c>
      <c r="C23" s="333">
        <f>SUM('[2]CONSUMO FISICO'!C15,'[2]CONSUMO FISICO'!E15,'[2]CONSUMO FISICO'!G15,'[2]CONSUMO FISICO'!I15,'[2]CONSUMO FISICO'!K15,'[2]CONSUMO FISICO'!M15,'[2]CONSUMO FISICO'!O15,'[2]CONSUMO FISICO'!Q15)</f>
        <v>0</v>
      </c>
      <c r="D23" s="331">
        <f t="shared" si="0"/>
        <v>0</v>
      </c>
      <c r="E23" s="334">
        <f>SUM('[2]CONSUMO FISICO'!D15,'[2]CONSUMO FISICO'!F15,'[2]CONSUMO FISICO'!H15,'[2]CONSUMO FISICO'!J15,'[2]CONSUMO FISICO'!L15,'[2]CONSUMO FISICO'!N15,'[2]CONSUMO FISICO'!P15,'[2]CONSUMO FISICO'!R15)</f>
        <v>48</v>
      </c>
      <c r="F23" s="331">
        <f t="shared" si="1"/>
        <v>1</v>
      </c>
      <c r="G23" s="333">
        <f t="shared" si="2"/>
        <v>48</v>
      </c>
      <c r="H23" s="333">
        <f>IFERROR(SUMIF(Controle_Materiais!$A:$A,$A23,Controle_Materiais!$O:$O),0)</f>
        <v>0</v>
      </c>
      <c r="I23" s="331"/>
      <c r="J23" s="331"/>
      <c r="K23" s="146"/>
      <c r="L23" s="146"/>
      <c r="M23" s="146"/>
      <c r="N23" s="335"/>
      <c r="O23" s="335"/>
    </row>
    <row r="24" spans="1:15" x14ac:dyDescent="0.25">
      <c r="A24" s="146" t="s">
        <v>422</v>
      </c>
      <c r="B24" s="146" t="s">
        <v>421</v>
      </c>
      <c r="C24" s="333">
        <f>SUM('[2]CONSUMO FISICO'!C16,'[2]CONSUMO FISICO'!E16,'[2]CONSUMO FISICO'!G16,'[2]CONSUMO FISICO'!I16,'[2]CONSUMO FISICO'!K16,'[2]CONSUMO FISICO'!M16,'[2]CONSUMO FISICO'!O16,'[2]CONSUMO FISICO'!Q16)</f>
        <v>0</v>
      </c>
      <c r="D24" s="331">
        <f t="shared" si="0"/>
        <v>0</v>
      </c>
      <c r="E24" s="334">
        <f>SUM('[2]CONSUMO FISICO'!D16,'[2]CONSUMO FISICO'!F16,'[2]CONSUMO FISICO'!H16,'[2]CONSUMO FISICO'!J16,'[2]CONSUMO FISICO'!L16,'[2]CONSUMO FISICO'!N16,'[2]CONSUMO FISICO'!P16,'[2]CONSUMO FISICO'!R16)</f>
        <v>0</v>
      </c>
      <c r="F24" s="331">
        <f t="shared" si="1"/>
        <v>0</v>
      </c>
      <c r="G24" s="333">
        <f t="shared" si="2"/>
        <v>0</v>
      </c>
      <c r="H24" s="333">
        <f>IFERROR(SUMIF(Controle_Materiais!$A:$A,$A24,Controle_Materiais!$O:$O),0)</f>
        <v>0</v>
      </c>
      <c r="I24" s="331"/>
      <c r="J24" s="331"/>
      <c r="K24" s="146"/>
      <c r="L24" s="146"/>
      <c r="M24" s="146"/>
      <c r="N24" s="335"/>
      <c r="O24" s="335"/>
    </row>
    <row r="25" spans="1:15" x14ac:dyDescent="0.25">
      <c r="A25" s="146" t="s">
        <v>427</v>
      </c>
      <c r="B25" s="146" t="s">
        <v>426</v>
      </c>
      <c r="C25" s="333">
        <f>SUM('[2]CONSUMO FISICO'!C17,'[2]CONSUMO FISICO'!E17,'[2]CONSUMO FISICO'!G17,'[2]CONSUMO FISICO'!I17,'[2]CONSUMO FISICO'!K17,'[2]CONSUMO FISICO'!M17,'[2]CONSUMO FISICO'!O17,'[2]CONSUMO FISICO'!Q17)</f>
        <v>1090</v>
      </c>
      <c r="D25" s="331">
        <f t="shared" si="0"/>
        <v>0.4774419623302672</v>
      </c>
      <c r="E25" s="334">
        <f>SUM('[2]CONSUMO FISICO'!D17,'[2]CONSUMO FISICO'!F17,'[2]CONSUMO FISICO'!H17,'[2]CONSUMO FISICO'!J17,'[2]CONSUMO FISICO'!L17,'[2]CONSUMO FISICO'!N17,'[2]CONSUMO FISICO'!P17,'[2]CONSUMO FISICO'!R17)</f>
        <v>1193</v>
      </c>
      <c r="F25" s="331">
        <f t="shared" si="1"/>
        <v>0.52255803766973286</v>
      </c>
      <c r="G25" s="333">
        <f t="shared" si="2"/>
        <v>2283</v>
      </c>
      <c r="H25" s="333">
        <f>IFERROR(SUMIF(Controle_Materiais!$A:$A,$A25,Controle_Materiais!$O:$O),0)</f>
        <v>1067</v>
      </c>
      <c r="I25" s="331"/>
      <c r="J25" s="331"/>
      <c r="K25" s="146"/>
      <c r="L25" s="146"/>
      <c r="M25" s="146"/>
      <c r="N25" s="335"/>
      <c r="O25" s="335"/>
    </row>
    <row r="26" spans="1:15" x14ac:dyDescent="0.25">
      <c r="A26" s="146" t="s">
        <v>434</v>
      </c>
      <c r="B26" s="146" t="s">
        <v>433</v>
      </c>
      <c r="C26" s="333">
        <f>SUM('[2]CONSUMO FISICO'!C18,'[2]CONSUMO FISICO'!E18,'[2]CONSUMO FISICO'!G18,'[2]CONSUMO FISICO'!I18,'[2]CONSUMO FISICO'!K18,'[2]CONSUMO FISICO'!M18,'[2]CONSUMO FISICO'!O18,'[2]CONSUMO FISICO'!Q18)</f>
        <v>259</v>
      </c>
      <c r="D26" s="331">
        <f t="shared" si="0"/>
        <v>0.56673960612691465</v>
      </c>
      <c r="E26" s="334">
        <f>SUM('[2]CONSUMO FISICO'!D18,'[2]CONSUMO FISICO'!F18,'[2]CONSUMO FISICO'!H18,'[2]CONSUMO FISICO'!J18,'[2]CONSUMO FISICO'!L18,'[2]CONSUMO FISICO'!N18,'[2]CONSUMO FISICO'!P18,'[2]CONSUMO FISICO'!R18)</f>
        <v>198</v>
      </c>
      <c r="F26" s="331">
        <f t="shared" si="1"/>
        <v>0.43326039387308535</v>
      </c>
      <c r="G26" s="333">
        <f t="shared" si="2"/>
        <v>457</v>
      </c>
      <c r="H26" s="333">
        <f>IFERROR(SUMIF(Controle_Materiais!$A:$A,$A26,Controle_Materiais!$O:$O),0)</f>
        <v>120</v>
      </c>
      <c r="I26" s="331"/>
      <c r="J26" s="331"/>
      <c r="K26" s="146"/>
      <c r="L26" s="146"/>
      <c r="M26" s="146"/>
      <c r="N26" s="335"/>
      <c r="O26" s="335"/>
    </row>
    <row r="27" spans="1:15" x14ac:dyDescent="0.25">
      <c r="A27" s="146" t="s">
        <v>373</v>
      </c>
      <c r="B27" s="146" t="s">
        <v>372</v>
      </c>
      <c r="C27" s="333">
        <f>SUM('[2]CONSUMO FISICO'!C19,'[2]CONSUMO FISICO'!E19,'[2]CONSUMO FISICO'!G19,'[2]CONSUMO FISICO'!I19,'[2]CONSUMO FISICO'!K19,'[2]CONSUMO FISICO'!M19,'[2]CONSUMO FISICO'!O19,'[2]CONSUMO FISICO'!Q19)</f>
        <v>1169</v>
      </c>
      <c r="D27" s="331">
        <f t="shared" si="0"/>
        <v>0.44584286803966439</v>
      </c>
      <c r="E27" s="334">
        <f>SUM('[2]CONSUMO FISICO'!D19,'[2]CONSUMO FISICO'!F19,'[2]CONSUMO FISICO'!H19,'[2]CONSUMO FISICO'!J19,'[2]CONSUMO FISICO'!L19,'[2]CONSUMO FISICO'!N19,'[2]CONSUMO FISICO'!P19,'[2]CONSUMO FISICO'!R19)</f>
        <v>1453</v>
      </c>
      <c r="F27" s="331">
        <f t="shared" si="1"/>
        <v>0.55415713196033567</v>
      </c>
      <c r="G27" s="333">
        <f t="shared" si="2"/>
        <v>2622</v>
      </c>
      <c r="H27" s="333">
        <f>IFERROR(SUMIF(Controle_Materiais!$A:$A,$A27,Controle_Materiais!$O:$O),0)</f>
        <v>1067</v>
      </c>
      <c r="I27" s="331"/>
      <c r="J27" s="331"/>
      <c r="K27" s="146"/>
      <c r="L27" s="146"/>
      <c r="M27" s="146"/>
      <c r="N27" s="335"/>
      <c r="O27" s="335"/>
    </row>
    <row r="28" spans="1:15" x14ac:dyDescent="0.25">
      <c r="A28" s="146" t="s">
        <v>394</v>
      </c>
      <c r="B28" s="146" t="s">
        <v>393</v>
      </c>
      <c r="C28" s="333">
        <f>SUM('[2]CONSUMO FISICO'!C20,'[2]CONSUMO FISICO'!E20,'[2]CONSUMO FISICO'!G20,'[2]CONSUMO FISICO'!I20,'[2]CONSUMO FISICO'!K20,'[2]CONSUMO FISICO'!M20,'[2]CONSUMO FISICO'!O20,'[2]CONSUMO FISICO'!Q20)</f>
        <v>0</v>
      </c>
      <c r="D28" s="331">
        <f t="shared" si="0"/>
        <v>0</v>
      </c>
      <c r="E28" s="334">
        <f>SUM('[2]CONSUMO FISICO'!D20,'[2]CONSUMO FISICO'!F20,'[2]CONSUMO FISICO'!H20,'[2]CONSUMO FISICO'!J20,'[2]CONSUMO FISICO'!L20,'[2]CONSUMO FISICO'!N20,'[2]CONSUMO FISICO'!P20,'[2]CONSUMO FISICO'!R20)</f>
        <v>290</v>
      </c>
      <c r="F28" s="331">
        <f t="shared" si="1"/>
        <v>1</v>
      </c>
      <c r="G28" s="333">
        <f t="shared" si="2"/>
        <v>290</v>
      </c>
      <c r="H28" s="333">
        <f>IFERROR(SUMIF(Controle_Materiais!$A:$A,$A28,Controle_Materiais!$O:$O),0)</f>
        <v>579</v>
      </c>
      <c r="I28" s="331"/>
      <c r="J28" s="331"/>
      <c r="K28" s="146"/>
      <c r="L28" s="146"/>
      <c r="M28" s="146"/>
      <c r="N28" s="335"/>
      <c r="O28" s="335"/>
    </row>
    <row r="29" spans="1:15" x14ac:dyDescent="0.25">
      <c r="A29" s="146" t="s">
        <v>380</v>
      </c>
      <c r="B29" s="146" t="s">
        <v>379</v>
      </c>
      <c r="C29" s="333">
        <f>SUM('[2]CONSUMO FISICO'!C21,'[2]CONSUMO FISICO'!E21,'[2]CONSUMO FISICO'!G21,'[2]CONSUMO FISICO'!I21,'[2]CONSUMO FISICO'!K21,'[2]CONSUMO FISICO'!M21,'[2]CONSUMO FISICO'!O21,'[2]CONSUMO FISICO'!Q21)</f>
        <v>229</v>
      </c>
      <c r="D29" s="331">
        <f t="shared" si="0"/>
        <v>0.60742705570291777</v>
      </c>
      <c r="E29" s="334">
        <f>SUM('[2]CONSUMO FISICO'!D21,'[2]CONSUMO FISICO'!F21,'[2]CONSUMO FISICO'!H21,'[2]CONSUMO FISICO'!J21,'[2]CONSUMO FISICO'!L21,'[2]CONSUMO FISICO'!N21,'[2]CONSUMO FISICO'!P21,'[2]CONSUMO FISICO'!R21)</f>
        <v>148</v>
      </c>
      <c r="F29" s="331">
        <f t="shared" si="1"/>
        <v>0.39257294429708223</v>
      </c>
      <c r="G29" s="333">
        <f t="shared" si="2"/>
        <v>377</v>
      </c>
      <c r="H29" s="333">
        <f>IFERROR(SUMIF(Controle_Materiais!$A:$A,$A29,Controle_Materiais!$O:$O),0)</f>
        <v>120</v>
      </c>
      <c r="I29" s="331"/>
      <c r="J29" s="331"/>
      <c r="K29" s="146"/>
      <c r="L29" s="146"/>
      <c r="M29" s="146"/>
      <c r="N29" s="335"/>
      <c r="O29" s="335"/>
    </row>
    <row r="30" spans="1:15" x14ac:dyDescent="0.25">
      <c r="A30" s="146" t="s">
        <v>425</v>
      </c>
      <c r="B30" s="146" t="s">
        <v>424</v>
      </c>
      <c r="C30" s="333">
        <f>SUM('[2]CONSUMO FISICO'!C22,'[2]CONSUMO FISICO'!E22,'[2]CONSUMO FISICO'!G22,'[2]CONSUMO FISICO'!I22,'[2]CONSUMO FISICO'!K22,'[2]CONSUMO FISICO'!M22,'[2]CONSUMO FISICO'!O22,'[2]CONSUMO FISICO'!Q22)</f>
        <v>110</v>
      </c>
      <c r="D30" s="331">
        <f t="shared" si="0"/>
        <v>0.60439560439560436</v>
      </c>
      <c r="E30" s="334">
        <f>SUM('[2]CONSUMO FISICO'!D22,'[2]CONSUMO FISICO'!F22,'[2]CONSUMO FISICO'!H22,'[2]CONSUMO FISICO'!J22,'[2]CONSUMO FISICO'!L22,'[2]CONSUMO FISICO'!N22,'[2]CONSUMO FISICO'!P22,'[2]CONSUMO FISICO'!R22)</f>
        <v>72</v>
      </c>
      <c r="F30" s="331">
        <f t="shared" si="1"/>
        <v>0.39560439560439559</v>
      </c>
      <c r="G30" s="333">
        <f t="shared" si="2"/>
        <v>182</v>
      </c>
      <c r="H30" s="333">
        <f>IFERROR(SUMIF(Controle_Materiais!$A:$A,$A30,Controle_Materiais!$O:$O),0)</f>
        <v>180</v>
      </c>
      <c r="I30" s="331"/>
      <c r="J30" s="331"/>
      <c r="K30" s="146"/>
      <c r="L30" s="146"/>
      <c r="M30" s="146"/>
      <c r="N30" s="335"/>
      <c r="O30" s="335"/>
    </row>
    <row r="31" spans="1:15" x14ac:dyDescent="0.25">
      <c r="A31" s="146" t="s">
        <v>429</v>
      </c>
      <c r="B31" s="146" t="s">
        <v>428</v>
      </c>
      <c r="C31" s="333">
        <f>SUM('[2]CONSUMO FISICO'!C23,'[2]CONSUMO FISICO'!E23,'[2]CONSUMO FISICO'!G23,'[2]CONSUMO FISICO'!I23,'[2]CONSUMO FISICO'!K23,'[2]CONSUMO FISICO'!M23,'[2]CONSUMO FISICO'!O23,'[2]CONSUMO FISICO'!Q23)</f>
        <v>6</v>
      </c>
      <c r="D31" s="331">
        <f t="shared" si="0"/>
        <v>0.25</v>
      </c>
      <c r="E31" s="334">
        <f>SUM('[2]CONSUMO FISICO'!D23,'[2]CONSUMO FISICO'!F23,'[2]CONSUMO FISICO'!H23,'[2]CONSUMO FISICO'!J23,'[2]CONSUMO FISICO'!L23,'[2]CONSUMO FISICO'!N23,'[2]CONSUMO FISICO'!P23,'[2]CONSUMO FISICO'!R23)</f>
        <v>18</v>
      </c>
      <c r="F31" s="331">
        <f t="shared" si="1"/>
        <v>0.75</v>
      </c>
      <c r="G31" s="333">
        <f t="shared" si="2"/>
        <v>24</v>
      </c>
      <c r="H31" s="333">
        <f>IFERROR(SUMIF(Controle_Materiais!$A:$A,$A31,Controle_Materiais!$O:$O),0)</f>
        <v>0</v>
      </c>
      <c r="I31" s="331"/>
      <c r="J31" s="331"/>
      <c r="K31" s="146"/>
      <c r="L31" s="146"/>
      <c r="M31" s="146"/>
      <c r="N31" s="335"/>
      <c r="O31" s="335"/>
    </row>
    <row r="32" spans="1:15" x14ac:dyDescent="0.25">
      <c r="A32" s="146" t="s">
        <v>369</v>
      </c>
      <c r="B32" s="146" t="s">
        <v>368</v>
      </c>
      <c r="C32" s="333">
        <f>SUM('[2]CONSUMO FISICO'!C24,'[2]CONSUMO FISICO'!E24,'[2]CONSUMO FISICO'!G24,'[2]CONSUMO FISICO'!I24,'[2]CONSUMO FISICO'!K24,'[2]CONSUMO FISICO'!M24,'[2]CONSUMO FISICO'!O24,'[2]CONSUMO FISICO'!Q24)</f>
        <v>100</v>
      </c>
      <c r="D32" s="331">
        <f t="shared" si="0"/>
        <v>0.58139534883720934</v>
      </c>
      <c r="E32" s="334">
        <f>SUM('[2]CONSUMO FISICO'!D24,'[2]CONSUMO FISICO'!F24,'[2]CONSUMO FISICO'!H24,'[2]CONSUMO FISICO'!J24,'[2]CONSUMO FISICO'!L24,'[2]CONSUMO FISICO'!N24,'[2]CONSUMO FISICO'!P24,'[2]CONSUMO FISICO'!R24)</f>
        <v>72</v>
      </c>
      <c r="F32" s="331">
        <f t="shared" si="1"/>
        <v>0.41860465116279072</v>
      </c>
      <c r="G32" s="333">
        <f t="shared" si="2"/>
        <v>172</v>
      </c>
      <c r="H32" s="333">
        <f>IFERROR(SUMIF(Controle_Materiais!$A:$A,$A32,Controle_Materiais!$O:$O),0)</f>
        <v>180</v>
      </c>
      <c r="I32" s="331"/>
      <c r="J32" s="331"/>
      <c r="K32" s="146"/>
      <c r="L32" s="146"/>
      <c r="M32" s="146"/>
      <c r="N32" s="335"/>
      <c r="O32" s="335"/>
    </row>
    <row r="33" spans="1:15" x14ac:dyDescent="0.25">
      <c r="A33" s="146" t="s">
        <v>375</v>
      </c>
      <c r="B33" s="146" t="s">
        <v>374</v>
      </c>
      <c r="C33" s="333">
        <f>SUM('[2]CONSUMO FISICO'!C25,'[2]CONSUMO FISICO'!E25,'[2]CONSUMO FISICO'!G25,'[2]CONSUMO FISICO'!I25,'[2]CONSUMO FISICO'!K25,'[2]CONSUMO FISICO'!M25,'[2]CONSUMO FISICO'!O25,'[2]CONSUMO FISICO'!Q25)</f>
        <v>6</v>
      </c>
      <c r="D33" s="331">
        <f t="shared" si="0"/>
        <v>0.13043478260869565</v>
      </c>
      <c r="E33" s="334">
        <f>SUM('[2]CONSUMO FISICO'!D25,'[2]CONSUMO FISICO'!F25,'[2]CONSUMO FISICO'!H25,'[2]CONSUMO FISICO'!J25,'[2]CONSUMO FISICO'!L25,'[2]CONSUMO FISICO'!N25,'[2]CONSUMO FISICO'!P25,'[2]CONSUMO FISICO'!R25)</f>
        <v>40</v>
      </c>
      <c r="F33" s="331">
        <f t="shared" si="1"/>
        <v>0.86956521739130432</v>
      </c>
      <c r="G33" s="333">
        <f t="shared" si="2"/>
        <v>46</v>
      </c>
      <c r="H33" s="333">
        <f>IFERROR(SUMIF(Controle_Materiais!$A:$A,$A33,Controle_Materiais!$O:$O),0)</f>
        <v>0</v>
      </c>
      <c r="I33" s="331"/>
      <c r="J33" s="331"/>
      <c r="K33" s="146"/>
      <c r="L33" s="146"/>
      <c r="M33" s="146"/>
      <c r="N33" s="335"/>
      <c r="O33" s="335"/>
    </row>
    <row r="34" spans="1:15" x14ac:dyDescent="0.25">
      <c r="A34" s="146" t="s">
        <v>412</v>
      </c>
      <c r="B34" s="146" t="s">
        <v>410</v>
      </c>
      <c r="C34" s="333">
        <f>SUM('[2]CONSUMO FISICO'!C26,'[2]CONSUMO FISICO'!E26,'[2]CONSUMO FISICO'!G26,'[2]CONSUMO FISICO'!I26,'[2]CONSUMO FISICO'!K26,'[2]CONSUMO FISICO'!M26,'[2]CONSUMO FISICO'!O26,'[2]CONSUMO FISICO'!Q26)</f>
        <v>1952</v>
      </c>
      <c r="D34" s="331">
        <f t="shared" si="0"/>
        <v>0.42891672159964844</v>
      </c>
      <c r="E34" s="334">
        <f>SUM('[2]CONSUMO FISICO'!D26,'[2]CONSUMO FISICO'!F26,'[2]CONSUMO FISICO'!H26,'[2]CONSUMO FISICO'!J26,'[2]CONSUMO FISICO'!L26,'[2]CONSUMO FISICO'!N26,'[2]CONSUMO FISICO'!P26,'[2]CONSUMO FISICO'!R26)</f>
        <v>2599</v>
      </c>
      <c r="F34" s="331">
        <f t="shared" si="1"/>
        <v>0.57108327840035156</v>
      </c>
      <c r="G34" s="333">
        <f t="shared" si="2"/>
        <v>4551</v>
      </c>
      <c r="H34" s="333">
        <f>IFERROR(SUMIF(Controle_Materiais!$A:$A,$A34,Controle_Materiais!$O:$O),0)</f>
        <v>5024</v>
      </c>
      <c r="I34" s="331"/>
      <c r="J34" s="331"/>
      <c r="K34" s="146"/>
      <c r="L34" s="146"/>
      <c r="M34" s="146"/>
      <c r="N34" s="335"/>
      <c r="O34" s="335"/>
    </row>
    <row r="35" spans="1:15" x14ac:dyDescent="0.25">
      <c r="A35" s="146" t="s">
        <v>415</v>
      </c>
      <c r="B35" s="146" t="s">
        <v>414</v>
      </c>
      <c r="C35" s="333">
        <f>SUM('[2]CONSUMO FISICO'!C27,'[2]CONSUMO FISICO'!E27,'[2]CONSUMO FISICO'!G27,'[2]CONSUMO FISICO'!I27,'[2]CONSUMO FISICO'!K27,'[2]CONSUMO FISICO'!M27,'[2]CONSUMO FISICO'!O27,'[2]CONSUMO FISICO'!Q27)</f>
        <v>46361</v>
      </c>
      <c r="D35" s="331">
        <f t="shared" si="0"/>
        <v>0.43042428743849226</v>
      </c>
      <c r="E35" s="334">
        <f>SUM('[2]CONSUMO FISICO'!D27,'[2]CONSUMO FISICO'!F27,'[2]CONSUMO FISICO'!H27,'[2]CONSUMO FISICO'!J27,'[2]CONSUMO FISICO'!L27,'[2]CONSUMO FISICO'!N27,'[2]CONSUMO FISICO'!P27,'[2]CONSUMO FISICO'!R27)</f>
        <v>61349</v>
      </c>
      <c r="F35" s="331">
        <f t="shared" si="1"/>
        <v>0.56957571256150774</v>
      </c>
      <c r="G35" s="333">
        <f t="shared" si="2"/>
        <v>107710</v>
      </c>
      <c r="H35" s="333">
        <f>IFERROR(SUMIF(Controle_Materiais!$A:$A,$A35,Controle_Materiais!$O:$O),0)</f>
        <v>118046</v>
      </c>
      <c r="I35" s="331"/>
      <c r="J35" s="331"/>
      <c r="K35" s="146"/>
      <c r="L35" s="146"/>
      <c r="M35" s="146"/>
      <c r="N35" s="335"/>
      <c r="O35" s="335"/>
    </row>
    <row r="36" spans="1:15" x14ac:dyDescent="0.25">
      <c r="A36" s="146" t="s">
        <v>431</v>
      </c>
      <c r="B36" s="146" t="s">
        <v>430</v>
      </c>
      <c r="C36" s="146">
        <f>SUM('[2]CONSUMO FISICO'!C28,'[2]CONSUMO FISICO'!E28,'[2]CONSUMO FISICO'!G28,'[2]CONSUMO FISICO'!I28,'[2]CONSUMO FISICO'!K28,'[2]CONSUMO FISICO'!M28,'[2]CONSUMO FISICO'!O28,'[2]CONSUMO FISICO'!Q28)</f>
        <v>48544</v>
      </c>
      <c r="D36" s="331">
        <f t="shared" si="0"/>
        <v>0.43451874793007456</v>
      </c>
      <c r="E36" s="334">
        <f>SUM('[2]CONSUMO FISICO'!D28,'[2]CONSUMO FISICO'!F28,'[2]CONSUMO FISICO'!H28,'[2]CONSUMO FISICO'!J28,'[2]CONSUMO FISICO'!L28,'[2]CONSUMO FISICO'!N28,'[2]CONSUMO FISICO'!P28,'[2]CONSUMO FISICO'!R28)</f>
        <v>63175</v>
      </c>
      <c r="F36" s="331">
        <f t="shared" si="1"/>
        <v>0.56548125206992539</v>
      </c>
      <c r="G36" s="146">
        <f t="shared" si="2"/>
        <v>111719</v>
      </c>
      <c r="H36" s="333">
        <f>IFERROR(SUMIF(Controle_Materiais!$A:$A,$A36,Controle_Materiais!$O:$O),0)</f>
        <v>123069</v>
      </c>
      <c r="I36" s="146"/>
      <c r="J36" s="146"/>
      <c r="K36" s="146"/>
      <c r="L36" s="146"/>
      <c r="M36" s="146"/>
      <c r="N36" s="146"/>
      <c r="O36" s="146"/>
    </row>
    <row r="37" spans="1:15" x14ac:dyDescent="0.25">
      <c r="A37" s="146" t="s">
        <v>377</v>
      </c>
      <c r="B37" s="146" t="s">
        <v>376</v>
      </c>
      <c r="C37" s="146">
        <f>SUM('[2]CONSUMO FISICO'!C29,'[2]CONSUMO FISICO'!E29,'[2]CONSUMO FISICO'!G29,'[2]CONSUMO FISICO'!I29,'[2]CONSUMO FISICO'!K29,'[2]CONSUMO FISICO'!M29,'[2]CONSUMO FISICO'!O29,'[2]CONSUMO FISICO'!Q29)</f>
        <v>48544</v>
      </c>
      <c r="D37" s="331">
        <f t="shared" si="0"/>
        <v>0.43343244136108355</v>
      </c>
      <c r="E37" s="334">
        <f>SUM('[2]CONSUMO FISICO'!D29,'[2]CONSUMO FISICO'!F29,'[2]CONSUMO FISICO'!H29,'[2]CONSUMO FISICO'!J29,'[2]CONSUMO FISICO'!L29,'[2]CONSUMO FISICO'!N29,'[2]CONSUMO FISICO'!P29,'[2]CONSUMO FISICO'!R29)</f>
        <v>63455</v>
      </c>
      <c r="F37" s="331">
        <f t="shared" si="1"/>
        <v>0.56656755863891639</v>
      </c>
      <c r="G37" s="146">
        <f t="shared" si="2"/>
        <v>111999</v>
      </c>
      <c r="H37" s="333">
        <f>IFERROR(SUMIF(Controle_Materiais!$A:$A,$A37,Controle_Materiais!$O:$O),0)</f>
        <v>123069</v>
      </c>
      <c r="I37" s="146"/>
      <c r="J37" s="146"/>
      <c r="K37" s="146"/>
      <c r="L37" s="146"/>
      <c r="M37" s="146"/>
      <c r="N37" s="146"/>
      <c r="O37" s="146"/>
    </row>
    <row r="38" spans="1:15" x14ac:dyDescent="0.25">
      <c r="A38" s="409" t="s">
        <v>382</v>
      </c>
      <c r="B38" s="409" t="s">
        <v>381</v>
      </c>
      <c r="C38" s="409">
        <f>SUM('[2]CONSUMO FISICO'!C30,'[2]CONSUMO FISICO'!E30,'[2]CONSUMO FISICO'!G30,'[2]CONSUMO FISICO'!I30,'[2]CONSUMO FISICO'!K30,'[2]CONSUMO FISICO'!M30,'[2]CONSUMO FISICO'!O30,'[2]CONSUMO FISICO'!Q30)</f>
        <v>33249</v>
      </c>
      <c r="D38" s="412">
        <f t="shared" si="0"/>
        <v>0.43503120543249291</v>
      </c>
      <c r="E38" s="412">
        <f>SUM('[2]CONSUMO FISICO'!D30,'[2]CONSUMO FISICO'!F30,'[2]CONSUMO FISICO'!H30,'[2]CONSUMO FISICO'!J30,'[2]CONSUMO FISICO'!L30,'[2]CONSUMO FISICO'!N30,'[2]CONSUMO FISICO'!P30,'[2]CONSUMO FISICO'!R30)</f>
        <v>43180</v>
      </c>
      <c r="F38" s="412">
        <f t="shared" si="1"/>
        <v>0.56496879456750715</v>
      </c>
      <c r="G38" s="409">
        <f t="shared" si="2"/>
        <v>76429</v>
      </c>
      <c r="H38" s="409">
        <f>IFERROR(SUMIF([2]Controle_Materiais!$A:$A,$A38,[2]Controle_Materiais!$O:$O),0)</f>
        <v>0</v>
      </c>
      <c r="I38" s="409"/>
      <c r="J38" s="409"/>
      <c r="K38" s="409"/>
      <c r="L38" s="409"/>
      <c r="M38" s="409"/>
      <c r="N38" s="409"/>
      <c r="O38" s="409"/>
    </row>
    <row r="39" spans="1:15" x14ac:dyDescent="0.25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</row>
    <row r="40" spans="1:15" x14ac:dyDescent="0.25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</row>
    <row r="41" spans="1:15" ht="18.75" x14ac:dyDescent="0.25">
      <c r="A41" s="410" t="s">
        <v>2115</v>
      </c>
      <c r="B41" s="410"/>
      <c r="C41" s="410"/>
      <c r="D41" s="410"/>
      <c r="E41" s="410"/>
      <c r="F41" s="410"/>
      <c r="G41" s="410"/>
      <c r="H41" s="410"/>
      <c r="I41" s="410"/>
      <c r="J41" s="410"/>
      <c r="K41" s="146"/>
      <c r="L41" s="146"/>
      <c r="M41" s="146"/>
      <c r="N41" s="146"/>
      <c r="O41" s="146"/>
    </row>
    <row r="42" spans="1:15" ht="30" x14ac:dyDescent="0.25">
      <c r="A42" s="328" t="s">
        <v>102</v>
      </c>
      <c r="B42" s="328" t="s">
        <v>1400</v>
      </c>
      <c r="C42" s="328" t="s">
        <v>2116</v>
      </c>
      <c r="D42" s="328" t="s">
        <v>2117</v>
      </c>
      <c r="E42" s="328" t="s">
        <v>2114</v>
      </c>
      <c r="F42" s="328" t="s">
        <v>2118</v>
      </c>
      <c r="G42" s="328" t="s">
        <v>2119</v>
      </c>
      <c r="H42" s="328" t="s">
        <v>2120</v>
      </c>
      <c r="I42" s="328" t="s">
        <v>2121</v>
      </c>
      <c r="J42" s="328" t="s">
        <v>16</v>
      </c>
      <c r="K42" s="146"/>
      <c r="L42" s="146"/>
      <c r="M42" s="146"/>
      <c r="N42" s="146"/>
      <c r="O42" s="146"/>
    </row>
    <row r="43" spans="1:15" x14ac:dyDescent="0.25">
      <c r="A43" s="146" t="s">
        <v>412</v>
      </c>
      <c r="B43" s="146" t="s">
        <v>410</v>
      </c>
      <c r="C43" s="335">
        <f t="shared" ref="C43:C48" si="3">IFERROR(SUMIF($A$11:$A$38,A43,$C$11:$C$38),0)</f>
        <v>1952</v>
      </c>
      <c r="D43" s="335">
        <f t="shared" ref="D43:D48" si="4">IFERROR(SUMIF($A$11:$A$38,A43,$D$11:$D$38),0)</f>
        <v>0.42891672159964844</v>
      </c>
      <c r="E43" s="335">
        <f t="shared" ref="E43:E48" si="5">IFERROR(SUMIF($A$11:$A$38,A43,$H$11:$H$38),0)</f>
        <v>5024</v>
      </c>
      <c r="F43" s="335">
        <f>IFERROR(E43/$B$6*$B$5,0)</f>
        <v>3696.9056603773583</v>
      </c>
      <c r="G43" s="335">
        <f t="shared" ref="G43:G48" si="6">C43-F43</f>
        <v>-1744.9056603773583</v>
      </c>
      <c r="H43" s="331">
        <f t="shared" ref="H43:H48" si="7">IFERROR(G43/F43,0)</f>
        <v>-0.47199085415645925</v>
      </c>
      <c r="I43" s="335">
        <f>IFERROR(C43/((SUMPRODUCT(INDEX(Consumo_Joists!$E$4:$N$27,MATCH($A43,Consumo_Joists!$A$4:$A$27,0),0),Apontamento_Montagem!$D$4:$D$13)*(1+INDEX(Consumo_Joists!$O$4:$O$27,MATCH($A43,Consumo_Joists!$A$4:$A$27,0))))/MAX(1,SUM(Apontamento_Montagem!$D$4:$D$13))),0)</f>
        <v>0</v>
      </c>
      <c r="J43" s="146" t="str">
        <f t="shared" ref="J43:J48" si="8">IF(C43=0,"SEM SAÍDA",IF(G43&gt;MAX(1,F43*0.05),"EXCESSO",IF(G43&lt;-MAX(1,F43*0.05),"ABAIXO DO TEÓRICO","COMPATÍVEL")))</f>
        <v>ABAIXO DO TEÓRICO</v>
      </c>
    </row>
    <row r="44" spans="1:15" x14ac:dyDescent="0.25">
      <c r="A44" s="146" t="s">
        <v>415</v>
      </c>
      <c r="B44" s="146" t="s">
        <v>414</v>
      </c>
      <c r="C44" s="335">
        <f t="shared" si="3"/>
        <v>46361</v>
      </c>
      <c r="D44" s="335">
        <f t="shared" si="4"/>
        <v>0.43042428743849226</v>
      </c>
      <c r="E44" s="335">
        <f t="shared" si="5"/>
        <v>118046</v>
      </c>
      <c r="F44" s="335">
        <f>$B$5*((SUM(376*[2]Apontamento_Montagem!$D$4,376*[2]Apontamento_Montagem!$D$5,376*[2]Apontamento_Montagem!$D$6,376*[2]Apontamento_Montagem!$D$7,0*[2]Apontamento_Montagem!$D$8,0*[2]Apontamento_Montagem!$D$9,0*[2]Apontamento_Montagem!$D$10,0*[2]Apontamento_Montagem!$D$11,0*[2]Apontamento_Montagem!$D$12,0*[2]Apontamento_Montagem!$D$13)*(1+[2]Consumo_Joists!$O$21))/MAX(1,SUM([2]Apontamento_Montagem!$D$4:$D$13)))</f>
        <v>46191.600000000006</v>
      </c>
      <c r="G44" s="335">
        <f t="shared" si="6"/>
        <v>169.39999999999418</v>
      </c>
      <c r="H44" s="331">
        <f t="shared" si="7"/>
        <v>3.6673334545673708E-3</v>
      </c>
      <c r="I44" s="335">
        <f>IFERROR(C44/((SUM(376*[2]Apontamento_Montagem!$D$4,376*[2]Apontamento_Montagem!$D$5,376*[2]Apontamento_Montagem!$D$6,376*[2]Apontamento_Montagem!$D$7,0*[2]Apontamento_Montagem!$D$8,0*[2]Apontamento_Montagem!$D$9,0*[2]Apontamento_Montagem!$D$10,0*[2]Apontamento_Montagem!$D$11,0*[2]Apontamento_Montagem!$D$12,0*[2]Apontamento_Montagem!$D$13)*(1+[2]Consumo_Joists!$O$21))/MAX(1,SUM([2]Apontamento_Montagem!$D$4:$D$13))),0)</f>
        <v>117.42907801418438</v>
      </c>
      <c r="J44" s="146" t="str">
        <f t="shared" si="8"/>
        <v>COMPATÍVEL</v>
      </c>
    </row>
    <row r="45" spans="1:15" x14ac:dyDescent="0.25">
      <c r="A45" s="146" t="s">
        <v>431</v>
      </c>
      <c r="B45" s="146" t="s">
        <v>430</v>
      </c>
      <c r="C45" s="335">
        <f t="shared" si="3"/>
        <v>48544</v>
      </c>
      <c r="D45" s="335">
        <f t="shared" si="4"/>
        <v>0.43451874793007456</v>
      </c>
      <c r="E45" s="335">
        <f t="shared" si="5"/>
        <v>123069</v>
      </c>
      <c r="F45" s="335">
        <f>$B$5*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$22))/MAX(1,SUM([2]Apontamento_Montagem!$D$4:$D$13)))</f>
        <v>48157.200000000004</v>
      </c>
      <c r="G45" s="335">
        <f t="shared" si="6"/>
        <v>386.79999999999563</v>
      </c>
      <c r="H45" s="331">
        <f t="shared" si="7"/>
        <v>8.0320284401916141E-3</v>
      </c>
      <c r="I45" s="335">
        <f>IFERROR(C45/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$22))/MAX(1,SUM([2]Apontamento_Montagem!$D$4:$D$13))),0)</f>
        <v>117.93974732750242</v>
      </c>
      <c r="J45" s="146" t="str">
        <f t="shared" si="8"/>
        <v>COMPATÍVEL</v>
      </c>
    </row>
    <row r="46" spans="1:15" x14ac:dyDescent="0.25">
      <c r="A46" s="146" t="s">
        <v>377</v>
      </c>
      <c r="B46" s="146" t="s">
        <v>376</v>
      </c>
      <c r="C46" s="335">
        <f t="shared" si="3"/>
        <v>48544</v>
      </c>
      <c r="D46" s="335">
        <f t="shared" si="4"/>
        <v>0.43343244136108355</v>
      </c>
      <c r="E46" s="335">
        <f t="shared" si="5"/>
        <v>123069</v>
      </c>
      <c r="F46" s="335">
        <f>$B$5*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$23))/MAX(1,SUM([2]Apontamento_Montagem!$D$4:$D$13)))</f>
        <v>48157.200000000004</v>
      </c>
      <c r="G46" s="335">
        <f t="shared" si="6"/>
        <v>386.79999999999563</v>
      </c>
      <c r="H46" s="331">
        <f t="shared" si="7"/>
        <v>8.0320284401916141E-3</v>
      </c>
      <c r="I46" s="335">
        <f>IFERROR(C46/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$23))/MAX(1,SUM([2]Apontamento_Montagem!$D$4:$D$13))),0)</f>
        <v>117.93974732750242</v>
      </c>
      <c r="J46" s="146" t="str">
        <f t="shared" si="8"/>
        <v>COMPATÍVEL</v>
      </c>
    </row>
    <row r="47" spans="1:15" x14ac:dyDescent="0.25">
      <c r="A47" s="146" t="s">
        <v>382</v>
      </c>
      <c r="B47" s="146" t="s">
        <v>506</v>
      </c>
      <c r="C47" s="335">
        <f t="shared" si="3"/>
        <v>33249</v>
      </c>
      <c r="D47" s="335">
        <f t="shared" si="4"/>
        <v>0.43503120543249291</v>
      </c>
      <c r="E47" s="335">
        <f t="shared" si="5"/>
        <v>0</v>
      </c>
      <c r="F47" s="335">
        <f>$B$5*((SUM(256*[2]Apontamento_Montagem!$D$4,256*[2]Apontamento_Montagem!$D$5,256*[2]Apontamento_Montagem!$D$6,256*[2]Apontamento_Montagem!$D$7,0*[2]Apontamento_Montagem!$D$8,0*[2]Apontamento_Montagem!$D$9,0*[2]Apontamento_Montagem!$D$10,0*[2]Apontamento_Montagem!$D$11,0*[2]Apontamento_Montagem!$D$12,0*[2]Apontamento_Montagem!$D$13)*(1+[2]Consumo_Joists!$O$24))/MAX(1,SUM([2]Apontamento_Montagem!$D$4:$D$13)))</f>
        <v>31449.600000000002</v>
      </c>
      <c r="G47" s="335">
        <f t="shared" si="6"/>
        <v>1799.3999999999978</v>
      </c>
      <c r="H47" s="331">
        <f t="shared" si="7"/>
        <v>5.7215354090354019E-2</v>
      </c>
      <c r="I47" s="335">
        <f>IFERROR(C47/((SUM(256*[2]Apontamento_Montagem!$D$4,256*[2]Apontamento_Montagem!$D$5,256*[2]Apontamento_Montagem!$D$6,256*[2]Apontamento_Montagem!$D$7,0*[2]Apontamento_Montagem!$D$8,0*[2]Apontamento_Montagem!$D$9,0*[2]Apontamento_Montagem!$D$10,0*[2]Apontamento_Montagem!$D$11,0*[2]Apontamento_Montagem!$D$12,0*[2]Apontamento_Montagem!$D$13)*(1+[2]Consumo_Joists!$O$24))/MAX(1,SUM([2]Apontamento_Montagem!$D$4:$D$13))),0)</f>
        <v>123.69419642857142</v>
      </c>
      <c r="J47" s="146" t="str">
        <f t="shared" si="8"/>
        <v>EXCESSO</v>
      </c>
    </row>
    <row r="48" spans="1:15" x14ac:dyDescent="0.25">
      <c r="A48" s="146" t="s">
        <v>397</v>
      </c>
      <c r="B48" s="146" t="s">
        <v>396</v>
      </c>
      <c r="C48" s="335">
        <f t="shared" si="3"/>
        <v>500</v>
      </c>
      <c r="D48" s="335">
        <f t="shared" si="4"/>
        <v>0.73313782991202348</v>
      </c>
      <c r="E48" s="335">
        <f t="shared" si="5"/>
        <v>3091</v>
      </c>
      <c r="F48" s="335">
        <f>$B$5*((SUM(8*[2]Apontamento_Montagem!$D$4,8*[2]Apontamento_Montagem!$D$5,8*[2]Apontamento_Montagem!$D$6,8*[2]Apontamento_Montagem!$D$7,0*[2]Apontamento_Montagem!$D$8,0*[2]Apontamento_Montagem!$D$9,0*[2]Apontamento_Montagem!$D$10,0*[2]Apontamento_Montagem!$D$11,0*[2]Apontamento_Montagem!$D$12,0*[2]Apontamento_Montagem!$D$13)*(1+[2]Consumo_Joists!$O$25))/MAX(1,SUM([2]Apontamento_Montagem!$D$4:$D$13)))</f>
        <v>982.80000000000007</v>
      </c>
      <c r="G48" s="335">
        <f t="shared" si="6"/>
        <v>-482.80000000000007</v>
      </c>
      <c r="H48" s="331">
        <f t="shared" si="7"/>
        <v>-0.4912494912494913</v>
      </c>
      <c r="I48" s="335">
        <f>IFERROR(C48/((SUM(8*[2]Apontamento_Montagem!$D$4,8*[2]Apontamento_Montagem!$D$5,8*[2]Apontamento_Montagem!$D$6,8*[2]Apontamento_Montagem!$D$7,0*[2]Apontamento_Montagem!$D$8,0*[2]Apontamento_Montagem!$D$9,0*[2]Apontamento_Montagem!$D$10,0*[2]Apontamento_Montagem!$D$11,0*[2]Apontamento_Montagem!$D$12,0*[2]Apontamento_Montagem!$D$13)*(1+[2]Consumo_Joists!$O$25))/MAX(1,SUM([2]Apontamento_Montagem!$D$4:$D$13))),0)</f>
        <v>59.523809523809518</v>
      </c>
      <c r="J48" s="146" t="str">
        <f t="shared" si="8"/>
        <v>ABAIXO DO TEÓRICO</v>
      </c>
    </row>
    <row r="49" spans="1:10" x14ac:dyDescent="0.25">
      <c r="A49" s="146"/>
      <c r="B49" s="146"/>
      <c r="C49" s="146"/>
      <c r="D49" s="146"/>
      <c r="E49" s="146"/>
      <c r="F49" s="146"/>
      <c r="G49" s="146"/>
      <c r="H49" s="146"/>
      <c r="I49" s="146"/>
      <c r="J49" s="146"/>
    </row>
    <row r="50" spans="1:10" x14ac:dyDescent="0.25">
      <c r="A50" s="146"/>
      <c r="B50" s="146"/>
      <c r="C50" s="146"/>
      <c r="D50" s="146"/>
      <c r="E50" s="146"/>
      <c r="F50" s="146"/>
      <c r="G50" s="146"/>
      <c r="H50" s="146"/>
      <c r="I50" s="146"/>
      <c r="J50" s="146"/>
    </row>
    <row r="51" spans="1:10" ht="18.75" x14ac:dyDescent="0.25">
      <c r="A51" s="410" t="s">
        <v>2122</v>
      </c>
      <c r="B51" s="410"/>
      <c r="C51" s="410"/>
      <c r="D51" s="410"/>
      <c r="E51" s="410"/>
      <c r="F51" s="410"/>
      <c r="G51" s="410"/>
      <c r="H51" s="410"/>
      <c r="I51" s="410"/>
      <c r="J51" s="410"/>
    </row>
    <row r="52" spans="1:10" ht="30" x14ac:dyDescent="0.25">
      <c r="A52" s="328" t="s">
        <v>102</v>
      </c>
      <c r="B52" s="328" t="s">
        <v>1400</v>
      </c>
      <c r="C52" s="328" t="s">
        <v>2116</v>
      </c>
      <c r="D52" s="328" t="s">
        <v>2117</v>
      </c>
      <c r="E52" s="328" t="s">
        <v>2114</v>
      </c>
      <c r="F52" s="328" t="s">
        <v>2118</v>
      </c>
      <c r="G52" s="328" t="s">
        <v>2119</v>
      </c>
      <c r="H52" s="328" t="s">
        <v>2120</v>
      </c>
      <c r="I52" s="328" t="s">
        <v>2121</v>
      </c>
      <c r="J52" s="328" t="s">
        <v>16</v>
      </c>
    </row>
    <row r="53" spans="1:10" x14ac:dyDescent="0.25">
      <c r="A53" s="146" t="s">
        <v>412</v>
      </c>
      <c r="B53" s="146" t="s">
        <v>410</v>
      </c>
      <c r="C53" s="335">
        <f t="shared" ref="C53:C58" si="9">IFERROR(SUMIF($A$11:$A$38,A53,$E$11:$E$38),0)</f>
        <v>2599</v>
      </c>
      <c r="D53" s="335">
        <f t="shared" ref="D53:D58" si="10">IFERROR(SUMIF($A$11:$A$38,A53,$F$11:$F$38),0)</f>
        <v>0.57108327840035156</v>
      </c>
      <c r="E53" s="335">
        <f t="shared" ref="E53:E58" si="11">IFERROR(SUMIF($A$11:$A$38,A53,$H$11:$H$38),0)</f>
        <v>5024</v>
      </c>
      <c r="F53" s="335">
        <f>$B$6*((SUM(16*[2]Apontamento_Montagem!$D$4,16*[2]Apontamento_Montagem!$D$5,16*[2]Apontamento_Montagem!$D$6,16*[2]Apontamento_Montagem!$D$7,0*[2]Apontamento_Montagem!$D$8,0*[2]Apontamento_Montagem!$D$9,0*[2]Apontamento_Montagem!$D$10,0*[2]Apontamento_Montagem!$D$11,0*[2]Apontamento_Montagem!$D$12,0*[2]Apontamento_Montagem!$D$13)*(1+[2]Consumo_Joists!$O$20))/MAX(1,SUM([2]Apontamento_Montagem!$D$4:$D$13)))</f>
        <v>2671.2000000000003</v>
      </c>
      <c r="G53" s="335">
        <f t="shared" ref="G53:G58" si="12">C53-F53</f>
        <v>-72.200000000000273</v>
      </c>
      <c r="H53" s="331">
        <f t="shared" ref="H53:H58" si="13">IFERROR(G53/F53,0)</f>
        <v>-2.7029050613956374E-2</v>
      </c>
      <c r="I53" s="335">
        <f>IFERROR(C53/((SUM(16*[2]Apontamento_Montagem!$D$4,16*[2]Apontamento_Montagem!$D$5,16*[2]Apontamento_Montagem!$D$6,16*[2]Apontamento_Montagem!$D$7,0*[2]Apontamento_Montagem!$D$8,0*[2]Apontamento_Montagem!$D$9,0*[2]Apontamento_Montagem!$D$10,0*[2]Apontamento_Montagem!$D$11,0*[2]Apontamento_Montagem!$D$12,0*[2]Apontamento_Montagem!$D$13)*(1+[2]Consumo_Joists!$O$20))/MAX(1,SUM([2]Apontamento_Montagem!$D$4:$D$13))),0)</f>
        <v>154.70238095238093</v>
      </c>
      <c r="J53" s="146" t="str">
        <f t="shared" ref="J53:J58" si="14">IF(C53=0,"SEM SAÍDA",IF(G53&gt;MAX(1,F53*0.05),"EXCESSO",IF(G53&lt;-MAX(1,F53*0.05),"ABAIXO DO TEÓRICO","COMPATÍVEL")))</f>
        <v>COMPATÍVEL</v>
      </c>
    </row>
    <row r="54" spans="1:10" x14ac:dyDescent="0.25">
      <c r="A54" s="146" t="s">
        <v>415</v>
      </c>
      <c r="B54" s="146" t="s">
        <v>414</v>
      </c>
      <c r="C54" s="335">
        <f t="shared" si="9"/>
        <v>61349</v>
      </c>
      <c r="D54" s="335">
        <f t="shared" si="10"/>
        <v>0.56957571256150774</v>
      </c>
      <c r="E54" s="335">
        <f t="shared" si="11"/>
        <v>118046</v>
      </c>
      <c r="F54" s="335">
        <f>$B$6*((SUM(376*[2]Apontamento_Montagem!$D$4,376*[2]Apontamento_Montagem!$D$5,376*[2]Apontamento_Montagem!$D$6,376*[2]Apontamento_Montagem!$D$7,0*[2]Apontamento_Montagem!$D$8,0*[2]Apontamento_Montagem!$D$9,0*[2]Apontamento_Montagem!$D$10,0*[2]Apontamento_Montagem!$D$11,0*[2]Apontamento_Montagem!$D$12,0*[2]Apontamento_Montagem!$D$13)*(1+[2]Consumo_Joists!$O$21))/MAX(1,SUM([2]Apontamento_Montagem!$D$4:$D$13)))</f>
        <v>62773.200000000012</v>
      </c>
      <c r="G54" s="335">
        <f t="shared" si="12"/>
        <v>-1424.2000000000116</v>
      </c>
      <c r="H54" s="331">
        <f t="shared" si="13"/>
        <v>-2.2688026100310506E-2</v>
      </c>
      <c r="I54" s="335">
        <f>IFERROR(C54/((SUM(376*[2]Apontamento_Montagem!$D$4,376*[2]Apontamento_Montagem!$D$5,376*[2]Apontamento_Montagem!$D$6,376*[2]Apontamento_Montagem!$D$7,0*[2]Apontamento_Montagem!$D$8,0*[2]Apontamento_Montagem!$D$9,0*[2]Apontamento_Montagem!$D$10,0*[2]Apontamento_Montagem!$D$11,0*[2]Apontamento_Montagem!$D$12,0*[2]Apontamento_Montagem!$D$13)*(1+[2]Consumo_Joists!$O$21))/MAX(1,SUM([2]Apontamento_Montagem!$D$4:$D$13))),0)</f>
        <v>155.39260385005062</v>
      </c>
      <c r="J54" s="146" t="str">
        <f t="shared" si="14"/>
        <v>COMPATÍVEL</v>
      </c>
    </row>
    <row r="55" spans="1:10" x14ac:dyDescent="0.25">
      <c r="A55" s="146" t="s">
        <v>431</v>
      </c>
      <c r="B55" s="146" t="s">
        <v>430</v>
      </c>
      <c r="C55" s="335">
        <f t="shared" si="9"/>
        <v>63175</v>
      </c>
      <c r="D55" s="335">
        <f t="shared" si="10"/>
        <v>0.56548125206992539</v>
      </c>
      <c r="E55" s="335">
        <f t="shared" si="11"/>
        <v>123069</v>
      </c>
      <c r="F55" s="335">
        <f>$B$6*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$22))/MAX(1,SUM([2]Apontamento_Montagem!$D$4:$D$13)))</f>
        <v>65444.4</v>
      </c>
      <c r="G55" s="335">
        <f t="shared" si="12"/>
        <v>-2269.4000000000015</v>
      </c>
      <c r="H55" s="331">
        <f t="shared" si="13"/>
        <v>-3.4676763787275938E-2</v>
      </c>
      <c r="I55" s="335">
        <f>IFERROR(C55/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$22))/MAX(1,SUM([2]Apontamento_Montagem!$D$4:$D$13))),0)</f>
        <v>153.48639455782313</v>
      </c>
      <c r="J55" s="146" t="str">
        <f t="shared" si="14"/>
        <v>COMPATÍVEL</v>
      </c>
    </row>
    <row r="56" spans="1:10" x14ac:dyDescent="0.25">
      <c r="A56" s="146" t="s">
        <v>377</v>
      </c>
      <c r="B56" s="146" t="s">
        <v>376</v>
      </c>
      <c r="C56" s="335">
        <f t="shared" si="9"/>
        <v>63455</v>
      </c>
      <c r="D56" s="335">
        <f t="shared" si="10"/>
        <v>0.56656755863891639</v>
      </c>
      <c r="E56" s="335">
        <f t="shared" si="11"/>
        <v>123069</v>
      </c>
      <c r="F56" s="335">
        <f>$B$6*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$23))/MAX(1,SUM([2]Apontamento_Montagem!$D$4:$D$13)))</f>
        <v>65444.4</v>
      </c>
      <c r="G56" s="335">
        <f t="shared" si="12"/>
        <v>-1989.4000000000015</v>
      </c>
      <c r="H56" s="331">
        <f t="shared" si="13"/>
        <v>-3.039832285115306E-2</v>
      </c>
      <c r="I56" s="335">
        <f>IFERROR(C56/((SUM(392*[2]Apontamento_Montagem!$D$4,392*[2]Apontamento_Montagem!$D$5,392*[2]Apontamento_Montagem!$D$6,392*[2]Apontamento_Montagem!$D$7,0*[2]Apontamento_Montagem!$D$8,0*[2]Apontamento_Montagem!$D$9,0*[2]Apontamento_Montagem!$D$10,0*[2]Apontamento_Montagem!$D$11,0*[2]Apontamento_Montagem!$D$12,0*[2]Apontamento_Montagem!$D$13)*(1+[2]Consumo_Joists!$O$23))/MAX(1,SUM([2]Apontamento_Montagem!$D$4:$D$13))),0)</f>
        <v>154.16666666666666</v>
      </c>
      <c r="J56" s="146" t="str">
        <f t="shared" si="14"/>
        <v>COMPATÍVEL</v>
      </c>
    </row>
    <row r="57" spans="1:10" x14ac:dyDescent="0.25">
      <c r="A57" s="146" t="s">
        <v>382</v>
      </c>
      <c r="B57" s="146" t="s">
        <v>506</v>
      </c>
      <c r="C57" s="335">
        <f t="shared" si="9"/>
        <v>43180</v>
      </c>
      <c r="D57" s="335">
        <f t="shared" si="10"/>
        <v>0.56496879456750715</v>
      </c>
      <c r="E57" s="335">
        <f t="shared" si="11"/>
        <v>0</v>
      </c>
      <c r="F57" s="335">
        <f>$B$6*((SUM(256*[2]Apontamento_Montagem!$D$4,256*[2]Apontamento_Montagem!$D$5,256*[2]Apontamento_Montagem!$D$6,256*[2]Apontamento_Montagem!$D$7,0*[2]Apontamento_Montagem!$D$8,0*[2]Apontamento_Montagem!$D$9,0*[2]Apontamento_Montagem!$D$10,0*[2]Apontamento_Montagem!$D$11,0*[2]Apontamento_Montagem!$D$12,0*[2]Apontamento_Montagem!$D$13)*(1+[2]Consumo_Joists!$O$24))/MAX(1,SUM([2]Apontamento_Montagem!$D$4:$D$13)))</f>
        <v>42739.200000000004</v>
      </c>
      <c r="G57" s="335">
        <f t="shared" si="12"/>
        <v>440.79999999999563</v>
      </c>
      <c r="H57" s="331">
        <f t="shared" si="13"/>
        <v>1.0313716681641107E-2</v>
      </c>
      <c r="I57" s="335">
        <f>IFERROR(C57/((SUM(256*[2]Apontamento_Montagem!$D$4,256*[2]Apontamento_Montagem!$D$5,256*[2]Apontamento_Montagem!$D$6,256*[2]Apontamento_Montagem!$D$7,0*[2]Apontamento_Montagem!$D$8,0*[2]Apontamento_Montagem!$D$9,0*[2]Apontamento_Montagem!$D$10,0*[2]Apontamento_Montagem!$D$11,0*[2]Apontamento_Montagem!$D$12,0*[2]Apontamento_Montagem!$D$13)*(1+[2]Consumo_Joists!$O$24))/MAX(1,SUM([2]Apontamento_Montagem!$D$4:$D$13))),0)</f>
        <v>160.63988095238093</v>
      </c>
      <c r="J57" s="146" t="str">
        <f t="shared" si="14"/>
        <v>COMPATÍVEL</v>
      </c>
    </row>
    <row r="58" spans="1:10" x14ac:dyDescent="0.25">
      <c r="A58" s="146" t="s">
        <v>397</v>
      </c>
      <c r="B58" s="146" t="s">
        <v>396</v>
      </c>
      <c r="C58" s="335">
        <f t="shared" si="9"/>
        <v>182</v>
      </c>
      <c r="D58" s="335">
        <f t="shared" si="10"/>
        <v>0.26686217008797652</v>
      </c>
      <c r="E58" s="335">
        <f t="shared" si="11"/>
        <v>3091</v>
      </c>
      <c r="F58" s="335">
        <f>$B$6*((SUM(8*[2]Apontamento_Montagem!$D$4,8*[2]Apontamento_Montagem!$D$5,8*[2]Apontamento_Montagem!$D$6,8*[2]Apontamento_Montagem!$D$7,0*[2]Apontamento_Montagem!$D$8,0*[2]Apontamento_Montagem!$D$9,0*[2]Apontamento_Montagem!$D$10,0*[2]Apontamento_Montagem!$D$11,0*[2]Apontamento_Montagem!$D$12,0*[2]Apontamento_Montagem!$D$13)*(1+[2]Consumo_Joists!$O$25))/MAX(1,SUM([2]Apontamento_Montagem!$D$4:$D$13)))</f>
        <v>1335.6000000000001</v>
      </c>
      <c r="G58" s="335">
        <f t="shared" si="12"/>
        <v>-1153.6000000000001</v>
      </c>
      <c r="H58" s="331">
        <f t="shared" si="13"/>
        <v>-0.86373165618448644</v>
      </c>
      <c r="I58" s="335">
        <f>IFERROR(C58/((SUM(8*[2]Apontamento_Montagem!$D$4,8*[2]Apontamento_Montagem!$D$5,8*[2]Apontamento_Montagem!$D$6,8*[2]Apontamento_Montagem!$D$7,0*[2]Apontamento_Montagem!$D$8,0*[2]Apontamento_Montagem!$D$9,0*[2]Apontamento_Montagem!$D$10,0*[2]Apontamento_Montagem!$D$11,0*[2]Apontamento_Montagem!$D$12,0*[2]Apontamento_Montagem!$D$13)*(1+[2]Consumo_Joists!$O$25))/MAX(1,SUM([2]Apontamento_Montagem!$D$4:$D$13))),0)</f>
        <v>21.666666666666664</v>
      </c>
      <c r="J58" s="146" t="str">
        <f t="shared" si="14"/>
        <v>ABAIXO DO TEÓRICO</v>
      </c>
    </row>
    <row r="59" spans="1:10" x14ac:dyDescent="0.25">
      <c r="A59" s="146"/>
      <c r="B59" s="146"/>
      <c r="C59" s="146"/>
      <c r="D59" s="146"/>
      <c r="E59" s="146"/>
      <c r="F59" s="146"/>
      <c r="G59" s="146"/>
      <c r="H59" s="146"/>
      <c r="I59" s="146"/>
      <c r="J59" s="146"/>
    </row>
    <row r="60" spans="1:10" x14ac:dyDescent="0.25">
      <c r="A60" s="146"/>
      <c r="B60" s="146"/>
      <c r="C60" s="146"/>
      <c r="D60" s="146"/>
      <c r="E60" s="146"/>
      <c r="F60" s="146"/>
      <c r="G60" s="146"/>
      <c r="H60" s="146"/>
      <c r="I60" s="146"/>
      <c r="J60" s="146"/>
    </row>
    <row r="61" spans="1:10" ht="45" x14ac:dyDescent="0.25">
      <c r="A61" s="328" t="s">
        <v>2123</v>
      </c>
      <c r="B61" s="328" t="s">
        <v>2124</v>
      </c>
      <c r="C61" s="328" t="s">
        <v>2125</v>
      </c>
      <c r="D61" s="328" t="s">
        <v>2126</v>
      </c>
      <c r="E61" s="328" t="s">
        <v>2116</v>
      </c>
      <c r="F61" s="328" t="s">
        <v>2118</v>
      </c>
      <c r="G61" s="328" t="s">
        <v>2127</v>
      </c>
      <c r="H61" s="146"/>
      <c r="I61" s="146"/>
      <c r="J61" s="146"/>
    </row>
    <row r="62" spans="1:10" ht="45" x14ac:dyDescent="0.25">
      <c r="A62" s="146" t="s">
        <v>437</v>
      </c>
      <c r="B62" s="146">
        <f>$B$5</f>
        <v>117</v>
      </c>
      <c r="C62" s="146">
        <f ca="1">IFERROR(_xludf.AGGREGATE(15,6,I43:I48/(I43:I48&gt;0),1),0)</f>
        <v>0</v>
      </c>
      <c r="D62" s="146">
        <f ca="1">C62-B62</f>
        <v>-117</v>
      </c>
      <c r="E62" s="146">
        <f>SUM(C43:C48)</f>
        <v>179150</v>
      </c>
      <c r="F62" s="146">
        <f>SUM(F43:F48)</f>
        <v>178635.30566037737</v>
      </c>
      <c r="G62" s="146" t="str">
        <f ca="1">IF(D62&gt;0.5,"MATERIAL PARA MAIS JOISTS",IF(D62&lt;-0.5,"CONSUMO ACIMA DA CAPACIDADE","COMPATÍVEL"))</f>
        <v>CONSUMO ACIMA DA CAPACIDADE</v>
      </c>
      <c r="H62" s="146"/>
      <c r="I62" s="146"/>
      <c r="J62" s="146"/>
    </row>
    <row r="63" spans="1:10" ht="45" x14ac:dyDescent="0.25">
      <c r="A63" s="146" t="s">
        <v>438</v>
      </c>
      <c r="B63" s="146">
        <f>$B$6</f>
        <v>159</v>
      </c>
      <c r="C63" s="146">
        <f ca="1">IFERROR(_xludf.AGGREGATE(15,6,I53:I58/(I53:I58&gt;0),1),0)</f>
        <v>0</v>
      </c>
      <c r="D63" s="146">
        <f ca="1">C63-B63</f>
        <v>-159</v>
      </c>
      <c r="E63" s="146">
        <f>SUM(C53:C58)</f>
        <v>233940</v>
      </c>
      <c r="F63" s="146">
        <f>SUM(F53:F58)</f>
        <v>240408.00000000003</v>
      </c>
      <c r="G63" s="146" t="str">
        <f ca="1">IF(D63&gt;0.5,"MATERIAL PARA MAIS JOISTS",IF(D63&lt;-0.5,"CONSUMO ACIMA DA CAPACIDADE","COMPATÍVEL"))</f>
        <v>CONSUMO ACIMA DA CAPACIDADE</v>
      </c>
      <c r="H63" s="146"/>
      <c r="I63" s="146"/>
      <c r="J63" s="146"/>
    </row>
    <row r="64" spans="1:10" x14ac:dyDescent="0.25">
      <c r="A64" s="146"/>
      <c r="B64" s="146"/>
      <c r="C64" s="146"/>
      <c r="D64" s="146"/>
      <c r="E64" s="146"/>
      <c r="F64" s="146"/>
      <c r="G64" s="146"/>
      <c r="H64" s="146"/>
      <c r="I64" s="146"/>
      <c r="J64" s="146"/>
    </row>
    <row r="65" spans="1:10" x14ac:dyDescent="0.25">
      <c r="A65" s="409" t="s">
        <v>2128</v>
      </c>
      <c r="B65" s="409"/>
      <c r="C65" s="409"/>
      <c r="D65" s="409"/>
      <c r="E65" s="409"/>
      <c r="F65" s="409"/>
      <c r="G65" s="409"/>
      <c r="H65" s="409"/>
      <c r="I65" s="409"/>
      <c r="J65" s="409"/>
    </row>
  </sheetData>
  <mergeCells count="6">
    <mergeCell ref="A65:J65"/>
    <mergeCell ref="A1:J1"/>
    <mergeCell ref="A2:J2"/>
    <mergeCell ref="A38:O38"/>
    <mergeCell ref="A41:J41"/>
    <mergeCell ref="A51:J51"/>
  </mergeCells>
  <conditionalFormatting sqref="I12:I35">
    <cfRule type="cellIs" dxfId="66" priority="1" operator="lessThan">
      <formula>0.85</formula>
    </cfRule>
    <cfRule type="cellIs" dxfId="65" priority="2" operator="between">
      <formula>0.85</formula>
    </cfRule>
    <cfRule type="cellIs" dxfId="64" priority="3" operator="greaterThanOrEqual">
      <formula>0.95</formula>
    </cfRule>
  </conditionalFormatting>
  <conditionalFormatting sqref="J12:J35">
    <cfRule type="cellIs" dxfId="63" priority="4" operator="lessThan">
      <formula>0.85</formula>
    </cfRule>
    <cfRule type="cellIs" dxfId="62" priority="5" operator="between">
      <formula>0.85</formula>
    </cfRule>
    <cfRule type="cellIs" dxfId="61" priority="6" operator="greaterThanOrEqual">
      <formula>0.95</formula>
    </cfRule>
  </conditionalFormatting>
  <conditionalFormatting sqref="L12:L35">
    <cfRule type="expression" dxfId="60" priority="7">
      <formula>L12="CRÍTICO"</formula>
    </cfRule>
    <cfRule type="expression" dxfId="59" priority="8">
      <formula>L12="ATENÇÃO"</formula>
    </cfRule>
    <cfRule type="expression" dxfId="58" priority="9">
      <formula>L12="COMPATÍVEL"</formula>
    </cfRule>
  </conditionalFormatting>
  <conditionalFormatting sqref="M12:M35">
    <cfRule type="expression" dxfId="57" priority="10">
      <formula>M12="CRÍTICO"</formula>
    </cfRule>
    <cfRule type="expression" dxfId="56" priority="11">
      <formula>M12="ATENÇÃO"</formula>
    </cfRule>
    <cfRule type="expression" dxfId="55" priority="12">
      <formula>M12="COMPATÍVEL"</formula>
    </cfRule>
  </conditionalFormatting>
  <conditionalFormatting sqref="J43:J48 J53:J58">
    <cfRule type="expression" dxfId="54" priority="13">
      <formula>J43="EXCESSO"</formula>
    </cfRule>
    <cfRule type="expression" dxfId="53" priority="14">
      <formula>J43="COMPATÍVEL"</formula>
    </cfRule>
    <cfRule type="expression" dxfId="52" priority="15">
      <formula>J43="ABAIXO DO TEÓRICO"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3"/>
  <dimension ref="A1:O63"/>
  <sheetViews>
    <sheetView showGridLines="0" workbookViewId="0">
      <selection activeCell="P1" sqref="P1"/>
    </sheetView>
  </sheetViews>
  <sheetFormatPr defaultColWidth="8.5703125" defaultRowHeight="15" x14ac:dyDescent="0.25"/>
  <cols>
    <col min="1" max="1" width="12" customWidth="1"/>
    <col min="2" max="2" width="30" customWidth="1"/>
    <col min="3" max="3" width="22" customWidth="1"/>
    <col min="4" max="4" width="14" customWidth="1"/>
    <col min="5" max="9" width="12" customWidth="1"/>
    <col min="10" max="10" width="24" customWidth="1"/>
    <col min="11" max="12" width="13.28515625" hidden="1" customWidth="1"/>
    <col min="13" max="13" width="0.140625" customWidth="1"/>
    <col min="14" max="14" width="15" hidden="1" customWidth="1"/>
    <col min="15" max="15" width="42" hidden="1" customWidth="1"/>
  </cols>
  <sheetData>
    <row r="1" spans="1:15" ht="27.95" customHeight="1" x14ac:dyDescent="0.25">
      <c r="A1" s="413" t="s">
        <v>507</v>
      </c>
      <c r="B1" s="413"/>
      <c r="C1" s="413"/>
      <c r="D1" s="413"/>
      <c r="E1" s="413"/>
      <c r="F1" s="413"/>
      <c r="G1" s="413"/>
      <c r="H1" s="413"/>
      <c r="I1" s="413"/>
      <c r="J1" s="413"/>
      <c r="K1" s="393"/>
      <c r="L1" s="393"/>
      <c r="M1" s="393"/>
      <c r="N1" s="393"/>
      <c r="O1" s="393"/>
    </row>
    <row r="2" spans="1:15" ht="27.95" customHeight="1" x14ac:dyDescent="0.25">
      <c r="A2" s="414" t="s">
        <v>508</v>
      </c>
      <c r="B2" s="414"/>
      <c r="C2" s="414"/>
      <c r="D2" s="414"/>
      <c r="E2" s="414"/>
      <c r="F2" s="414"/>
      <c r="G2" s="414"/>
      <c r="H2" s="414"/>
      <c r="I2" s="414"/>
      <c r="J2" s="414"/>
    </row>
    <row r="3" spans="1:15" ht="36.75" customHeight="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 t="s">
        <v>509</v>
      </c>
      <c r="O3" s="111" t="s">
        <v>53</v>
      </c>
    </row>
    <row r="4" spans="1:15" ht="24" customHeight="1" x14ac:dyDescent="0.25">
      <c r="A4" s="161" t="s">
        <v>510</v>
      </c>
      <c r="B4" s="161" t="s">
        <v>511</v>
      </c>
      <c r="C4" s="161" t="s">
        <v>100</v>
      </c>
      <c r="D4" s="161" t="s">
        <v>512</v>
      </c>
      <c r="E4" s="161" t="s">
        <v>513</v>
      </c>
      <c r="F4" s="161" t="s">
        <v>514</v>
      </c>
      <c r="G4" s="161" t="s">
        <v>515</v>
      </c>
      <c r="H4" s="161" t="s">
        <v>516</v>
      </c>
      <c r="I4" s="161" t="s">
        <v>45</v>
      </c>
      <c r="J4" s="161" t="s">
        <v>517</v>
      </c>
      <c r="K4" s="83"/>
      <c r="L4" s="83"/>
      <c r="M4" s="83"/>
      <c r="N4" s="83" t="e">
        <f>MAX(#REF!-#REF!,0)</f>
        <v>#REF!</v>
      </c>
      <c r="O4" s="83" t="s">
        <v>518</v>
      </c>
    </row>
    <row r="5" spans="1:15" ht="20.100000000000001" customHeight="1" x14ac:dyDescent="0.25">
      <c r="A5" s="89" t="s">
        <v>384</v>
      </c>
      <c r="B5" s="83" t="s">
        <v>383</v>
      </c>
      <c r="C5" s="83" t="s">
        <v>367</v>
      </c>
      <c r="D5" s="89" t="s">
        <v>519</v>
      </c>
      <c r="E5" s="162">
        <v>0</v>
      </c>
      <c r="F5" s="162">
        <v>0</v>
      </c>
      <c r="G5" s="162">
        <v>0</v>
      </c>
      <c r="H5" s="162">
        <v>0</v>
      </c>
      <c r="I5" s="162">
        <v>1458</v>
      </c>
      <c r="J5" s="83" t="s">
        <v>520</v>
      </c>
      <c r="K5" s="83"/>
      <c r="L5" s="83"/>
      <c r="M5" s="83"/>
      <c r="N5" s="83" t="e">
        <f>MAX(#REF!-#REF!,0)</f>
        <v>#REF!</v>
      </c>
      <c r="O5" s="83" t="s">
        <v>518</v>
      </c>
    </row>
    <row r="6" spans="1:15" ht="20.100000000000001" customHeight="1" x14ac:dyDescent="0.25">
      <c r="A6" s="89" t="s">
        <v>387</v>
      </c>
      <c r="B6" s="83" t="s">
        <v>386</v>
      </c>
      <c r="C6" s="83" t="s">
        <v>371</v>
      </c>
      <c r="D6" s="89" t="s">
        <v>519</v>
      </c>
      <c r="E6" s="162">
        <v>0</v>
      </c>
      <c r="F6" s="162">
        <v>0</v>
      </c>
      <c r="G6" s="162">
        <v>0</v>
      </c>
      <c r="H6" s="162">
        <v>0</v>
      </c>
      <c r="I6" s="162">
        <v>1632</v>
      </c>
      <c r="J6" s="83" t="s">
        <v>520</v>
      </c>
      <c r="K6" s="83"/>
      <c r="L6" s="83"/>
      <c r="M6" s="83"/>
      <c r="N6" s="83" t="e">
        <f>MAX(#REF!-#REF!,0)</f>
        <v>#REF!</v>
      </c>
      <c r="O6" s="83" t="s">
        <v>518</v>
      </c>
    </row>
    <row r="7" spans="1:15" ht="20.100000000000001" customHeight="1" x14ac:dyDescent="0.25">
      <c r="A7" s="89" t="s">
        <v>389</v>
      </c>
      <c r="B7" s="83" t="s">
        <v>388</v>
      </c>
      <c r="C7" s="83" t="s">
        <v>371</v>
      </c>
      <c r="D7" s="89" t="s">
        <v>519</v>
      </c>
      <c r="E7" s="162">
        <v>0</v>
      </c>
      <c r="F7" s="162">
        <v>0</v>
      </c>
      <c r="G7" s="162">
        <v>0</v>
      </c>
      <c r="H7" s="162">
        <v>0</v>
      </c>
      <c r="I7" s="162">
        <v>1800</v>
      </c>
      <c r="J7" s="83" t="s">
        <v>520</v>
      </c>
      <c r="K7" s="83"/>
      <c r="L7" s="83"/>
      <c r="M7" s="83"/>
      <c r="N7" s="83" t="e">
        <f>MAX(#REF!-#REF!,0)</f>
        <v>#REF!</v>
      </c>
      <c r="O7" s="83" t="s">
        <v>518</v>
      </c>
    </row>
    <row r="8" spans="1:15" ht="20.100000000000001" customHeight="1" x14ac:dyDescent="0.25">
      <c r="A8" s="89" t="s">
        <v>391</v>
      </c>
      <c r="B8" s="83" t="s">
        <v>390</v>
      </c>
      <c r="C8" s="83" t="s">
        <v>371</v>
      </c>
      <c r="D8" s="89" t="s">
        <v>519</v>
      </c>
      <c r="E8" s="162">
        <v>0</v>
      </c>
      <c r="F8" s="162">
        <v>0</v>
      </c>
      <c r="G8" s="162">
        <v>0</v>
      </c>
      <c r="H8" s="162">
        <v>0</v>
      </c>
      <c r="I8" s="162">
        <v>5088</v>
      </c>
      <c r="J8" s="83" t="s">
        <v>520</v>
      </c>
      <c r="K8" s="83"/>
      <c r="L8" s="83"/>
      <c r="M8" s="83"/>
      <c r="N8" s="83" t="e">
        <f>MAX(#REF!-#REF!,0)</f>
        <v>#REF!</v>
      </c>
      <c r="O8" s="83" t="s">
        <v>518</v>
      </c>
    </row>
    <row r="9" spans="1:15" ht="20.100000000000001" customHeight="1" x14ac:dyDescent="0.25">
      <c r="A9" s="89" t="s">
        <v>397</v>
      </c>
      <c r="B9" s="83" t="s">
        <v>396</v>
      </c>
      <c r="C9" s="83" t="s">
        <v>378</v>
      </c>
      <c r="D9" s="89" t="s">
        <v>519</v>
      </c>
      <c r="E9" s="162">
        <v>0</v>
      </c>
      <c r="F9" s="162">
        <v>0</v>
      </c>
      <c r="G9" s="162">
        <v>0</v>
      </c>
      <c r="H9" s="162">
        <v>0</v>
      </c>
      <c r="I9" s="162">
        <v>2918</v>
      </c>
      <c r="J9" s="83" t="s">
        <v>520</v>
      </c>
      <c r="K9" s="83"/>
      <c r="L9" s="83"/>
      <c r="M9" s="83"/>
      <c r="N9" s="83"/>
      <c r="O9" s="83"/>
    </row>
    <row r="10" spans="1:15" ht="20.100000000000001" customHeight="1" x14ac:dyDescent="0.25">
      <c r="A10" s="89" t="s">
        <v>399</v>
      </c>
      <c r="B10" s="83" t="s">
        <v>398</v>
      </c>
      <c r="C10" s="83" t="s">
        <v>378</v>
      </c>
      <c r="D10" s="89" t="s">
        <v>519</v>
      </c>
      <c r="E10" s="162">
        <v>0</v>
      </c>
      <c r="F10" s="162">
        <v>0</v>
      </c>
      <c r="G10" s="162">
        <v>0</v>
      </c>
      <c r="H10" s="162">
        <v>0</v>
      </c>
      <c r="I10" s="162">
        <v>864</v>
      </c>
      <c r="J10" s="83" t="s">
        <v>520</v>
      </c>
      <c r="K10" s="83"/>
      <c r="L10" s="83"/>
      <c r="M10" s="83"/>
      <c r="N10" s="83"/>
      <c r="O10" s="83"/>
    </row>
    <row r="11" spans="1:15" ht="20.100000000000001" customHeight="1" x14ac:dyDescent="0.25">
      <c r="A11" s="89" t="s">
        <v>401</v>
      </c>
      <c r="B11" s="83" t="s">
        <v>400</v>
      </c>
      <c r="C11" s="83" t="s">
        <v>378</v>
      </c>
      <c r="D11" s="89" t="s">
        <v>519</v>
      </c>
      <c r="E11" s="162">
        <v>0</v>
      </c>
      <c r="F11" s="162">
        <v>0</v>
      </c>
      <c r="G11" s="162">
        <v>0</v>
      </c>
      <c r="H11" s="162">
        <v>0</v>
      </c>
      <c r="I11" s="162">
        <v>3608</v>
      </c>
      <c r="J11" s="83" t="s">
        <v>520</v>
      </c>
      <c r="K11" s="83"/>
      <c r="L11" s="83"/>
      <c r="M11" s="83"/>
      <c r="N11" s="83"/>
      <c r="O11" s="83"/>
    </row>
    <row r="12" spans="1:15" ht="20.100000000000001" customHeight="1" x14ac:dyDescent="0.25">
      <c r="A12" s="89" t="s">
        <v>403</v>
      </c>
      <c r="B12" s="83" t="s">
        <v>402</v>
      </c>
      <c r="C12" s="83" t="s">
        <v>378</v>
      </c>
      <c r="D12" s="89" t="s">
        <v>519</v>
      </c>
      <c r="E12" s="162">
        <v>0</v>
      </c>
      <c r="F12" s="162">
        <v>0</v>
      </c>
      <c r="G12" s="162">
        <v>0</v>
      </c>
      <c r="H12" s="162">
        <v>0</v>
      </c>
      <c r="I12" s="162">
        <v>1294</v>
      </c>
      <c r="J12" s="83" t="s">
        <v>520</v>
      </c>
      <c r="K12" s="83"/>
      <c r="L12" s="83"/>
      <c r="M12" s="83"/>
      <c r="N12" s="83"/>
      <c r="O12" s="83"/>
    </row>
    <row r="13" spans="1:15" ht="20.100000000000001" customHeight="1" x14ac:dyDescent="0.25">
      <c r="A13" s="89" t="s">
        <v>405</v>
      </c>
      <c r="B13" s="83" t="s">
        <v>404</v>
      </c>
      <c r="C13" s="83" t="s">
        <v>378</v>
      </c>
      <c r="D13" s="89" t="s">
        <v>519</v>
      </c>
      <c r="E13" s="162">
        <v>0</v>
      </c>
      <c r="F13" s="162">
        <v>0</v>
      </c>
      <c r="G13" s="162">
        <v>0</v>
      </c>
      <c r="H13" s="162">
        <v>0</v>
      </c>
      <c r="I13" s="162">
        <v>2280</v>
      </c>
      <c r="J13" s="83" t="s">
        <v>520</v>
      </c>
      <c r="K13" s="83"/>
      <c r="L13" s="83"/>
      <c r="M13" s="83"/>
      <c r="N13" s="83"/>
      <c r="O13" s="83"/>
    </row>
    <row r="14" spans="1:15" ht="20.100000000000001" customHeight="1" x14ac:dyDescent="0.25">
      <c r="A14" s="89" t="s">
        <v>408</v>
      </c>
      <c r="B14" s="83" t="s">
        <v>407</v>
      </c>
      <c r="C14" s="83" t="s">
        <v>378</v>
      </c>
      <c r="D14" s="89" t="s">
        <v>519</v>
      </c>
      <c r="E14" s="162">
        <v>0</v>
      </c>
      <c r="F14" s="162">
        <v>0</v>
      </c>
      <c r="G14" s="162">
        <v>0</v>
      </c>
      <c r="H14" s="162">
        <v>0</v>
      </c>
      <c r="I14" s="162">
        <v>6</v>
      </c>
      <c r="J14" s="83" t="s">
        <v>520</v>
      </c>
      <c r="K14" s="83"/>
      <c r="L14" s="83"/>
      <c r="M14" s="83"/>
      <c r="N14" s="83"/>
      <c r="O14" s="83"/>
    </row>
    <row r="15" spans="1:15" ht="20.100000000000001" customHeight="1" x14ac:dyDescent="0.25">
      <c r="A15" s="89" t="s">
        <v>411</v>
      </c>
      <c r="B15" s="83" t="s">
        <v>410</v>
      </c>
      <c r="C15" s="83" t="s">
        <v>378</v>
      </c>
      <c r="D15" s="89" t="s">
        <v>519</v>
      </c>
      <c r="E15" s="162">
        <v>0</v>
      </c>
      <c r="F15" s="162">
        <v>0</v>
      </c>
      <c r="G15" s="162">
        <v>0</v>
      </c>
      <c r="H15" s="162">
        <v>0</v>
      </c>
      <c r="I15" s="162">
        <v>888</v>
      </c>
      <c r="J15" s="83" t="s">
        <v>520</v>
      </c>
      <c r="K15" s="83"/>
      <c r="L15" s="83"/>
      <c r="M15" s="83"/>
      <c r="N15" s="83"/>
      <c r="O15" s="83"/>
    </row>
    <row r="16" spans="1:15" ht="20.100000000000001" customHeight="1" x14ac:dyDescent="0.25">
      <c r="A16" s="89" t="s">
        <v>417</v>
      </c>
      <c r="B16" s="83" t="s">
        <v>416</v>
      </c>
      <c r="C16" s="83" t="s">
        <v>395</v>
      </c>
      <c r="D16" s="89" t="s">
        <v>519</v>
      </c>
      <c r="E16" s="162">
        <v>0</v>
      </c>
      <c r="F16" s="162">
        <v>0</v>
      </c>
      <c r="G16" s="162">
        <v>0</v>
      </c>
      <c r="H16" s="162">
        <v>0</v>
      </c>
      <c r="I16" s="162">
        <v>1224</v>
      </c>
      <c r="J16" s="83" t="s">
        <v>520</v>
      </c>
      <c r="K16" s="83"/>
      <c r="L16" s="83"/>
      <c r="M16" s="83"/>
      <c r="N16" s="83"/>
      <c r="O16" s="83"/>
    </row>
    <row r="17" spans="1:15" ht="20.100000000000001" customHeight="1" x14ac:dyDescent="0.25">
      <c r="A17" s="89" t="s">
        <v>420</v>
      </c>
      <c r="B17" s="83" t="s">
        <v>419</v>
      </c>
      <c r="C17" s="83" t="s">
        <v>395</v>
      </c>
      <c r="D17" s="89" t="s">
        <v>519</v>
      </c>
      <c r="E17" s="162">
        <v>0</v>
      </c>
      <c r="F17" s="162">
        <v>0</v>
      </c>
      <c r="G17" s="162">
        <v>0</v>
      </c>
      <c r="H17" s="162">
        <v>0</v>
      </c>
      <c r="I17" s="162">
        <v>72</v>
      </c>
      <c r="J17" s="83" t="s">
        <v>520</v>
      </c>
      <c r="K17" s="83"/>
      <c r="L17" s="83"/>
      <c r="M17" s="83"/>
      <c r="N17" s="83"/>
      <c r="O17" s="83"/>
    </row>
    <row r="18" spans="1:15" ht="20.100000000000001" customHeight="1" x14ac:dyDescent="0.25">
      <c r="A18" s="89" t="s">
        <v>422</v>
      </c>
      <c r="B18" s="83" t="s">
        <v>421</v>
      </c>
      <c r="C18" s="83" t="s">
        <v>395</v>
      </c>
      <c r="D18" s="89" t="s">
        <v>519</v>
      </c>
      <c r="E18" s="162">
        <v>0</v>
      </c>
      <c r="F18" s="162">
        <v>0</v>
      </c>
      <c r="G18" s="162">
        <v>0</v>
      </c>
      <c r="H18" s="162">
        <v>0</v>
      </c>
      <c r="I18" s="162">
        <v>2</v>
      </c>
      <c r="J18" s="83" t="s">
        <v>520</v>
      </c>
      <c r="K18" s="83"/>
      <c r="L18" s="83"/>
      <c r="M18" s="83"/>
      <c r="N18" s="83"/>
      <c r="O18" s="83"/>
    </row>
    <row r="19" spans="1:15" ht="20.100000000000001" customHeight="1" x14ac:dyDescent="0.25">
      <c r="A19" s="89" t="s">
        <v>427</v>
      </c>
      <c r="B19" s="83" t="s">
        <v>426</v>
      </c>
      <c r="C19" s="83" t="s">
        <v>378</v>
      </c>
      <c r="D19" s="89" t="s">
        <v>519</v>
      </c>
      <c r="E19" s="162">
        <v>0</v>
      </c>
      <c r="F19" s="162">
        <v>0</v>
      </c>
      <c r="G19" s="162">
        <v>0</v>
      </c>
      <c r="H19" s="162">
        <v>0</v>
      </c>
      <c r="I19" s="162">
        <v>8215</v>
      </c>
      <c r="J19" s="83" t="s">
        <v>520</v>
      </c>
      <c r="K19" s="83"/>
      <c r="L19" s="83"/>
      <c r="M19" s="83"/>
      <c r="N19" s="83"/>
      <c r="O19" s="83"/>
    </row>
    <row r="20" spans="1:15" ht="20.100000000000001" customHeight="1" x14ac:dyDescent="0.25">
      <c r="A20" s="89" t="s">
        <v>521</v>
      </c>
      <c r="B20" s="83" t="s">
        <v>430</v>
      </c>
      <c r="C20" s="83" t="s">
        <v>378</v>
      </c>
      <c r="D20" s="89" t="s">
        <v>519</v>
      </c>
      <c r="E20" s="162">
        <v>0</v>
      </c>
      <c r="F20" s="162">
        <v>0</v>
      </c>
      <c r="G20" s="162">
        <v>0</v>
      </c>
      <c r="H20" s="162">
        <v>0</v>
      </c>
      <c r="I20" s="162">
        <v>4468</v>
      </c>
      <c r="J20" s="83" t="s">
        <v>520</v>
      </c>
      <c r="K20" s="83"/>
      <c r="L20" s="83"/>
      <c r="M20" s="83"/>
      <c r="N20" s="83"/>
      <c r="O20" s="83"/>
    </row>
    <row r="21" spans="1:15" ht="20.100000000000001" customHeight="1" x14ac:dyDescent="0.25">
      <c r="A21" s="89" t="s">
        <v>434</v>
      </c>
      <c r="B21" s="83" t="s">
        <v>433</v>
      </c>
      <c r="C21" s="83" t="s">
        <v>395</v>
      </c>
      <c r="D21" s="89" t="s">
        <v>519</v>
      </c>
      <c r="E21" s="162">
        <v>0</v>
      </c>
      <c r="F21" s="162">
        <v>0</v>
      </c>
      <c r="G21" s="162">
        <v>0</v>
      </c>
      <c r="H21" s="162">
        <v>0</v>
      </c>
      <c r="I21" s="162">
        <v>1298</v>
      </c>
      <c r="J21" s="83" t="s">
        <v>520</v>
      </c>
      <c r="K21" s="83"/>
      <c r="L21" s="83"/>
      <c r="M21" s="83"/>
      <c r="N21" s="83"/>
      <c r="O21" s="83"/>
    </row>
    <row r="22" spans="1:15" ht="20.100000000000001" customHeight="1" x14ac:dyDescent="0.25">
      <c r="A22" s="89" t="s">
        <v>373</v>
      </c>
      <c r="B22" s="83" t="s">
        <v>372</v>
      </c>
      <c r="C22" s="83" t="s">
        <v>406</v>
      </c>
      <c r="D22" s="89" t="s">
        <v>519</v>
      </c>
      <c r="E22" s="162">
        <v>0</v>
      </c>
      <c r="F22" s="162">
        <v>0</v>
      </c>
      <c r="G22" s="162">
        <v>0</v>
      </c>
      <c r="H22" s="162">
        <v>0</v>
      </c>
      <c r="I22" s="162">
        <v>8135</v>
      </c>
      <c r="J22" s="83" t="s">
        <v>520</v>
      </c>
      <c r="K22" s="83"/>
      <c r="L22" s="83"/>
      <c r="M22" s="83"/>
      <c r="N22" s="83"/>
      <c r="O22" s="83"/>
    </row>
    <row r="23" spans="1:15" ht="20.100000000000001" customHeight="1" x14ac:dyDescent="0.25">
      <c r="A23" s="89" t="s">
        <v>394</v>
      </c>
      <c r="B23" s="83" t="s">
        <v>376</v>
      </c>
      <c r="C23" s="83" t="s">
        <v>406</v>
      </c>
      <c r="D23" s="89" t="s">
        <v>519</v>
      </c>
      <c r="E23" s="162">
        <v>0</v>
      </c>
      <c r="F23" s="162">
        <v>0</v>
      </c>
      <c r="G23" s="162">
        <v>0</v>
      </c>
      <c r="H23" s="162">
        <v>0</v>
      </c>
      <c r="I23" s="162">
        <v>4468</v>
      </c>
      <c r="J23" s="83" t="s">
        <v>520</v>
      </c>
      <c r="K23" s="83"/>
      <c r="L23" s="83"/>
      <c r="M23" s="83"/>
      <c r="N23" s="83"/>
      <c r="O23" s="83"/>
    </row>
    <row r="24" spans="1:15" ht="20.100000000000001" customHeight="1" x14ac:dyDescent="0.25">
      <c r="A24" s="89" t="s">
        <v>380</v>
      </c>
      <c r="B24" s="83" t="s">
        <v>379</v>
      </c>
      <c r="C24" s="83" t="s">
        <v>406</v>
      </c>
      <c r="D24" s="89" t="s">
        <v>519</v>
      </c>
      <c r="E24" s="162">
        <v>0</v>
      </c>
      <c r="F24" s="162">
        <v>0</v>
      </c>
      <c r="G24" s="162">
        <v>0</v>
      </c>
      <c r="H24" s="162">
        <v>0</v>
      </c>
      <c r="I24" s="162">
        <v>1298</v>
      </c>
      <c r="J24" s="83" t="s">
        <v>520</v>
      </c>
      <c r="K24" s="83"/>
      <c r="L24" s="83"/>
      <c r="M24" s="83"/>
      <c r="N24" s="83"/>
      <c r="O24" s="83"/>
    </row>
    <row r="25" spans="1:15" ht="20.100000000000001" customHeight="1" x14ac:dyDescent="0.25">
      <c r="A25" s="89" t="s">
        <v>425</v>
      </c>
      <c r="B25" s="83" t="s">
        <v>424</v>
      </c>
      <c r="C25" s="83" t="s">
        <v>413</v>
      </c>
      <c r="D25" s="89" t="s">
        <v>519</v>
      </c>
      <c r="E25" s="162">
        <v>0</v>
      </c>
      <c r="F25" s="162">
        <v>0</v>
      </c>
      <c r="G25" s="162">
        <v>0</v>
      </c>
      <c r="H25" s="162">
        <v>0</v>
      </c>
      <c r="I25" s="162">
        <v>1302</v>
      </c>
      <c r="J25" s="83" t="s">
        <v>520</v>
      </c>
      <c r="K25" s="83"/>
      <c r="L25" s="83"/>
      <c r="M25" s="83"/>
      <c r="N25" s="83"/>
      <c r="O25" s="83"/>
    </row>
    <row r="26" spans="1:15" ht="20.100000000000001" customHeight="1" x14ac:dyDescent="0.25">
      <c r="A26" s="89" t="s">
        <v>429</v>
      </c>
      <c r="B26" s="83" t="s">
        <v>428</v>
      </c>
      <c r="C26" s="83" t="s">
        <v>413</v>
      </c>
      <c r="D26" s="89" t="s">
        <v>519</v>
      </c>
      <c r="E26" s="162">
        <v>0</v>
      </c>
      <c r="F26" s="162">
        <v>0</v>
      </c>
      <c r="G26" s="162">
        <v>0</v>
      </c>
      <c r="H26" s="162">
        <v>0</v>
      </c>
      <c r="I26" s="162">
        <v>736</v>
      </c>
      <c r="J26" s="83" t="s">
        <v>520</v>
      </c>
      <c r="K26" s="83"/>
      <c r="L26" s="83"/>
      <c r="M26" s="83"/>
      <c r="N26" s="83"/>
      <c r="O26" s="83"/>
    </row>
    <row r="27" spans="1:15" ht="20.100000000000001" customHeight="1" x14ac:dyDescent="0.25">
      <c r="A27" s="89" t="s">
        <v>369</v>
      </c>
      <c r="B27" s="83" t="s">
        <v>368</v>
      </c>
      <c r="C27" s="83" t="s">
        <v>418</v>
      </c>
      <c r="D27" s="89" t="s">
        <v>519</v>
      </c>
      <c r="E27" s="162">
        <v>0</v>
      </c>
      <c r="F27" s="162">
        <v>0</v>
      </c>
      <c r="G27" s="162">
        <v>0</v>
      </c>
      <c r="H27" s="162">
        <v>0</v>
      </c>
      <c r="I27" s="162">
        <v>870</v>
      </c>
      <c r="J27" s="83" t="s">
        <v>520</v>
      </c>
      <c r="K27" s="83"/>
      <c r="L27" s="83"/>
      <c r="M27" s="83"/>
      <c r="N27" s="83"/>
      <c r="O27" s="83"/>
    </row>
    <row r="28" spans="1:15" ht="20.100000000000001" customHeight="1" x14ac:dyDescent="0.25">
      <c r="A28" s="89" t="s">
        <v>375</v>
      </c>
      <c r="B28" s="83" t="s">
        <v>374</v>
      </c>
      <c r="C28" s="83" t="s">
        <v>418</v>
      </c>
      <c r="D28" s="89" t="s">
        <v>519</v>
      </c>
      <c r="E28" s="162">
        <v>0</v>
      </c>
      <c r="F28" s="162">
        <v>0</v>
      </c>
      <c r="G28" s="162">
        <v>0</v>
      </c>
      <c r="H28" s="162">
        <v>0</v>
      </c>
      <c r="I28" s="162">
        <v>488</v>
      </c>
      <c r="J28" s="83" t="s">
        <v>520</v>
      </c>
      <c r="K28" s="83"/>
      <c r="L28" s="83"/>
      <c r="M28" s="83"/>
      <c r="N28" s="83"/>
      <c r="O28" s="83"/>
    </row>
    <row r="29" spans="1:15" ht="20.100000000000001" customHeight="1" x14ac:dyDescent="0.25">
      <c r="A29" s="166" t="s">
        <v>412</v>
      </c>
      <c r="B29" s="164" t="s">
        <v>410</v>
      </c>
      <c r="C29" s="164" t="s">
        <v>423</v>
      </c>
      <c r="D29" s="163" t="s">
        <v>114</v>
      </c>
      <c r="E29" s="165">
        <v>16</v>
      </c>
      <c r="F29" s="165">
        <v>16</v>
      </c>
      <c r="G29" s="165">
        <v>16</v>
      </c>
      <c r="H29" s="165">
        <v>16</v>
      </c>
      <c r="I29" s="165">
        <v>13072</v>
      </c>
      <c r="J29" s="164" t="s">
        <v>522</v>
      </c>
      <c r="K29" s="83"/>
      <c r="L29" s="83"/>
      <c r="M29" s="83"/>
      <c r="N29" s="83"/>
      <c r="O29" s="83"/>
    </row>
    <row r="30" spans="1:15" ht="20.100000000000001" customHeight="1" x14ac:dyDescent="0.25">
      <c r="A30" s="166" t="s">
        <v>415</v>
      </c>
      <c r="B30" s="164" t="s">
        <v>414</v>
      </c>
      <c r="C30" s="164" t="s">
        <v>378</v>
      </c>
      <c r="D30" s="163" t="s">
        <v>114</v>
      </c>
      <c r="E30" s="165">
        <v>376</v>
      </c>
      <c r="F30" s="165">
        <v>376</v>
      </c>
      <c r="G30" s="165">
        <v>376</v>
      </c>
      <c r="H30" s="165">
        <v>376</v>
      </c>
      <c r="I30" s="165">
        <v>307192</v>
      </c>
      <c r="J30" s="164" t="s">
        <v>523</v>
      </c>
      <c r="K30" s="83"/>
      <c r="L30" s="83"/>
      <c r="M30" s="83"/>
      <c r="N30" s="83"/>
      <c r="O30" s="83"/>
    </row>
    <row r="31" spans="1:15" ht="20.100000000000001" customHeight="1" x14ac:dyDescent="0.25">
      <c r="A31" s="166" t="s">
        <v>431</v>
      </c>
      <c r="B31" s="164" t="s">
        <v>430</v>
      </c>
      <c r="C31" s="164" t="s">
        <v>378</v>
      </c>
      <c r="D31" s="163" t="s">
        <v>114</v>
      </c>
      <c r="E31" s="165">
        <v>376</v>
      </c>
      <c r="F31" s="165">
        <v>376</v>
      </c>
      <c r="G31" s="165">
        <v>376</v>
      </c>
      <c r="H31" s="165">
        <v>376</v>
      </c>
      <c r="I31" s="165">
        <v>307192</v>
      </c>
      <c r="J31" s="164" t="s">
        <v>523</v>
      </c>
      <c r="K31" s="83"/>
      <c r="L31" s="83"/>
      <c r="M31" s="83"/>
      <c r="N31" s="83"/>
      <c r="O31" s="83"/>
    </row>
    <row r="32" spans="1:15" ht="20.100000000000001" customHeight="1" x14ac:dyDescent="0.25">
      <c r="A32" s="166" t="s">
        <v>524</v>
      </c>
      <c r="B32" s="164" t="s">
        <v>430</v>
      </c>
      <c r="C32" s="164" t="s">
        <v>525</v>
      </c>
      <c r="D32" s="163" t="s">
        <v>114</v>
      </c>
      <c r="E32" s="165">
        <v>16</v>
      </c>
      <c r="F32" s="165">
        <v>16</v>
      </c>
      <c r="G32" s="165">
        <v>16</v>
      </c>
      <c r="H32" s="165">
        <v>16</v>
      </c>
      <c r="I32" s="165">
        <v>13072</v>
      </c>
      <c r="J32" s="164" t="s">
        <v>522</v>
      </c>
      <c r="K32" s="83"/>
      <c r="L32" s="83"/>
      <c r="M32" s="83"/>
      <c r="N32" s="143"/>
      <c r="O32" s="143"/>
    </row>
    <row r="33" spans="1:15" ht="20.100000000000001" customHeight="1" x14ac:dyDescent="0.25">
      <c r="A33" s="166" t="s">
        <v>377</v>
      </c>
      <c r="B33" s="164" t="s">
        <v>376</v>
      </c>
      <c r="C33" s="164" t="s">
        <v>406</v>
      </c>
      <c r="D33" s="163" t="s">
        <v>114</v>
      </c>
      <c r="E33" s="165">
        <v>392</v>
      </c>
      <c r="F33" s="165">
        <v>392</v>
      </c>
      <c r="G33" s="165">
        <v>392</v>
      </c>
      <c r="H33" s="165">
        <v>392</v>
      </c>
      <c r="I33" s="165">
        <v>320264</v>
      </c>
      <c r="J33" s="164" t="s">
        <v>526</v>
      </c>
      <c r="K33" s="83"/>
      <c r="L33" s="83"/>
      <c r="M33" s="83"/>
      <c r="N33" s="143"/>
      <c r="O33" s="143"/>
    </row>
    <row r="34" spans="1:15" ht="20.100000000000001" customHeight="1" x14ac:dyDescent="0.25">
      <c r="A34" s="166" t="s">
        <v>382</v>
      </c>
      <c r="B34" s="164" t="s">
        <v>381</v>
      </c>
      <c r="C34" s="164" t="s">
        <v>432</v>
      </c>
      <c r="D34" s="163" t="s">
        <v>114</v>
      </c>
      <c r="E34" s="165">
        <v>256</v>
      </c>
      <c r="F34" s="165">
        <v>256</v>
      </c>
      <c r="G34" s="165">
        <v>256</v>
      </c>
      <c r="H34" s="165">
        <v>256</v>
      </c>
      <c r="I34" s="165">
        <v>209152</v>
      </c>
      <c r="J34" s="164" t="s">
        <v>527</v>
      </c>
      <c r="K34" s="83"/>
      <c r="L34" s="83"/>
      <c r="M34" s="83"/>
    </row>
    <row r="35" spans="1:15" x14ac:dyDescent="0.25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</row>
    <row r="36" spans="1:15" x14ac:dyDescent="0.25">
      <c r="A36" s="83"/>
      <c r="B36" s="83"/>
      <c r="C36" s="143"/>
    </row>
    <row r="37" spans="1:15" ht="24" customHeight="1" x14ac:dyDescent="0.25">
      <c r="A37" s="84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4" t="e">
        <f>SUM(N4:N9)</f>
        <v>#REF!</v>
      </c>
      <c r="O37" s="83"/>
    </row>
    <row r="38" spans="1:15" ht="57.75" customHeight="1" x14ac:dyDescent="0.25"/>
    <row r="39" spans="1:15" ht="43.5" customHeight="1" x14ac:dyDescent="0.25"/>
    <row r="40" spans="1:15" ht="57.75" customHeight="1" x14ac:dyDescent="0.25"/>
    <row r="41" spans="1:15" ht="57.75" customHeight="1" x14ac:dyDescent="0.25"/>
    <row r="42" spans="1:15" ht="43.5" customHeight="1" x14ac:dyDescent="0.25"/>
    <row r="43" spans="1:15" ht="43.5" customHeight="1" x14ac:dyDescent="0.25"/>
    <row r="44" spans="1:15" ht="43.5" customHeight="1" x14ac:dyDescent="0.25"/>
    <row r="45" spans="1:15" ht="57.75" customHeight="1" x14ac:dyDescent="0.25"/>
    <row r="46" spans="1:15" ht="43.5" customHeight="1" x14ac:dyDescent="0.25"/>
    <row r="47" spans="1:15" ht="57.75" customHeight="1" x14ac:dyDescent="0.25"/>
    <row r="48" spans="1:15" ht="43.5" customHeight="1" x14ac:dyDescent="0.25"/>
    <row r="49" ht="43.5" customHeight="1" x14ac:dyDescent="0.25"/>
    <row r="50" ht="43.5" customHeight="1" x14ac:dyDescent="0.25"/>
    <row r="51" ht="43.5" customHeight="1" x14ac:dyDescent="0.25"/>
    <row r="52" ht="43.5" customHeight="1" x14ac:dyDescent="0.25"/>
    <row r="53" ht="43.5" customHeight="1" x14ac:dyDescent="0.25"/>
    <row r="54" ht="43.5" customHeight="1" x14ac:dyDescent="0.25"/>
    <row r="55" ht="43.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</sheetData>
  <mergeCells count="2">
    <mergeCell ref="A1:O1"/>
    <mergeCell ref="A2:J2"/>
  </mergeCells>
  <conditionalFormatting sqref="K37:K64 K3:K35">
    <cfRule type="expression" dxfId="51" priority="4">
      <formula>K3="CRÍTICO"</formula>
    </cfRule>
    <cfRule type="expression" dxfId="50" priority="5">
      <formula>K3="ATENÇÃO"</formula>
    </cfRule>
    <cfRule type="expression" dxfId="49" priority="6">
      <formula>K3="OK"</formula>
    </cfRule>
    <cfRule type="expression" dxfId="48" priority="7">
      <formula>ISNUMBER(SEARCH("CRÍTICO",K3))</formula>
    </cfRule>
    <cfRule type="expression" dxfId="47" priority="8">
      <formula>ISNUMBER(SEARCH("ATENÇÃO",K3))</formula>
    </cfRule>
    <cfRule type="expression" dxfId="46" priority="9">
      <formula>ISNUMBER(SEARCH("OK",K3))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4"/>
  <dimension ref="A1:AM48"/>
  <sheetViews>
    <sheetView workbookViewId="0">
      <selection activeCell="AH4" sqref="AH4"/>
    </sheetView>
  </sheetViews>
  <sheetFormatPr defaultColWidth="8.5703125" defaultRowHeight="15" x14ac:dyDescent="0.25"/>
  <cols>
    <col min="1" max="1" width="12" customWidth="1"/>
    <col min="2" max="2" width="22" customWidth="1"/>
    <col min="3" max="3" width="22.7109375" customWidth="1"/>
    <col min="4" max="4" width="18.7109375" bestFit="1" customWidth="1"/>
    <col min="5" max="8" width="4" customWidth="1"/>
    <col min="9" max="14" width="3.7109375" hidden="1" customWidth="1"/>
    <col min="15" max="15" width="8.7109375" customWidth="1"/>
    <col min="16" max="16" width="16.140625" customWidth="1"/>
    <col min="17" max="17" width="0.140625" customWidth="1"/>
    <col min="18" max="18" width="18.7109375" customWidth="1"/>
    <col min="19" max="19" width="21" customWidth="1"/>
    <col min="20" max="20" width="20.28515625" customWidth="1"/>
    <col min="21" max="21" width="13.5703125" customWidth="1"/>
    <col min="22" max="22" width="14.7109375" customWidth="1"/>
    <col min="23" max="25" width="11.5703125" customWidth="1"/>
    <col min="26" max="26" width="13.42578125" customWidth="1"/>
    <col min="27" max="27" width="13.7109375" customWidth="1"/>
    <col min="28" max="28" width="9.7109375" customWidth="1"/>
    <col min="29" max="29" width="31.28515625" customWidth="1"/>
    <col min="30" max="30" width="20" customWidth="1"/>
    <col min="31" max="31" width="16" customWidth="1"/>
    <col min="32" max="32" width="16.28515625" customWidth="1"/>
    <col min="33" max="33" width="47.28515625" customWidth="1"/>
    <col min="34" max="34" width="22.7109375" customWidth="1"/>
    <col min="35" max="35" width="19.5703125" customWidth="1"/>
    <col min="36" max="37" width="24" customWidth="1"/>
    <col min="38" max="38" width="23.7109375" customWidth="1"/>
    <col min="39" max="39" width="20.85546875" customWidth="1"/>
  </cols>
  <sheetData>
    <row r="1" spans="1:39" ht="22.35" customHeight="1" x14ac:dyDescent="0.25">
      <c r="A1" s="208" t="s">
        <v>528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AH1" s="424"/>
      <c r="AI1" s="424"/>
      <c r="AJ1" s="425" t="s">
        <v>529</v>
      </c>
      <c r="AK1" s="426"/>
      <c r="AL1" s="425" t="s">
        <v>141</v>
      </c>
      <c r="AM1" s="426"/>
    </row>
    <row r="2" spans="1:39" ht="22.35" hidden="1" customHeight="1" x14ac:dyDescent="0.25">
      <c r="A2" s="411" t="s">
        <v>530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411"/>
      <c r="AI2" s="393"/>
    </row>
    <row r="3" spans="1:39" ht="24" customHeight="1" x14ac:dyDescent="0.25">
      <c r="A3" s="154" t="s">
        <v>102</v>
      </c>
      <c r="B3" s="154" t="s">
        <v>101</v>
      </c>
      <c r="C3" s="154" t="s">
        <v>511</v>
      </c>
      <c r="D3" s="154" t="s">
        <v>100</v>
      </c>
      <c r="E3" s="154" t="s">
        <v>531</v>
      </c>
      <c r="F3" s="154" t="s">
        <v>532</v>
      </c>
      <c r="G3" s="154" t="s">
        <v>533</v>
      </c>
      <c r="H3" s="154" t="s">
        <v>534</v>
      </c>
      <c r="I3" s="154" t="s">
        <v>535</v>
      </c>
      <c r="J3" s="154" t="s">
        <v>536</v>
      </c>
      <c r="K3" s="154" t="s">
        <v>537</v>
      </c>
      <c r="L3" s="154" t="s">
        <v>538</v>
      </c>
      <c r="M3" s="154" t="s">
        <v>539</v>
      </c>
      <c r="N3" s="154" t="s">
        <v>540</v>
      </c>
      <c r="O3" s="154" t="s">
        <v>541</v>
      </c>
      <c r="P3" s="154" t="s">
        <v>542</v>
      </c>
      <c r="Q3" s="154" t="s">
        <v>543</v>
      </c>
      <c r="R3" s="108" t="s">
        <v>544</v>
      </c>
      <c r="S3" s="108" t="s">
        <v>545</v>
      </c>
      <c r="T3" s="108" t="s">
        <v>546</v>
      </c>
      <c r="U3" s="108" t="s">
        <v>547</v>
      </c>
      <c r="V3" s="174" t="s">
        <v>548</v>
      </c>
      <c r="W3" s="108" t="s">
        <v>549</v>
      </c>
      <c r="X3" s="108" t="s">
        <v>550</v>
      </c>
      <c r="Y3" s="108" t="s">
        <v>551</v>
      </c>
      <c r="Z3" s="177"/>
      <c r="AA3" s="108" t="s">
        <v>16</v>
      </c>
      <c r="AB3" s="108" t="s">
        <v>509</v>
      </c>
      <c r="AC3" s="108" t="s">
        <v>552</v>
      </c>
      <c r="AD3" s="108" t="s">
        <v>553</v>
      </c>
      <c r="AE3" s="108" t="s">
        <v>554</v>
      </c>
      <c r="AF3" s="108" t="s">
        <v>486</v>
      </c>
      <c r="AG3" s="108" t="s">
        <v>555</v>
      </c>
      <c r="AH3" s="154" t="s">
        <v>556</v>
      </c>
      <c r="AI3" s="154" t="s">
        <v>557</v>
      </c>
      <c r="AJ3" s="176" t="s">
        <v>558</v>
      </c>
      <c r="AK3" s="177" t="s">
        <v>559</v>
      </c>
      <c r="AL3" s="176" t="s">
        <v>558</v>
      </c>
      <c r="AM3" s="177" t="s">
        <v>559</v>
      </c>
    </row>
    <row r="4" spans="1:39" ht="19.149999999999999" customHeight="1" x14ac:dyDescent="0.25">
      <c r="A4" s="83" t="s">
        <v>113</v>
      </c>
      <c r="B4" s="83" t="s">
        <v>112</v>
      </c>
      <c r="C4" s="83" t="s">
        <v>112</v>
      </c>
      <c r="D4" s="83" t="s">
        <v>111</v>
      </c>
      <c r="E4" s="91">
        <v>2</v>
      </c>
      <c r="F4" s="91">
        <v>2</v>
      </c>
      <c r="G4" s="91">
        <v>0</v>
      </c>
      <c r="H4" s="91">
        <v>0</v>
      </c>
      <c r="I4" s="91">
        <v>0</v>
      </c>
      <c r="J4" s="91">
        <v>0</v>
      </c>
      <c r="K4" s="91">
        <v>0</v>
      </c>
      <c r="L4" s="91">
        <v>0</v>
      </c>
      <c r="M4" s="91">
        <v>0</v>
      </c>
      <c r="N4" s="91">
        <v>0</v>
      </c>
      <c r="O4" s="85">
        <v>0</v>
      </c>
      <c r="P4" s="86">
        <v>598</v>
      </c>
      <c r="Q4" s="83">
        <f>SUM(E4:H4)</f>
        <v>4</v>
      </c>
      <c r="R4" s="83">
        <v>664</v>
      </c>
      <c r="S4" s="86">
        <v>598</v>
      </c>
      <c r="T4" s="86">
        <v>66</v>
      </c>
      <c r="U4" s="83">
        <f>ROUNDUP((SUM(E4:N4)/10)*Parametros!$B$5*(1+O4),0)</f>
        <v>279</v>
      </c>
      <c r="V4" s="86">
        <f>T4/E4</f>
        <v>33</v>
      </c>
      <c r="W4" s="83">
        <f>T4/F4</f>
        <v>33</v>
      </c>
      <c r="X4" s="83" t="e">
        <f>T4/G4</f>
        <v>#DIV/0!</v>
      </c>
      <c r="Y4" s="83" t="e">
        <f>T4/H4</f>
        <v>#DIV/0!</v>
      </c>
      <c r="Z4" s="83" t="str">
        <f>IFERROR(IF(CHOOSE(MATCH($AJ$3,{"JOIST01";"JOIST02";"JOIST03";"JOIST04"},0),E4,F4,G4,H4)&gt;0,CHOOSE(MATCH($AJ$3,{"JOIST01";"JOIST02";"JOIST03";"JOIST04"},0),E4,F4,G4,H4)*50,"NÃO SE APLICA"),"NÃO SE APLICA")</f>
        <v>NÃO SE APLICA</v>
      </c>
      <c r="AA4" s="83" t="str">
        <f t="shared" ref="AA4:AA25" si="0">IF(Q4=0,"SEM CONSUMO",IF(T4&lt;0,"CRÍTICO",IF(T4&lt;=U4,"ATENÇÃO","OK")))</f>
        <v>ATENÇÃO</v>
      </c>
      <c r="AB4" s="83">
        <f t="shared" ref="AB4:AB11" si="1">MAX(U4-T4,0)</f>
        <v>213</v>
      </c>
      <c r="AC4" s="83" t="s">
        <v>560</v>
      </c>
      <c r="AD4" s="66">
        <f t="shared" ref="AD4:AD15" si="2">COUNTIF(E4:O4,"&gt;0")</f>
        <v>2</v>
      </c>
      <c r="AE4" s="66" t="str">
        <f t="shared" ref="AE4:AE24" si="3">IF(AD4=1,"SIM","NÃO")</f>
        <v>NÃO</v>
      </c>
      <c r="AF4" s="66"/>
      <c r="AG4" s="66" t="str">
        <f t="shared" ref="AG4:AG24" si="4">IF(AD4=1,"Tag particular desta JOIST — aparece em apenas um tipo.",IF(AD4&gt;1,"Tag comum entre JOISTS — não sinalizar como particular.","Sem consumo cadastrado."))</f>
        <v>Tag comum entre JOISTS — não sinalizar como particular.</v>
      </c>
      <c r="AH4">
        <f>IFERROR(IF(CHOOSE(MATCH($AK$3,{"JOIST01";"JOIST02";"JOIST03";"JOIST04"},0),E4,F4,G4,H4)=0,"NÃO SE APLICA",INT(MAX(0,T4)/CHOOSE(MATCH($AK$3,{"JOIST01";"JOIST02";"JOIST03";"JOIST04"},0),E4,F4,G4,H4))),"NÃO SE APLICA")</f>
        <v>33</v>
      </c>
      <c r="AI4">
        <f>IF(AH4="NÃO SE APLICA",NA(),IF(T4&lt;=0,0,INT(T4/CHOOSE(MATCH($AK$3,{"JOIST01";"JOIST02";"JOIST03";"JOIST04"},0),E4,F4,G4,H4))))</f>
        <v>33</v>
      </c>
      <c r="AJ4" s="178" t="s">
        <v>561</v>
      </c>
      <c r="AK4" s="179">
        <f>IFERROR(_xlfn.AGGREGATE(15,6,$AI$4:$AI$24,1),0)</f>
        <v>33</v>
      </c>
      <c r="AL4" s="178" t="s">
        <v>561</v>
      </c>
      <c r="AM4" s="179">
        <f>IFERROR(_xlfn.AGGREGATE(15,6,$AI$25,1),0)</f>
        <v>85</v>
      </c>
    </row>
    <row r="5" spans="1:39" ht="19.149999999999999" customHeight="1" x14ac:dyDescent="0.25">
      <c r="A5" s="83" t="s">
        <v>116</v>
      </c>
      <c r="B5" s="83" t="s">
        <v>112</v>
      </c>
      <c r="C5" s="83" t="s">
        <v>112</v>
      </c>
      <c r="D5" s="83" t="s">
        <v>115</v>
      </c>
      <c r="E5" s="91">
        <v>2</v>
      </c>
      <c r="F5" s="91">
        <v>2</v>
      </c>
      <c r="G5" s="91">
        <v>2</v>
      </c>
      <c r="H5" s="91">
        <v>2</v>
      </c>
      <c r="I5" s="91">
        <v>0</v>
      </c>
      <c r="J5" s="91">
        <v>0</v>
      </c>
      <c r="K5" s="91">
        <v>0</v>
      </c>
      <c r="L5" s="91">
        <v>0</v>
      </c>
      <c r="M5" s="91">
        <v>0</v>
      </c>
      <c r="N5" s="91">
        <v>0</v>
      </c>
      <c r="O5" s="85">
        <v>0</v>
      </c>
      <c r="P5" s="86">
        <v>598</v>
      </c>
      <c r="Q5" s="83">
        <f t="shared" ref="Q5:Q17" si="5">SUM(E5:H5)</f>
        <v>8</v>
      </c>
      <c r="R5" s="83">
        <v>744</v>
      </c>
      <c r="S5" s="86">
        <v>598</v>
      </c>
      <c r="T5" s="86">
        <v>146</v>
      </c>
      <c r="U5" s="83">
        <f>ROUNDUP((SUM(E5:N5)/10)*Parametros!$B$5*(1+O5),0)</f>
        <v>558</v>
      </c>
      <c r="V5" s="86">
        <f t="shared" ref="V5:V24" si="6">T5/E5</f>
        <v>73</v>
      </c>
      <c r="W5" s="83">
        <f t="shared" ref="W5:W24" si="7">T5/F5</f>
        <v>73</v>
      </c>
      <c r="X5" s="83">
        <f t="shared" ref="X5:X24" si="8">T5/G5</f>
        <v>73</v>
      </c>
      <c r="Y5" s="83">
        <f t="shared" ref="Y5:Y24" si="9">T5/H5</f>
        <v>73</v>
      </c>
      <c r="Z5" s="83"/>
      <c r="AA5" s="83" t="str">
        <f t="shared" si="0"/>
        <v>ATENÇÃO</v>
      </c>
      <c r="AB5" s="83">
        <f t="shared" si="1"/>
        <v>412</v>
      </c>
      <c r="AC5" s="83" t="s">
        <v>560</v>
      </c>
      <c r="AD5" s="66">
        <f t="shared" si="2"/>
        <v>4</v>
      </c>
      <c r="AE5" s="66" t="str">
        <f t="shared" si="3"/>
        <v>NÃO</v>
      </c>
      <c r="AF5" s="66"/>
      <c r="AG5" s="66" t="str">
        <f t="shared" si="4"/>
        <v>Tag comum entre JOISTS — não sinalizar como particular.</v>
      </c>
      <c r="AH5">
        <f>IFERROR(IF(CHOOSE(MATCH($AK$3,{"JOIST01";"JOIST02";"JOIST03";"JOIST04"},0),E5,F5,G5,H5)=0,"NÃO SE APLICA",INT(MAX(0,T5)/CHOOSE(MATCH($AK$3,{"JOIST01";"JOIST02";"JOIST03";"JOIST04"},0),E5,F5,G5,H5))),"NÃO SE APLICA")</f>
        <v>73</v>
      </c>
      <c r="AI5">
        <f>IF(AH5="NÃO SE APLICA",NA(),IF(T5&lt;=0,0,INT(T5/CHOOSE(MATCH($AK$3,{"JOIST01";"JOIST02";"JOIST03";"JOIST04"},0),E5,F5,G5,H5))))</f>
        <v>73</v>
      </c>
      <c r="AJ5" s="178" t="s">
        <v>562</v>
      </c>
      <c r="AK5" s="180" t="str">
        <f>IFERROR(INDEX($A$4:$A$24,MATCH(AK4,$AI$4:$AI$24,0)),"SEM CAPACIDADE")</f>
        <v>BZ001</v>
      </c>
      <c r="AL5" s="178" t="s">
        <v>562</v>
      </c>
      <c r="AM5" s="180" t="str">
        <f>IFERROR(INDEX($A$4:$A$25,MATCH(AM4,$AI$4:$AI$25,0)),"SEM CAPACIDADE")</f>
        <v>FG005</v>
      </c>
    </row>
    <row r="6" spans="1:39" ht="19.149999999999999" customHeight="1" x14ac:dyDescent="0.25">
      <c r="A6" s="83" t="s">
        <v>117</v>
      </c>
      <c r="B6" s="83" t="s">
        <v>112</v>
      </c>
      <c r="C6" s="83" t="s">
        <v>112</v>
      </c>
      <c r="D6" s="83" t="s">
        <v>111</v>
      </c>
      <c r="E6" s="91">
        <v>0</v>
      </c>
      <c r="F6" s="91">
        <v>0</v>
      </c>
      <c r="G6" s="91">
        <v>2</v>
      </c>
      <c r="H6" s="91">
        <v>2</v>
      </c>
      <c r="I6" s="91">
        <v>0</v>
      </c>
      <c r="J6" s="91">
        <v>0</v>
      </c>
      <c r="K6" s="91">
        <v>0</v>
      </c>
      <c r="L6" s="91">
        <v>0</v>
      </c>
      <c r="M6" s="91">
        <v>0</v>
      </c>
      <c r="N6" s="91">
        <v>0</v>
      </c>
      <c r="O6" s="85">
        <v>0</v>
      </c>
      <c r="P6" s="86">
        <v>0</v>
      </c>
      <c r="Q6" s="83">
        <f t="shared" si="5"/>
        <v>4</v>
      </c>
      <c r="R6" s="83">
        <v>86</v>
      </c>
      <c r="S6" s="86">
        <v>0</v>
      </c>
      <c r="T6" s="86">
        <v>86</v>
      </c>
      <c r="U6" s="83">
        <f>ROUNDUP((SUM(E6:N6)/10)*Parametros!$B$5*(1+O6),0)</f>
        <v>279</v>
      </c>
      <c r="V6" s="86" t="e">
        <f t="shared" si="6"/>
        <v>#DIV/0!</v>
      </c>
      <c r="W6" s="83" t="e">
        <f t="shared" si="7"/>
        <v>#DIV/0!</v>
      </c>
      <c r="X6" s="83">
        <f t="shared" si="8"/>
        <v>43</v>
      </c>
      <c r="Y6" s="83">
        <f t="shared" si="9"/>
        <v>43</v>
      </c>
      <c r="Z6" s="83"/>
      <c r="AA6" s="83" t="str">
        <f t="shared" si="0"/>
        <v>ATENÇÃO</v>
      </c>
      <c r="AB6" s="83">
        <f t="shared" si="1"/>
        <v>193</v>
      </c>
      <c r="AC6" s="83" t="s">
        <v>560</v>
      </c>
      <c r="AD6" s="66">
        <f t="shared" si="2"/>
        <v>2</v>
      </c>
      <c r="AE6" s="66" t="str">
        <f t="shared" si="3"/>
        <v>NÃO</v>
      </c>
      <c r="AF6" s="66"/>
      <c r="AG6" s="66" t="str">
        <f t="shared" si="4"/>
        <v>Tag comum entre JOISTS — não sinalizar como particular.</v>
      </c>
      <c r="AH6" t="str">
        <f>IFERROR(IF(CHOOSE(MATCH($AK$3,{"JOIST01";"JOIST02";"JOIST03";"JOIST04"},0),E6,F6,G6,H6)=0,"NÃO SE APLICA",INT(MAX(0,T6)/CHOOSE(MATCH($AK$3,{"JOIST01";"JOIST02";"JOIST03";"JOIST04"},0),E6,F6,G6,H6))),"NÃO SE APLICA")</f>
        <v>NÃO SE APLICA</v>
      </c>
      <c r="AI6" t="e">
        <f>IF(AH6="NÃO SE APLICA",NA(),IF(T6&lt;=0,0,INT(T6/CHOOSE(MATCH($AK$3,{"JOIST01";"JOIST02";"JOIST03";"JOIST04"},0),E6,F6,G6,H6))))</f>
        <v>#N/A</v>
      </c>
      <c r="AJ6" s="178" t="s">
        <v>511</v>
      </c>
      <c r="AK6" s="180" t="str">
        <f>IFERROR(INDEX($C$4:$C$24,MATCH(AK5,$A$4:$A$24,0)),"")</f>
        <v>BANZO JOIST</v>
      </c>
      <c r="AL6" s="178" t="s">
        <v>511</v>
      </c>
      <c r="AM6" s="180" t="str">
        <f>IFERROR(INDEX($C$4:$C$25,MATCH(AM5,$A$4:$A$25,0)),"")</f>
        <v>PARAF. Ø1/2" X 1 3/4"</v>
      </c>
    </row>
    <row r="7" spans="1:39" ht="19.149999999999999" customHeight="1" x14ac:dyDescent="0.25">
      <c r="A7" s="83" t="s">
        <v>120</v>
      </c>
      <c r="B7" s="83" t="s">
        <v>119</v>
      </c>
      <c r="C7" s="83" t="s">
        <v>119</v>
      </c>
      <c r="D7" s="83" t="s">
        <v>118</v>
      </c>
      <c r="E7" s="91">
        <v>4</v>
      </c>
      <c r="F7" s="91">
        <v>4</v>
      </c>
      <c r="G7" s="91">
        <v>4</v>
      </c>
      <c r="H7" s="91">
        <v>4</v>
      </c>
      <c r="I7" s="91">
        <v>0</v>
      </c>
      <c r="J7" s="91">
        <v>0</v>
      </c>
      <c r="K7" s="91">
        <v>0</v>
      </c>
      <c r="L7" s="91">
        <v>0</v>
      </c>
      <c r="M7" s="91">
        <v>0</v>
      </c>
      <c r="N7" s="91">
        <v>0</v>
      </c>
      <c r="O7" s="85">
        <v>0</v>
      </c>
      <c r="P7" s="86">
        <v>1196</v>
      </c>
      <c r="Q7" s="83">
        <f t="shared" si="5"/>
        <v>16</v>
      </c>
      <c r="R7" s="83">
        <v>2798</v>
      </c>
      <c r="S7" s="86">
        <v>1196</v>
      </c>
      <c r="T7" s="86">
        <v>1602</v>
      </c>
      <c r="U7" s="83">
        <f>ROUNDUP((SUM(E7:N7)/10)*Parametros!$B$5*(1+O7),0)</f>
        <v>1116</v>
      </c>
      <c r="V7" s="86">
        <f t="shared" si="6"/>
        <v>400.5</v>
      </c>
      <c r="W7" s="83">
        <f t="shared" si="7"/>
        <v>400.5</v>
      </c>
      <c r="X7" s="83">
        <f t="shared" si="8"/>
        <v>400.5</v>
      </c>
      <c r="Y7" s="83">
        <f t="shared" si="9"/>
        <v>400.5</v>
      </c>
      <c r="Z7" s="83"/>
      <c r="AA7" s="83" t="str">
        <f t="shared" si="0"/>
        <v>OK</v>
      </c>
      <c r="AB7" s="83">
        <f t="shared" si="1"/>
        <v>0</v>
      </c>
      <c r="AC7" s="83" t="s">
        <v>560</v>
      </c>
      <c r="AD7" s="66">
        <f t="shared" si="2"/>
        <v>4</v>
      </c>
      <c r="AE7" s="66" t="str">
        <f t="shared" si="3"/>
        <v>NÃO</v>
      </c>
      <c r="AF7" s="66"/>
      <c r="AG7" s="66" t="str">
        <f t="shared" si="4"/>
        <v>Tag comum entre JOISTS — não sinalizar como particular.</v>
      </c>
      <c r="AH7">
        <f>IFERROR(IF(CHOOSE(MATCH($AK$3,{"JOIST01";"JOIST02";"JOIST03";"JOIST04"},0),E7,F7,G7,H7)=0,"NÃO SE APLICA",INT(MAX(0,T7)/CHOOSE(MATCH($AK$3,{"JOIST01";"JOIST02";"JOIST03";"JOIST04"},0),E7,F7,G7,H7))),"NÃO SE APLICA")</f>
        <v>400</v>
      </c>
      <c r="AI7">
        <f>IF(AH7="NÃO SE APLICA",NA(),IF(T7&lt;=0,0,INT(T7/CHOOSE(MATCH($AK$3,{"JOIST01";"JOIST02";"JOIST03";"JOIST04"},0),E7,F7,G7,H7))))</f>
        <v>400</v>
      </c>
      <c r="AJ7" s="178" t="s">
        <v>100</v>
      </c>
      <c r="AK7" s="180" t="str">
        <f>IFERROR(INDEX($D$4:$D$24,MATCH(AK5,$A$4:$A$24,0)),"")</f>
        <v>CR132#1.50</v>
      </c>
      <c r="AL7" s="178" t="s">
        <v>100</v>
      </c>
      <c r="AM7" s="180" t="str">
        <f>IFERROR(INDEX($D$4:$D$25,MATCH(AM5,$A$4:$A$25,0)),"")</f>
        <v>A307</v>
      </c>
    </row>
    <row r="8" spans="1:39" ht="19.149999999999999" customHeight="1" x14ac:dyDescent="0.25">
      <c r="A8" s="83" t="s">
        <v>121</v>
      </c>
      <c r="B8" s="83" t="s">
        <v>119</v>
      </c>
      <c r="C8" s="83" t="s">
        <v>119</v>
      </c>
      <c r="D8" s="83" t="s">
        <v>118</v>
      </c>
      <c r="E8" s="91">
        <v>4</v>
      </c>
      <c r="F8" s="91">
        <v>4</v>
      </c>
      <c r="G8" s="91">
        <v>4</v>
      </c>
      <c r="H8" s="91">
        <v>4</v>
      </c>
      <c r="I8" s="91">
        <v>0</v>
      </c>
      <c r="J8" s="91">
        <v>0</v>
      </c>
      <c r="K8" s="91">
        <v>0</v>
      </c>
      <c r="L8" s="91">
        <v>0</v>
      </c>
      <c r="M8" s="91">
        <v>0</v>
      </c>
      <c r="N8" s="91">
        <v>0</v>
      </c>
      <c r="O8" s="85">
        <v>0</v>
      </c>
      <c r="P8" s="86">
        <v>1196</v>
      </c>
      <c r="Q8" s="83">
        <f t="shared" si="5"/>
        <v>16</v>
      </c>
      <c r="R8" s="83">
        <v>2800</v>
      </c>
      <c r="S8" s="86">
        <v>1196</v>
      </c>
      <c r="T8" s="86">
        <v>1604</v>
      </c>
      <c r="U8" s="83">
        <f>ROUNDUP((SUM(E8:N8)/10)*Parametros!$B$5*(1+O8),0)</f>
        <v>1116</v>
      </c>
      <c r="V8" s="86">
        <f t="shared" si="6"/>
        <v>401</v>
      </c>
      <c r="W8" s="83">
        <f t="shared" si="7"/>
        <v>401</v>
      </c>
      <c r="X8" s="83">
        <f t="shared" si="8"/>
        <v>401</v>
      </c>
      <c r="Y8" s="83">
        <f t="shared" si="9"/>
        <v>401</v>
      </c>
      <c r="Z8" s="83"/>
      <c r="AA8" s="83" t="str">
        <f t="shared" si="0"/>
        <v>OK</v>
      </c>
      <c r="AB8" s="83">
        <f t="shared" si="1"/>
        <v>0</v>
      </c>
      <c r="AC8" s="83" t="s">
        <v>560</v>
      </c>
      <c r="AD8" s="66">
        <f t="shared" si="2"/>
        <v>4</v>
      </c>
      <c r="AE8" s="66" t="str">
        <f t="shared" si="3"/>
        <v>NÃO</v>
      </c>
      <c r="AF8" s="66"/>
      <c r="AG8" s="66" t="str">
        <f t="shared" si="4"/>
        <v>Tag comum entre JOISTS — não sinalizar como particular.</v>
      </c>
      <c r="AH8">
        <f>IFERROR(IF(CHOOSE(MATCH($AK$3,{"JOIST01";"JOIST02";"JOIST03";"JOIST04"},0),E8,F8,G8,H8)=0,"NÃO SE APLICA",INT(MAX(0,T8)/CHOOSE(MATCH($AK$3,{"JOIST01";"JOIST02";"JOIST03";"JOIST04"},0),E8,F8,G8,H8))),"NÃO SE APLICA")</f>
        <v>401</v>
      </c>
      <c r="AI8">
        <f>IF(AH8="NÃO SE APLICA",NA(),IF(T8&lt;=0,0,INT(T8/CHOOSE(MATCH($AK$3,{"JOIST01";"JOIST02";"JOIST03";"JOIST04"},0),E8,F8,G8,H8))))</f>
        <v>401</v>
      </c>
      <c r="AJ8" s="181" t="s">
        <v>563</v>
      </c>
      <c r="AK8" s="182" t="str">
        <f>IFERROR(INDEX($C$4:$C$24,MATCH(AK5,$A$4:$A$24,0)),"")</f>
        <v>BANZO JOIST</v>
      </c>
      <c r="AL8" s="181" t="s">
        <v>563</v>
      </c>
      <c r="AM8" s="182" t="str">
        <f>IFERROR(INDEX($C$5:$C$25,MATCH(AM5,$A$5:$A$25,0)),"")</f>
        <v>PARAF. Ø1/2" X 1 3/4"</v>
      </c>
    </row>
    <row r="9" spans="1:39" ht="18.600000000000001" customHeight="1" x14ac:dyDescent="0.25">
      <c r="A9" s="83" t="s">
        <v>123</v>
      </c>
      <c r="B9" s="83" t="s">
        <v>119</v>
      </c>
      <c r="C9" s="83" t="s">
        <v>119</v>
      </c>
      <c r="D9" s="83" t="s">
        <v>122</v>
      </c>
      <c r="E9" s="91">
        <v>52</v>
      </c>
      <c r="F9" s="91">
        <v>52</v>
      </c>
      <c r="G9" s="91">
        <v>52</v>
      </c>
      <c r="H9" s="91">
        <v>52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</v>
      </c>
      <c r="O9" s="85">
        <v>0</v>
      </c>
      <c r="P9" s="86">
        <v>15548</v>
      </c>
      <c r="Q9" s="83">
        <f t="shared" si="5"/>
        <v>208</v>
      </c>
      <c r="R9" s="83">
        <v>18252</v>
      </c>
      <c r="S9" s="86">
        <v>15548</v>
      </c>
      <c r="T9" s="86">
        <v>2704</v>
      </c>
      <c r="U9" s="83">
        <f>ROUNDUP((SUM(E9:N9)/10)*Parametros!$B$5*(1+O9),0)</f>
        <v>14498</v>
      </c>
      <c r="V9" s="86">
        <f t="shared" si="6"/>
        <v>52</v>
      </c>
      <c r="W9" s="83">
        <f t="shared" si="7"/>
        <v>52</v>
      </c>
      <c r="X9" s="83">
        <f t="shared" si="8"/>
        <v>52</v>
      </c>
      <c r="Y9" s="83">
        <f t="shared" si="9"/>
        <v>52</v>
      </c>
      <c r="Z9" s="83"/>
      <c r="AA9" s="83" t="str">
        <f t="shared" si="0"/>
        <v>ATENÇÃO</v>
      </c>
      <c r="AB9" s="83">
        <f t="shared" si="1"/>
        <v>11794</v>
      </c>
      <c r="AC9" s="83" t="s">
        <v>560</v>
      </c>
      <c r="AD9" s="66">
        <f t="shared" si="2"/>
        <v>4</v>
      </c>
      <c r="AE9" s="66" t="str">
        <f t="shared" si="3"/>
        <v>NÃO</v>
      </c>
      <c r="AF9" s="66"/>
      <c r="AG9" s="66" t="str">
        <f t="shared" si="4"/>
        <v>Tag comum entre JOISTS — não sinalizar como particular.</v>
      </c>
      <c r="AH9">
        <f>IFERROR(IF(CHOOSE(MATCH($AK$3,{"JOIST01";"JOIST02";"JOIST03";"JOIST04"},0),E9,F9,G9,H9)=0,"NÃO SE APLICA",INT(MAX(0,T9)/CHOOSE(MATCH($AK$3,{"JOIST01";"JOIST02";"JOIST03";"JOIST04"},0),E9,F9,G9,H9))),"NÃO SE APLICA")</f>
        <v>52</v>
      </c>
      <c r="AI9">
        <f>IF(AH9="NÃO SE APLICA",NA(),IF(T9&lt;=0,0,INT(T9/CHOOSE(MATCH($AK$3,{"JOIST01";"JOIST02";"JOIST03";"JOIST04"},0),E9,F9,G9,H9))))</f>
        <v>52</v>
      </c>
      <c r="AJ9" s="427" t="s">
        <v>548</v>
      </c>
      <c r="AK9" s="427"/>
      <c r="AL9" s="427"/>
      <c r="AM9" s="427"/>
    </row>
    <row r="10" spans="1:39" ht="18.600000000000001" customHeight="1" x14ac:dyDescent="0.25">
      <c r="A10" s="83" t="s">
        <v>126</v>
      </c>
      <c r="B10" s="83" t="s">
        <v>125</v>
      </c>
      <c r="C10" s="83" t="s">
        <v>125</v>
      </c>
      <c r="D10" s="83" t="s">
        <v>124</v>
      </c>
      <c r="E10" s="91">
        <v>64</v>
      </c>
      <c r="F10" s="91">
        <v>64</v>
      </c>
      <c r="G10" s="91">
        <v>64</v>
      </c>
      <c r="H10" s="91">
        <v>64</v>
      </c>
      <c r="I10" s="91">
        <v>0</v>
      </c>
      <c r="J10" s="91">
        <v>0</v>
      </c>
      <c r="K10" s="91">
        <v>0</v>
      </c>
      <c r="L10" s="91">
        <v>0</v>
      </c>
      <c r="M10" s="91">
        <v>0</v>
      </c>
      <c r="N10" s="91">
        <v>0</v>
      </c>
      <c r="O10" s="85">
        <v>0</v>
      </c>
      <c r="P10" s="86">
        <v>19136</v>
      </c>
      <c r="Q10" s="83">
        <f t="shared" si="5"/>
        <v>256</v>
      </c>
      <c r="R10" s="83">
        <v>28400</v>
      </c>
      <c r="S10" s="86">
        <v>19136</v>
      </c>
      <c r="T10" s="86">
        <v>9264</v>
      </c>
      <c r="U10" s="83">
        <f>ROUNDUP((SUM(E10:N10)/10)*Parametros!$B$5*(1+O10),0)</f>
        <v>17844</v>
      </c>
      <c r="V10" s="86">
        <f t="shared" si="6"/>
        <v>144.75</v>
      </c>
      <c r="W10" s="83">
        <f t="shared" si="7"/>
        <v>144.75</v>
      </c>
      <c r="X10" s="83">
        <f t="shared" si="8"/>
        <v>144.75</v>
      </c>
      <c r="Y10" s="83">
        <f t="shared" si="9"/>
        <v>144.75</v>
      </c>
      <c r="Z10" s="83"/>
      <c r="AA10" s="83" t="str">
        <f t="shared" si="0"/>
        <v>ATENÇÃO</v>
      </c>
      <c r="AB10" s="83">
        <f t="shared" si="1"/>
        <v>8580</v>
      </c>
      <c r="AC10" s="83" t="s">
        <v>560</v>
      </c>
      <c r="AD10" s="66">
        <f t="shared" si="2"/>
        <v>4</v>
      </c>
      <c r="AE10" s="66" t="str">
        <f t="shared" si="3"/>
        <v>NÃO</v>
      </c>
      <c r="AF10" s="66"/>
      <c r="AG10" s="66" t="str">
        <f t="shared" si="4"/>
        <v>Tag comum entre JOISTS — não sinalizar como particular.</v>
      </c>
      <c r="AH10">
        <f>IFERROR(IF(CHOOSE(MATCH($AK$3,{"JOIST01";"JOIST02";"JOIST03";"JOIST04"},0),E10,F10,G10,H10)=0,"NÃO SE APLICA",INT(MAX(0,T10)/CHOOSE(MATCH($AK$3,{"JOIST01";"JOIST02";"JOIST03";"JOIST04"},0),E10,F10,G10,H10))),"NÃO SE APLICA")</f>
        <v>144</v>
      </c>
      <c r="AI10">
        <f>IF(AH10="NÃO SE APLICA",NA(),IF(T10&lt;=0,0,INT(T10/CHOOSE(MATCH($AK$3,{"JOIST01";"JOIST02";"JOIST03";"JOIST04"},0),E10,F10,G10,H10))))</f>
        <v>144</v>
      </c>
      <c r="AJ10" s="415" t="s">
        <v>564</v>
      </c>
      <c r="AK10" s="416"/>
      <c r="AL10" s="416"/>
      <c r="AM10" s="417"/>
    </row>
    <row r="11" spans="1:39" ht="19.149999999999999" customHeight="1" x14ac:dyDescent="0.25">
      <c r="A11" s="83" t="s">
        <v>128</v>
      </c>
      <c r="B11" s="83" t="s">
        <v>125</v>
      </c>
      <c r="C11" s="83" t="s">
        <v>125</v>
      </c>
      <c r="D11" s="83" t="s">
        <v>127</v>
      </c>
      <c r="E11" s="91">
        <v>8</v>
      </c>
      <c r="F11" s="91">
        <v>8</v>
      </c>
      <c r="G11" s="91">
        <v>8</v>
      </c>
      <c r="H11" s="91">
        <v>8</v>
      </c>
      <c r="I11" s="91">
        <v>0</v>
      </c>
      <c r="J11" s="91">
        <v>0</v>
      </c>
      <c r="K11" s="91">
        <v>0</v>
      </c>
      <c r="L11" s="91">
        <v>0</v>
      </c>
      <c r="M11" s="91">
        <v>0</v>
      </c>
      <c r="N11" s="91">
        <v>0</v>
      </c>
      <c r="O11" s="85">
        <v>0</v>
      </c>
      <c r="P11" s="86">
        <v>2392</v>
      </c>
      <c r="Q11" s="83">
        <f t="shared" si="5"/>
        <v>32</v>
      </c>
      <c r="R11" s="83">
        <v>4600</v>
      </c>
      <c r="S11" s="86">
        <v>2392</v>
      </c>
      <c r="T11" s="86">
        <v>2208</v>
      </c>
      <c r="U11" s="83">
        <f>ROUNDUP((SUM(E11:N11)/10)*Parametros!$B$5*(1+O11),0)</f>
        <v>2231</v>
      </c>
      <c r="V11" s="86">
        <f t="shared" si="6"/>
        <v>276</v>
      </c>
      <c r="W11" s="83">
        <f t="shared" si="7"/>
        <v>276</v>
      </c>
      <c r="X11" s="83">
        <f t="shared" si="8"/>
        <v>276</v>
      </c>
      <c r="Y11" s="83">
        <f t="shared" si="9"/>
        <v>276</v>
      </c>
      <c r="Z11" s="83"/>
      <c r="AA11" s="83" t="str">
        <f t="shared" si="0"/>
        <v>ATENÇÃO</v>
      </c>
      <c r="AB11" s="83">
        <f t="shared" si="1"/>
        <v>23</v>
      </c>
      <c r="AC11" s="83" t="s">
        <v>560</v>
      </c>
      <c r="AD11" s="66">
        <f t="shared" si="2"/>
        <v>4</v>
      </c>
      <c r="AE11" s="66" t="str">
        <f t="shared" si="3"/>
        <v>NÃO</v>
      </c>
      <c r="AF11" s="66"/>
      <c r="AG11" s="66" t="str">
        <f t="shared" si="4"/>
        <v>Tag comum entre JOISTS — não sinalizar como particular.</v>
      </c>
      <c r="AH11">
        <f>IFERROR(IF(CHOOSE(MATCH($AK$3,{"JOIST01";"JOIST02";"JOIST03";"JOIST04"},0),E11,F11,G11,H11)=0,"NÃO SE APLICA",INT(MAX(0,T11)/CHOOSE(MATCH($AK$3,{"JOIST01";"JOIST02";"JOIST03";"JOIST04"},0),E11,F11,G11,H11))),"NÃO SE APLICA")</f>
        <v>276</v>
      </c>
      <c r="AI11">
        <f>IF(AH11="NÃO SE APLICA",NA(),IF(T11&lt;=0,0,INT(T11/CHOOSE(MATCH($AK$3,{"JOIST01";"JOIST02";"JOIST03";"JOIST04"},0),E11,F11,G11,H11))))</f>
        <v>276</v>
      </c>
      <c r="AJ11" s="418"/>
      <c r="AK11" s="419"/>
      <c r="AL11" s="419"/>
      <c r="AM11" s="420"/>
    </row>
    <row r="12" spans="1:39" ht="19.149999999999999" customHeight="1" x14ac:dyDescent="0.25">
      <c r="A12" s="83" t="s">
        <v>131</v>
      </c>
      <c r="B12" s="83" t="s">
        <v>130</v>
      </c>
      <c r="C12" s="83" t="s">
        <v>130</v>
      </c>
      <c r="D12" s="83" t="s">
        <v>129</v>
      </c>
      <c r="E12" s="91">
        <v>15</v>
      </c>
      <c r="F12" s="91">
        <v>15</v>
      </c>
      <c r="G12" s="91">
        <v>15</v>
      </c>
      <c r="H12" s="91">
        <v>15</v>
      </c>
      <c r="I12" s="91">
        <v>0</v>
      </c>
      <c r="J12" s="91">
        <v>0</v>
      </c>
      <c r="K12" s="91">
        <v>0</v>
      </c>
      <c r="L12" s="91">
        <v>0</v>
      </c>
      <c r="M12" s="91">
        <v>0</v>
      </c>
      <c r="N12" s="91">
        <v>0</v>
      </c>
      <c r="O12" s="85">
        <v>0</v>
      </c>
      <c r="P12" s="86">
        <v>4485</v>
      </c>
      <c r="Q12" s="83">
        <f t="shared" si="5"/>
        <v>60</v>
      </c>
      <c r="R12" s="83">
        <v>7900</v>
      </c>
      <c r="S12" s="86">
        <v>4485</v>
      </c>
      <c r="T12" s="86">
        <v>3415</v>
      </c>
      <c r="U12" s="83">
        <f>ROUNDUP((SUM(E12:N12)/10)*Parametros!$B$5*(1+O12),0)</f>
        <v>4182</v>
      </c>
      <c r="V12" s="86">
        <f t="shared" si="6"/>
        <v>227.66666666666666</v>
      </c>
      <c r="W12" s="83">
        <f t="shared" si="7"/>
        <v>227.66666666666666</v>
      </c>
      <c r="X12" s="83">
        <f t="shared" si="8"/>
        <v>227.66666666666666</v>
      </c>
      <c r="Y12" s="83">
        <f t="shared" si="9"/>
        <v>227.66666666666666</v>
      </c>
      <c r="Z12" s="83"/>
      <c r="AA12" s="83" t="str">
        <f t="shared" si="0"/>
        <v>ATENÇÃO</v>
      </c>
      <c r="AB12" s="86">
        <f>P12-R12</f>
        <v>-3415</v>
      </c>
      <c r="AC12" s="83" t="s">
        <v>565</v>
      </c>
      <c r="AD12" s="66">
        <f t="shared" si="2"/>
        <v>4</v>
      </c>
      <c r="AE12" s="66" t="str">
        <f t="shared" si="3"/>
        <v>NÃO</v>
      </c>
      <c r="AF12" s="66"/>
      <c r="AG12" s="66" t="str">
        <f t="shared" si="4"/>
        <v>Tag comum entre JOISTS — não sinalizar como particular.</v>
      </c>
      <c r="AH12">
        <f>IFERROR(IF(CHOOSE(MATCH($AK$3,{"JOIST01";"JOIST02";"JOIST03";"JOIST04"},0),E12,F12,G12,H12)=0,"NÃO SE APLICA",INT(MAX(0,T12)/CHOOSE(MATCH($AK$3,{"JOIST01";"JOIST02";"JOIST03";"JOIST04"},0),E12,F12,G12,H12))),"NÃO SE APLICA")</f>
        <v>227</v>
      </c>
      <c r="AI12">
        <f>IF(AH12="NÃO SE APLICA",NA(),IF(T12&lt;=0,0,INT(T12/CHOOSE(MATCH($AK$3,{"JOIST01";"JOIST02";"JOIST03";"JOIST04"},0),E12,F12,G12,H12))))</f>
        <v>227</v>
      </c>
      <c r="AJ12" s="421"/>
      <c r="AK12" s="422"/>
      <c r="AL12" s="422"/>
      <c r="AM12" s="423"/>
    </row>
    <row r="13" spans="1:39" ht="19.149999999999999" customHeight="1" x14ac:dyDescent="0.25">
      <c r="A13" s="83" t="s">
        <v>132</v>
      </c>
      <c r="B13" s="83" t="s">
        <v>130</v>
      </c>
      <c r="C13" s="83" t="s">
        <v>130</v>
      </c>
      <c r="D13" s="83" t="s">
        <v>129</v>
      </c>
      <c r="E13" s="91">
        <v>15</v>
      </c>
      <c r="F13" s="91">
        <v>15</v>
      </c>
      <c r="G13" s="91">
        <v>15</v>
      </c>
      <c r="H13" s="91">
        <v>15</v>
      </c>
      <c r="I13" s="91">
        <v>0</v>
      </c>
      <c r="J13" s="91">
        <v>0</v>
      </c>
      <c r="K13" s="91">
        <v>0</v>
      </c>
      <c r="L13" s="91">
        <v>0</v>
      </c>
      <c r="M13" s="91">
        <v>0</v>
      </c>
      <c r="N13" s="91">
        <v>0</v>
      </c>
      <c r="O13" s="85">
        <v>0</v>
      </c>
      <c r="P13" s="86">
        <v>4485</v>
      </c>
      <c r="Q13" s="83">
        <f t="shared" si="5"/>
        <v>60</v>
      </c>
      <c r="R13" s="83">
        <v>7100</v>
      </c>
      <c r="S13" s="86">
        <v>4485</v>
      </c>
      <c r="T13" s="86">
        <v>2615</v>
      </c>
      <c r="U13" s="83">
        <f>ROUNDUP((SUM(E13:N13)/10)*Parametros!$B$5*(1+O13),0)</f>
        <v>4182</v>
      </c>
      <c r="V13" s="86">
        <f t="shared" si="6"/>
        <v>174.33333333333334</v>
      </c>
      <c r="W13" s="83">
        <f t="shared" si="7"/>
        <v>174.33333333333334</v>
      </c>
      <c r="X13" s="83">
        <f t="shared" si="8"/>
        <v>174.33333333333334</v>
      </c>
      <c r="Y13" s="83">
        <f t="shared" si="9"/>
        <v>174.33333333333334</v>
      </c>
      <c r="Z13" s="83"/>
      <c r="AA13" s="83" t="str">
        <f t="shared" si="0"/>
        <v>ATENÇÃO</v>
      </c>
      <c r="AB13" s="86">
        <f>P13-R13</f>
        <v>-2615</v>
      </c>
      <c r="AC13" s="83" t="s">
        <v>565</v>
      </c>
      <c r="AD13" s="66">
        <f t="shared" si="2"/>
        <v>4</v>
      </c>
      <c r="AE13" s="66" t="str">
        <f t="shared" si="3"/>
        <v>NÃO</v>
      </c>
      <c r="AF13" s="66"/>
      <c r="AG13" s="66" t="str">
        <f t="shared" si="4"/>
        <v>Tag comum entre JOISTS — não sinalizar como particular.</v>
      </c>
      <c r="AH13">
        <f>IFERROR(IF(CHOOSE(MATCH($AK$3,{"JOIST01";"JOIST02";"JOIST03";"JOIST04"},0),E13,F13,G13,H13)=0,"NÃO SE APLICA",INT(MAX(0,T13)/CHOOSE(MATCH($AK$3,{"JOIST01";"JOIST02";"JOIST03";"JOIST04"},0),E13,F13,G13,H13))),"NÃO SE APLICA")</f>
        <v>174</v>
      </c>
      <c r="AI13">
        <f>IF(AH13="NÃO SE APLICA",NA(),IF(T13&lt;=0,0,INT(T13/CHOOSE(MATCH($AK$3,{"JOIST01";"JOIST02";"JOIST03";"JOIST04"},0),E13,F13,G13,H13))))</f>
        <v>174</v>
      </c>
    </row>
    <row r="14" spans="1:39" ht="19.149999999999999" customHeight="1" x14ac:dyDescent="0.25">
      <c r="A14" s="83" t="s">
        <v>134</v>
      </c>
      <c r="B14" s="83" t="s">
        <v>130</v>
      </c>
      <c r="C14" s="83" t="s">
        <v>130</v>
      </c>
      <c r="D14" s="83" t="s">
        <v>133</v>
      </c>
      <c r="E14" s="91">
        <v>60</v>
      </c>
      <c r="F14" s="91">
        <v>60</v>
      </c>
      <c r="G14" s="91">
        <v>60</v>
      </c>
      <c r="H14" s="91">
        <v>60</v>
      </c>
      <c r="I14" s="91">
        <v>0</v>
      </c>
      <c r="J14" s="91">
        <v>0</v>
      </c>
      <c r="K14" s="91">
        <v>0</v>
      </c>
      <c r="L14" s="91">
        <v>0</v>
      </c>
      <c r="M14" s="91">
        <v>0</v>
      </c>
      <c r="N14" s="91">
        <v>0</v>
      </c>
      <c r="O14" s="85">
        <v>0</v>
      </c>
      <c r="P14" s="86">
        <v>17940</v>
      </c>
      <c r="Q14" s="83">
        <f t="shared" si="5"/>
        <v>240</v>
      </c>
      <c r="R14" s="83">
        <v>28000</v>
      </c>
      <c r="S14" s="86">
        <v>17940</v>
      </c>
      <c r="T14" s="86">
        <v>10060</v>
      </c>
      <c r="U14" s="83">
        <f>ROUNDUP((SUM(E14:N14)/10)*Parametros!$B$5*(1+O14),0)</f>
        <v>16728</v>
      </c>
      <c r="V14" s="86">
        <f t="shared" si="6"/>
        <v>167.66666666666666</v>
      </c>
      <c r="W14" s="83">
        <f t="shared" si="7"/>
        <v>167.66666666666666</v>
      </c>
      <c r="X14" s="83">
        <f t="shared" si="8"/>
        <v>167.66666666666666</v>
      </c>
      <c r="Y14" s="83">
        <f t="shared" si="9"/>
        <v>167.66666666666666</v>
      </c>
      <c r="Z14" s="83"/>
      <c r="AA14" s="83" t="str">
        <f t="shared" si="0"/>
        <v>ATENÇÃO</v>
      </c>
      <c r="AB14" s="86">
        <f>P14-R14</f>
        <v>-10060</v>
      </c>
      <c r="AC14" s="83" t="s">
        <v>560</v>
      </c>
      <c r="AD14" s="66">
        <f t="shared" si="2"/>
        <v>4</v>
      </c>
      <c r="AE14" s="66" t="str">
        <f t="shared" si="3"/>
        <v>NÃO</v>
      </c>
      <c r="AF14" s="66"/>
      <c r="AG14" s="66" t="str">
        <f t="shared" si="4"/>
        <v>Tag comum entre JOISTS — não sinalizar como particular.</v>
      </c>
      <c r="AH14">
        <f>IFERROR(IF(CHOOSE(MATCH($AK$3,{"JOIST01";"JOIST02";"JOIST03";"JOIST04"},0),E14,F14,G14,H14)=0,"NÃO SE APLICA",INT(MAX(0,T14)/CHOOSE(MATCH($AK$3,{"JOIST01";"JOIST02";"JOIST03";"JOIST04"},0),E14,F14,G14,H14))),"NÃO SE APLICA")</f>
        <v>167</v>
      </c>
      <c r="AI14">
        <f>IF(AH14="NÃO SE APLICA",NA(),IF(T14&lt;=0,0,INT(T14/CHOOSE(MATCH($AK$3,{"JOIST01";"JOIST02";"JOIST03";"JOIST04"},0),E14,F14,G14,H14))))</f>
        <v>167</v>
      </c>
    </row>
    <row r="15" spans="1:39" ht="15" customHeight="1" x14ac:dyDescent="0.25">
      <c r="A15" s="83" t="s">
        <v>137</v>
      </c>
      <c r="B15" s="83" t="s">
        <v>136</v>
      </c>
      <c r="C15" s="83" t="s">
        <v>136</v>
      </c>
      <c r="D15" s="83" t="s">
        <v>135</v>
      </c>
      <c r="E15" s="91"/>
      <c r="F15" s="91">
        <v>15</v>
      </c>
      <c r="G15" s="91">
        <v>0</v>
      </c>
      <c r="H15" s="91">
        <v>15</v>
      </c>
      <c r="I15" s="91">
        <v>0</v>
      </c>
      <c r="J15" s="91">
        <v>0</v>
      </c>
      <c r="K15" s="91">
        <v>0</v>
      </c>
      <c r="L15" s="91">
        <v>0</v>
      </c>
      <c r="M15" s="91">
        <v>0</v>
      </c>
      <c r="N15" s="91">
        <v>0</v>
      </c>
      <c r="O15" s="85">
        <v>0</v>
      </c>
      <c r="P15" s="86">
        <v>120</v>
      </c>
      <c r="Q15" s="83">
        <f t="shared" si="5"/>
        <v>30</v>
      </c>
      <c r="R15" s="83">
        <v>86</v>
      </c>
      <c r="S15" s="86">
        <v>120</v>
      </c>
      <c r="T15" s="86">
        <v>0</v>
      </c>
      <c r="U15" s="83">
        <f>ROUNDUP((SUM(E15:N15)/10)*Parametros!$B$5*(1+O15),0)</f>
        <v>2091</v>
      </c>
      <c r="V15" s="86" t="e">
        <f>T15/E15</f>
        <v>#DIV/0!</v>
      </c>
      <c r="W15" s="83">
        <f t="shared" si="7"/>
        <v>0</v>
      </c>
      <c r="X15" s="83" t="e">
        <f t="shared" si="8"/>
        <v>#DIV/0!</v>
      </c>
      <c r="Y15" s="83">
        <f t="shared" si="9"/>
        <v>0</v>
      </c>
      <c r="Z15" s="83"/>
      <c r="AA15" s="83" t="str">
        <f t="shared" si="0"/>
        <v>ATENÇÃO</v>
      </c>
      <c r="AB15" s="86">
        <f>P15-R15</f>
        <v>34</v>
      </c>
      <c r="AC15" s="83" t="s">
        <v>560</v>
      </c>
      <c r="AD15" s="66">
        <f t="shared" si="2"/>
        <v>2</v>
      </c>
      <c r="AE15" s="66" t="str">
        <f t="shared" si="3"/>
        <v>NÃO</v>
      </c>
      <c r="AF15" s="66"/>
      <c r="AG15" s="66" t="str">
        <f t="shared" si="4"/>
        <v>Tag comum entre JOISTS — não sinalizar como particular.</v>
      </c>
      <c r="AH15" t="str">
        <f>IFERROR(IF(CHOOSE(MATCH($AK$3,{"JOIST01";"JOIST02";"JOIST03";"JOIST04"},0),E15,F15,G15,H15)=0,"NÃO SE APLICA",INT(MAX(0,T15)/CHOOSE(MATCH($AK$3,{"JOIST01";"JOIST02";"JOIST03";"JOIST04"},0),E15,F15,G15,H15))),"NÃO SE APLICA")</f>
        <v>NÃO SE APLICA</v>
      </c>
      <c r="AI15" t="e">
        <f>IF(AH15="NÃO SE APLICA",NA(),IF(T15&lt;=0,0,INT(T15/CHOOSE(MATCH($AK$3,{"JOIST01";"JOIST02";"JOIST03";"JOIST04"},0),E15,F15,G15,H15))))</f>
        <v>#N/A</v>
      </c>
    </row>
    <row r="16" spans="1:39" ht="15" customHeight="1" x14ac:dyDescent="0.25">
      <c r="A16" s="97" t="s">
        <v>211</v>
      </c>
      <c r="B16" s="90" t="s">
        <v>210</v>
      </c>
      <c r="C16" s="90" t="s">
        <v>210</v>
      </c>
      <c r="D16" s="90" t="s">
        <v>209</v>
      </c>
      <c r="E16" s="91">
        <v>4</v>
      </c>
      <c r="F16" s="91">
        <v>4</v>
      </c>
      <c r="G16" s="91">
        <v>2</v>
      </c>
      <c r="H16" s="91">
        <v>2</v>
      </c>
      <c r="I16" s="91"/>
      <c r="J16" s="91">
        <v>0</v>
      </c>
      <c r="K16" s="91">
        <v>0</v>
      </c>
      <c r="L16" s="91">
        <v>0</v>
      </c>
      <c r="M16" s="91">
        <v>0</v>
      </c>
      <c r="N16" s="91">
        <v>0</v>
      </c>
      <c r="O16" s="85">
        <v>0</v>
      </c>
      <c r="P16" s="86">
        <v>1196</v>
      </c>
      <c r="Q16" s="83">
        <f t="shared" si="5"/>
        <v>12</v>
      </c>
      <c r="R16" s="83">
        <v>1400</v>
      </c>
      <c r="S16" s="86">
        <v>1196</v>
      </c>
      <c r="T16" s="86">
        <v>204</v>
      </c>
      <c r="U16" s="83">
        <f>ROUNDUP((SUM(E16:N16)/10)*Parametros!$B$5*(1+O16),0)</f>
        <v>837</v>
      </c>
      <c r="V16" s="86">
        <f t="shared" si="6"/>
        <v>51</v>
      </c>
      <c r="W16" s="83">
        <f t="shared" si="7"/>
        <v>51</v>
      </c>
      <c r="X16" s="83">
        <f t="shared" si="8"/>
        <v>102</v>
      </c>
      <c r="Y16" s="83">
        <f t="shared" si="9"/>
        <v>102</v>
      </c>
      <c r="Z16" s="83"/>
      <c r="AA16" s="83" t="str">
        <f t="shared" si="0"/>
        <v>ATENÇÃO</v>
      </c>
      <c r="AB16" s="86"/>
      <c r="AC16" s="83"/>
      <c r="AD16" s="66"/>
      <c r="AE16" s="66"/>
      <c r="AF16" s="66"/>
      <c r="AG16" s="66"/>
      <c r="AH16">
        <f>IFERROR(IF(CHOOSE(MATCH($AK$3,{"JOIST01";"JOIST02";"JOIST03";"JOIST04"},0),E16,F16,G16,H16)=0,"NÃO SE APLICA",INT(MAX(0,T16)/CHOOSE(MATCH($AK$3,{"JOIST01";"JOIST02";"JOIST03";"JOIST04"},0),E16,F16,G16,H16))),"NÃO SE APLICA")</f>
        <v>51</v>
      </c>
      <c r="AI16">
        <f>IF(AH16="NÃO SE APLICA",NA(),IF(T16&lt;=0,0,INT(T16/CHOOSE(MATCH($AK$3,{"JOIST01";"JOIST02";"JOIST03";"JOIST04"},0),E16,F16,G16,H16))))</f>
        <v>51</v>
      </c>
    </row>
    <row r="17" spans="1:35" x14ac:dyDescent="0.25">
      <c r="A17" s="97" t="s">
        <v>212</v>
      </c>
      <c r="B17" s="90" t="s">
        <v>210</v>
      </c>
      <c r="C17" s="90" t="s">
        <v>210</v>
      </c>
      <c r="D17" s="90" t="s">
        <v>209</v>
      </c>
      <c r="E17" s="91">
        <v>4</v>
      </c>
      <c r="F17" s="91">
        <v>4</v>
      </c>
      <c r="G17" s="91">
        <v>2</v>
      </c>
      <c r="H17" s="91">
        <v>2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>
        <v>0</v>
      </c>
      <c r="O17" s="85">
        <v>0</v>
      </c>
      <c r="P17" s="86">
        <v>1196</v>
      </c>
      <c r="Q17" s="83">
        <f t="shared" si="5"/>
        <v>12</v>
      </c>
      <c r="R17" s="83">
        <v>1400</v>
      </c>
      <c r="S17" s="86">
        <v>1196</v>
      </c>
      <c r="T17" s="86">
        <v>204</v>
      </c>
      <c r="U17" s="83">
        <f>ROUNDUP((SUM(E17:N17)/10)*Parametros!$B$5*(1+O17),0)</f>
        <v>837</v>
      </c>
      <c r="V17" s="86">
        <f t="shared" si="6"/>
        <v>51</v>
      </c>
      <c r="W17" s="83">
        <f t="shared" si="7"/>
        <v>51</v>
      </c>
      <c r="X17" s="83">
        <f t="shared" si="8"/>
        <v>102</v>
      </c>
      <c r="Y17" s="83">
        <f t="shared" si="9"/>
        <v>102</v>
      </c>
      <c r="Z17" s="83"/>
      <c r="AA17" s="83" t="str">
        <f t="shared" si="0"/>
        <v>ATENÇÃO</v>
      </c>
      <c r="AB17" s="86"/>
      <c r="AC17" s="83"/>
      <c r="AD17" s="66"/>
      <c r="AE17" s="66"/>
      <c r="AF17" s="66"/>
      <c r="AG17" s="66" t="str">
        <f t="shared" si="4"/>
        <v>Sem consumo cadastrado.</v>
      </c>
      <c r="AH17">
        <f>IFERROR(IF(CHOOSE(MATCH($AK$3,{"JOIST01";"JOIST02";"JOIST03";"JOIST04"},0),E17,F17,G17,H17)=0,"NÃO SE APLICA",INT(MAX(0,T17)/CHOOSE(MATCH($AK$3,{"JOIST01";"JOIST02";"JOIST03";"JOIST04"},0),E17,F17,G17,H17))),"NÃO SE APLICA")</f>
        <v>51</v>
      </c>
      <c r="AI17">
        <f>IF(AH17="NÃO SE APLICA",NA(),IF(T17&lt;=0,0,INT(T17/CHOOSE(MATCH($AK$3,{"JOIST01";"JOIST02";"JOIST03";"JOIST04"},0),E17,F17,G17,H17))))</f>
        <v>51</v>
      </c>
    </row>
    <row r="18" spans="1:35" ht="63" hidden="1" x14ac:dyDescent="0.25">
      <c r="A18" s="209" t="s">
        <v>566</v>
      </c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10"/>
      <c r="P18" s="211"/>
      <c r="Q18" s="209"/>
      <c r="R18" s="83">
        <f>IFERROR(SUMIF(Controle_Materiais!$A:$A,$A18,Controle_Materiais!$J:$J),0)</f>
        <v>0</v>
      </c>
      <c r="S18" s="86">
        <f>IFERROR(SUMIF(Controle_Materiais!$A:$A,$A18,Controle_Materiais!$O:$O),0)</f>
        <v>0</v>
      </c>
      <c r="T18" s="86">
        <f t="shared" ref="T18:T19" si="10">MAX(R18-S18,0)</f>
        <v>0</v>
      </c>
      <c r="U18" s="83"/>
      <c r="V18" s="86"/>
      <c r="W18" s="83"/>
      <c r="X18" s="83"/>
      <c r="Y18" s="83"/>
      <c r="Z18" s="83"/>
      <c r="AA18" s="83" t="str">
        <f t="shared" si="0"/>
        <v>SEM CONSUMO</v>
      </c>
      <c r="AB18" s="86"/>
      <c r="AC18" s="83"/>
      <c r="AD18" s="66"/>
      <c r="AE18" s="66"/>
      <c r="AF18" s="66"/>
      <c r="AG18" s="66" t="str">
        <f t="shared" si="4"/>
        <v>Sem consumo cadastrado.</v>
      </c>
      <c r="AH18" t="str">
        <f>IFERROR(IF(CHOOSE(MATCH($AK$3,{"JOIST01";"JOIST02";"JOIST03";"JOIST04"},0),E18,F18,G18,H18)=0,"NÃO SE APLICA",INT(MAX(0,T18)/CHOOSE(MATCH($AK$3,{"JOIST01";"JOIST02";"JOIST03";"JOIST04"},0),E18,F18,G18,H18))),"NÃO SE APLICA")</f>
        <v>NÃO SE APLICA</v>
      </c>
      <c r="AI18" t="e">
        <f>IF(AH18="NÃO SE APLICA",NA(),IF(T18&lt;=0,0,INT(T18/CHOOSE(MATCH($AK$3,{"JOIST01";"JOIST02";"JOIST03";"JOIST04"},0),E18,F18,G18,H18))))</f>
        <v>#N/A</v>
      </c>
    </row>
    <row r="19" spans="1:35" ht="180" hidden="1" x14ac:dyDescent="0.25">
      <c r="A19" s="161" t="s">
        <v>102</v>
      </c>
      <c r="B19" s="161" t="s">
        <v>101</v>
      </c>
      <c r="C19" s="161" t="s">
        <v>511</v>
      </c>
      <c r="D19" s="161" t="s">
        <v>100</v>
      </c>
      <c r="E19" s="161" t="s">
        <v>531</v>
      </c>
      <c r="F19" s="161" t="s">
        <v>532</v>
      </c>
      <c r="G19" s="161" t="s">
        <v>533</v>
      </c>
      <c r="H19" s="161" t="s">
        <v>534</v>
      </c>
      <c r="I19" s="161" t="s">
        <v>535</v>
      </c>
      <c r="J19" s="161" t="s">
        <v>536</v>
      </c>
      <c r="K19" s="161" t="s">
        <v>537</v>
      </c>
      <c r="L19" s="161" t="s">
        <v>538</v>
      </c>
      <c r="M19" s="161" t="s">
        <v>539</v>
      </c>
      <c r="N19" s="161" t="s">
        <v>540</v>
      </c>
      <c r="O19" s="167" t="s">
        <v>541</v>
      </c>
      <c r="P19" s="168" t="s">
        <v>542</v>
      </c>
      <c r="Q19" s="161" t="s">
        <v>543</v>
      </c>
      <c r="R19" s="83">
        <f>IFERROR(SUMIF(Controle_Materiais!$A:$A,$A19,Controle_Materiais!$J:$J),0)</f>
        <v>0</v>
      </c>
      <c r="S19" s="86">
        <f>IFERROR(SUMIF(Controle_Materiais!$A:$A,$A19,Controle_Materiais!$O:$O),0)</f>
        <v>0</v>
      </c>
      <c r="T19" s="86">
        <f t="shared" si="10"/>
        <v>0</v>
      </c>
      <c r="U19" s="83"/>
      <c r="V19" s="86"/>
      <c r="W19" s="83"/>
      <c r="X19" s="83"/>
      <c r="Y19" s="83"/>
      <c r="Z19" s="83"/>
      <c r="AA19" s="83" t="str">
        <f t="shared" si="0"/>
        <v>ATENÇÃO</v>
      </c>
      <c r="AB19" s="86"/>
      <c r="AC19" s="83"/>
      <c r="AD19" s="66"/>
      <c r="AE19" s="66"/>
      <c r="AF19" s="66"/>
      <c r="AG19" s="66" t="str">
        <f t="shared" si="4"/>
        <v>Sem consumo cadastrado.</v>
      </c>
      <c r="AH19" t="str">
        <f>IFERROR(IF(CHOOSE(MATCH($AK$3,{"JOIST01";"JOIST02";"JOIST03";"JOIST04"},0),E19,F19,G19,H19)=0,"NÃO SE APLICA",INT(MAX(0,T19)/CHOOSE(MATCH($AK$3,{"JOIST01";"JOIST02";"JOIST03";"JOIST04"},0),E19,F19,G19,H19))),"NÃO SE APLICA")</f>
        <v>NÃO SE APLICA</v>
      </c>
      <c r="AI19" t="e">
        <f>IF(AH19="NÃO SE APLICA",NA(),IF(T19&lt;=0,0,INT(T19/CHOOSE(MATCH($AK$3,{"JOIST01";"JOIST02";"JOIST03";"JOIST04"},0),E19,F19,G19,H19))))</f>
        <v>#N/A</v>
      </c>
    </row>
    <row r="20" spans="1:35" ht="16.149999999999999" customHeight="1" x14ac:dyDescent="0.25">
      <c r="A20" s="83" t="s">
        <v>412</v>
      </c>
      <c r="B20" s="169" t="s">
        <v>567</v>
      </c>
      <c r="C20" s="169" t="s">
        <v>410</v>
      </c>
      <c r="D20" s="169" t="s">
        <v>423</v>
      </c>
      <c r="E20" s="91">
        <v>16</v>
      </c>
      <c r="F20" s="91">
        <v>16</v>
      </c>
      <c r="G20" s="91">
        <v>16</v>
      </c>
      <c r="H20" s="91">
        <v>16</v>
      </c>
      <c r="I20" s="170">
        <v>0</v>
      </c>
      <c r="J20" s="170">
        <v>0</v>
      </c>
      <c r="K20" s="170">
        <v>0</v>
      </c>
      <c r="L20" s="170">
        <v>0</v>
      </c>
      <c r="M20" s="170">
        <v>0</v>
      </c>
      <c r="N20" s="170">
        <v>0</v>
      </c>
      <c r="O20" s="173">
        <v>0.05</v>
      </c>
      <c r="P20" s="171">
        <v>5024</v>
      </c>
      <c r="Q20" s="172">
        <f>S20</f>
        <v>5024</v>
      </c>
      <c r="R20" s="83">
        <v>12400</v>
      </c>
      <c r="S20" s="86">
        <v>5024</v>
      </c>
      <c r="T20" s="86">
        <v>7376</v>
      </c>
      <c r="U20" s="83">
        <f>ROUNDUP((SUM(E20:N20)/10)*Parametros!$B$5*(1+O20),0)</f>
        <v>4684</v>
      </c>
      <c r="V20" s="86">
        <f t="shared" si="6"/>
        <v>461</v>
      </c>
      <c r="W20" s="83">
        <f t="shared" si="7"/>
        <v>461</v>
      </c>
      <c r="X20" s="83">
        <f t="shared" si="8"/>
        <v>461</v>
      </c>
      <c r="Y20" s="83">
        <f t="shared" si="9"/>
        <v>461</v>
      </c>
      <c r="Z20" s="83"/>
      <c r="AA20" s="83" t="str">
        <f t="shared" si="0"/>
        <v>OK</v>
      </c>
      <c r="AB20" s="86">
        <f t="shared" ref="AB20:AB24" si="11">P20-R20</f>
        <v>-7376</v>
      </c>
      <c r="AC20" s="83" t="s">
        <v>560</v>
      </c>
      <c r="AD20" s="66">
        <f t="shared" ref="AD20:AD24" si="12">COUNTIF(E20:O20,"&gt;0")</f>
        <v>5</v>
      </c>
      <c r="AE20" s="66" t="str">
        <f t="shared" si="3"/>
        <v>NÃO</v>
      </c>
      <c r="AF20" s="66"/>
      <c r="AG20" s="66" t="str">
        <f t="shared" si="4"/>
        <v>Tag comum entre JOISTS — não sinalizar como particular.</v>
      </c>
      <c r="AH20">
        <f>IFERROR(IF(CHOOSE(MATCH($AK$3,{"JOIST01";"JOIST02";"JOIST03";"JOIST04"},0),E20,F20,G20,H20)=0,"NÃO SE APLICA",INT(MAX(0,T20)/CHOOSE(MATCH($AK$3,{"JOIST01";"JOIST02";"JOIST03";"JOIST04"},0),E20,F20,G20,H20))),"NÃO SE APLICA")</f>
        <v>461</v>
      </c>
      <c r="AI20">
        <f>IF(AH20="NÃO SE APLICA",NA(),IF(T20&lt;=0,0,INT(T20/CHOOSE(MATCH($AK$3,{"JOIST01";"JOIST02";"JOIST03";"JOIST04"},0),E20,F20,G20,H20))))</f>
        <v>461</v>
      </c>
    </row>
    <row r="21" spans="1:35" ht="16.149999999999999" customHeight="1" x14ac:dyDescent="0.25">
      <c r="A21" s="83" t="s">
        <v>415</v>
      </c>
      <c r="B21" s="169" t="s">
        <v>567</v>
      </c>
      <c r="C21" s="169" t="s">
        <v>414</v>
      </c>
      <c r="D21" s="169" t="s">
        <v>378</v>
      </c>
      <c r="E21" s="91">
        <v>376</v>
      </c>
      <c r="F21" s="91">
        <v>376</v>
      </c>
      <c r="G21" s="91">
        <v>376</v>
      </c>
      <c r="H21" s="91">
        <v>376</v>
      </c>
      <c r="I21" s="170">
        <v>0</v>
      </c>
      <c r="J21" s="170">
        <v>0</v>
      </c>
      <c r="K21" s="170">
        <v>0</v>
      </c>
      <c r="L21" s="170">
        <v>0</v>
      </c>
      <c r="M21" s="170">
        <v>0</v>
      </c>
      <c r="N21" s="170">
        <v>0</v>
      </c>
      <c r="O21" s="173">
        <v>0.05</v>
      </c>
      <c r="P21" s="171">
        <v>118046</v>
      </c>
      <c r="Q21" s="172">
        <f t="shared" ref="Q21:Q25" si="13">S21</f>
        <v>118046</v>
      </c>
      <c r="R21" s="83">
        <v>156400</v>
      </c>
      <c r="S21" s="86">
        <v>118046</v>
      </c>
      <c r="T21" s="86">
        <v>38354</v>
      </c>
      <c r="U21" s="83">
        <f>ROUNDUP((SUM(E21:N21)/10)*Parametros!$B$5*(1+O21),0)</f>
        <v>110071</v>
      </c>
      <c r="V21" s="86">
        <f t="shared" si="6"/>
        <v>102.00531914893617</v>
      </c>
      <c r="W21" s="83">
        <f t="shared" si="7"/>
        <v>102.00531914893617</v>
      </c>
      <c r="X21" s="83">
        <f t="shared" si="8"/>
        <v>102.00531914893617</v>
      </c>
      <c r="Y21" s="83">
        <f t="shared" si="9"/>
        <v>102.00531914893617</v>
      </c>
      <c r="Z21" s="83"/>
      <c r="AA21" s="83" t="str">
        <f t="shared" si="0"/>
        <v>ATENÇÃO</v>
      </c>
      <c r="AB21" s="86">
        <f t="shared" si="11"/>
        <v>-38354</v>
      </c>
      <c r="AC21" s="83" t="s">
        <v>565</v>
      </c>
      <c r="AD21" s="66">
        <f t="shared" si="12"/>
        <v>5</v>
      </c>
      <c r="AE21" s="66" t="str">
        <f t="shared" si="3"/>
        <v>NÃO</v>
      </c>
      <c r="AF21" s="66"/>
      <c r="AG21" s="66" t="str">
        <f t="shared" si="4"/>
        <v>Tag comum entre JOISTS — não sinalizar como particular.</v>
      </c>
      <c r="AH21">
        <f>IFERROR(IF(CHOOSE(MATCH($AK$3,{"JOIST01";"JOIST02";"JOIST03";"JOIST04"},0),E21,F21,G21,H21)=0,"NÃO SE APLICA",INT(MAX(0,T21)/CHOOSE(MATCH($AK$3,{"JOIST01";"JOIST02";"JOIST03";"JOIST04"},0),E21,F21,G21,H21))),"NÃO SE APLICA")</f>
        <v>102</v>
      </c>
      <c r="AI21">
        <f>IF(AH21="NÃO SE APLICA",NA(),IF(T21&lt;=0,0,INT(T21/CHOOSE(MATCH($AK$3,{"JOIST01";"JOIST02";"JOIST03";"JOIST04"},0),E21,F21,G21,H21))))</f>
        <v>102</v>
      </c>
    </row>
    <row r="22" spans="1:35" ht="16.149999999999999" customHeight="1" x14ac:dyDescent="0.25">
      <c r="A22" s="83" t="s">
        <v>431</v>
      </c>
      <c r="B22" s="169" t="s">
        <v>567</v>
      </c>
      <c r="C22" s="169" t="s">
        <v>430</v>
      </c>
      <c r="D22" s="169" t="s">
        <v>378</v>
      </c>
      <c r="E22" s="91">
        <v>392</v>
      </c>
      <c r="F22" s="91">
        <v>392</v>
      </c>
      <c r="G22" s="91">
        <v>392</v>
      </c>
      <c r="H22" s="91">
        <v>392</v>
      </c>
      <c r="I22" s="170">
        <v>0</v>
      </c>
      <c r="J22" s="170">
        <v>0</v>
      </c>
      <c r="K22" s="170">
        <v>0</v>
      </c>
      <c r="L22" s="170">
        <v>0</v>
      </c>
      <c r="M22" s="170">
        <v>0</v>
      </c>
      <c r="N22" s="170">
        <v>0</v>
      </c>
      <c r="O22" s="173">
        <v>0.05</v>
      </c>
      <c r="P22" s="171">
        <v>123069</v>
      </c>
      <c r="Q22" s="172">
        <f t="shared" si="13"/>
        <v>123069</v>
      </c>
      <c r="R22" s="83">
        <v>158900</v>
      </c>
      <c r="S22" s="86">
        <v>123069</v>
      </c>
      <c r="T22" s="86">
        <v>35831</v>
      </c>
      <c r="U22" s="83">
        <f>ROUNDUP((SUM(E22:N22)/10)*Parametros!$B$5*(1+O22),0)</f>
        <v>114755</v>
      </c>
      <c r="V22" s="86">
        <f t="shared" si="6"/>
        <v>91.405612244897952</v>
      </c>
      <c r="W22" s="83">
        <f t="shared" si="7"/>
        <v>91.405612244897952</v>
      </c>
      <c r="X22" s="83">
        <f t="shared" si="8"/>
        <v>91.405612244897952</v>
      </c>
      <c r="Y22" s="83">
        <f t="shared" si="9"/>
        <v>91.405612244897952</v>
      </c>
      <c r="Z22" s="83"/>
      <c r="AA22" s="83" t="str">
        <f t="shared" si="0"/>
        <v>ATENÇÃO</v>
      </c>
      <c r="AB22" s="86">
        <f t="shared" si="11"/>
        <v>-35831</v>
      </c>
      <c r="AC22" s="83" t="s">
        <v>560</v>
      </c>
      <c r="AD22" s="66">
        <f t="shared" si="12"/>
        <v>5</v>
      </c>
      <c r="AE22" s="66" t="str">
        <f t="shared" si="3"/>
        <v>NÃO</v>
      </c>
      <c r="AF22" s="66"/>
      <c r="AG22" s="66" t="str">
        <f t="shared" si="4"/>
        <v>Tag comum entre JOISTS — não sinalizar como particular.</v>
      </c>
      <c r="AH22">
        <f>IFERROR(IF(CHOOSE(MATCH($AK$3,{"JOIST01";"JOIST02";"JOIST03";"JOIST04"},0),E22,F22,G22,H22)=0,"NÃO SE APLICA",INT(MAX(0,T22)/CHOOSE(MATCH($AK$3,{"JOIST01";"JOIST02";"JOIST03";"JOIST04"},0),E22,F22,G22,H22))),"NÃO SE APLICA")</f>
        <v>91</v>
      </c>
      <c r="AI22">
        <f>IF(AH22="NÃO SE APLICA",NA(),IF(T22&lt;=0,0,INT(T22/CHOOSE(MATCH($AK$3,{"JOIST01";"JOIST02";"JOIST03";"JOIST04"},0),E22,F22,G22,H22))))</f>
        <v>91</v>
      </c>
    </row>
    <row r="23" spans="1:35" ht="16.149999999999999" customHeight="1" x14ac:dyDescent="0.25">
      <c r="A23" s="83" t="s">
        <v>377</v>
      </c>
      <c r="B23" s="169" t="s">
        <v>567</v>
      </c>
      <c r="C23" s="169" t="s">
        <v>376</v>
      </c>
      <c r="D23" s="169" t="s">
        <v>406</v>
      </c>
      <c r="E23" s="91">
        <v>392</v>
      </c>
      <c r="F23" s="91">
        <v>392</v>
      </c>
      <c r="G23" s="91">
        <v>392</v>
      </c>
      <c r="H23" s="91">
        <v>392</v>
      </c>
      <c r="I23" s="170">
        <v>0</v>
      </c>
      <c r="J23" s="170">
        <v>0</v>
      </c>
      <c r="K23" s="170">
        <v>0</v>
      </c>
      <c r="L23" s="170">
        <v>0</v>
      </c>
      <c r="M23" s="170">
        <v>0</v>
      </c>
      <c r="N23" s="170">
        <v>0</v>
      </c>
      <c r="O23" s="173">
        <v>0.05</v>
      </c>
      <c r="P23" s="171">
        <v>123069</v>
      </c>
      <c r="Q23" s="172">
        <f t="shared" si="13"/>
        <v>123069</v>
      </c>
      <c r="R23" s="83">
        <v>158900</v>
      </c>
      <c r="S23" s="86">
        <v>123069</v>
      </c>
      <c r="T23" s="86">
        <v>35831</v>
      </c>
      <c r="U23" s="83">
        <f>ROUNDUP((SUM(E23:N23)/10)*Parametros!$B$5*(1+O23),0)</f>
        <v>114755</v>
      </c>
      <c r="V23" s="86">
        <f t="shared" si="6"/>
        <v>91.405612244897952</v>
      </c>
      <c r="W23" s="83">
        <f t="shared" si="7"/>
        <v>91.405612244897952</v>
      </c>
      <c r="X23" s="83">
        <f t="shared" si="8"/>
        <v>91.405612244897952</v>
      </c>
      <c r="Y23" s="83">
        <f t="shared" si="9"/>
        <v>91.405612244897952</v>
      </c>
      <c r="Z23" s="83"/>
      <c r="AA23" s="83" t="str">
        <f t="shared" si="0"/>
        <v>ATENÇÃO</v>
      </c>
      <c r="AB23" s="86">
        <f t="shared" si="11"/>
        <v>-35831</v>
      </c>
      <c r="AC23" s="83" t="s">
        <v>560</v>
      </c>
      <c r="AD23" s="66">
        <f t="shared" si="12"/>
        <v>5</v>
      </c>
      <c r="AE23" s="66" t="str">
        <f t="shared" si="3"/>
        <v>NÃO</v>
      </c>
      <c r="AF23" s="66"/>
      <c r="AG23" s="66" t="str">
        <f t="shared" si="4"/>
        <v>Tag comum entre JOISTS — não sinalizar como particular.</v>
      </c>
      <c r="AH23">
        <f>IFERROR(IF(CHOOSE(MATCH($AK$3,{"JOIST01";"JOIST02";"JOIST03";"JOIST04"},0),E23,F23,G23,H23)=0,"NÃO SE APLICA",INT(MAX(0,T23)/CHOOSE(MATCH($AK$3,{"JOIST01";"JOIST02";"JOIST03";"JOIST04"},0),E23,F23,G23,H23))),"NÃO SE APLICA")</f>
        <v>91</v>
      </c>
      <c r="AI23">
        <f>IF(AH23="NÃO SE APLICA",NA(),IF(T23&lt;=0,0,INT(T23/CHOOSE(MATCH($AK$3,{"JOIST01";"JOIST02";"JOIST03";"JOIST04"},0),E23,F23,G23,H23))))</f>
        <v>91</v>
      </c>
    </row>
    <row r="24" spans="1:35" ht="16.149999999999999" customHeight="1" x14ac:dyDescent="0.25">
      <c r="A24" s="83" t="s">
        <v>382</v>
      </c>
      <c r="B24" s="169" t="s">
        <v>567</v>
      </c>
      <c r="C24" s="169" t="s">
        <v>506</v>
      </c>
      <c r="D24" s="169" t="s">
        <v>568</v>
      </c>
      <c r="E24" s="91">
        <v>256</v>
      </c>
      <c r="F24" s="91">
        <v>256</v>
      </c>
      <c r="G24" s="91">
        <v>256</v>
      </c>
      <c r="H24" s="91">
        <v>256</v>
      </c>
      <c r="I24" s="170">
        <v>0</v>
      </c>
      <c r="J24" s="170">
        <v>0</v>
      </c>
      <c r="K24" s="170">
        <v>0</v>
      </c>
      <c r="L24" s="170">
        <v>0</v>
      </c>
      <c r="M24" s="170">
        <v>0</v>
      </c>
      <c r="N24" s="170">
        <v>0</v>
      </c>
      <c r="O24" s="173">
        <v>0.05</v>
      </c>
      <c r="P24" s="171">
        <v>80372</v>
      </c>
      <c r="Q24" s="172">
        <f t="shared" si="13"/>
        <v>80372</v>
      </c>
      <c r="R24" s="83">
        <v>138400</v>
      </c>
      <c r="S24" s="86">
        <v>80372</v>
      </c>
      <c r="T24" s="86">
        <v>58028</v>
      </c>
      <c r="U24" s="83">
        <f>ROUNDUP((SUM(E24:N24)/10)*Parametros!$B$5*(1+O24),0)</f>
        <v>74942</v>
      </c>
      <c r="V24" s="86">
        <f t="shared" si="6"/>
        <v>226.671875</v>
      </c>
      <c r="W24" s="83">
        <f t="shared" si="7"/>
        <v>226.671875</v>
      </c>
      <c r="X24" s="83">
        <f t="shared" si="8"/>
        <v>226.671875</v>
      </c>
      <c r="Y24" s="83">
        <f t="shared" si="9"/>
        <v>226.671875</v>
      </c>
      <c r="Z24" s="83"/>
      <c r="AA24" s="83" t="str">
        <f t="shared" si="0"/>
        <v>ATENÇÃO</v>
      </c>
      <c r="AB24" s="86">
        <f t="shared" si="11"/>
        <v>-58028</v>
      </c>
      <c r="AC24" s="83" t="s">
        <v>560</v>
      </c>
      <c r="AD24" s="66">
        <f t="shared" si="12"/>
        <v>5</v>
      </c>
      <c r="AE24" s="66" t="str">
        <f t="shared" si="3"/>
        <v>NÃO</v>
      </c>
      <c r="AF24" s="66"/>
      <c r="AG24" s="66" t="str">
        <f t="shared" si="4"/>
        <v>Tag comum entre JOISTS — não sinalizar como particular.</v>
      </c>
      <c r="AH24">
        <f>IFERROR(IF(CHOOSE(MATCH($AK$3,{"JOIST01";"JOIST02";"JOIST03";"JOIST04"},0),E24,F24,G24,H24)=0,"NÃO SE APLICA",INT(MAX(0,T24)/CHOOSE(MATCH($AK$3,{"JOIST01";"JOIST02";"JOIST03";"JOIST04"},0),E24,F24,G24,H24))),"NÃO SE APLICA")</f>
        <v>226</v>
      </c>
      <c r="AI24">
        <f>IF(AH24="NÃO SE APLICA",NA(),IF(T24&lt;=0,0,INT(T24/CHOOSE(MATCH($AK$3,{"JOIST01";"JOIST02";"JOIST03";"JOIST04"},0),E24,F24,G24,H24))))</f>
        <v>226</v>
      </c>
    </row>
    <row r="25" spans="1:35" ht="19.149999999999999" customHeight="1" x14ac:dyDescent="0.25">
      <c r="A25" s="183" t="s">
        <v>397</v>
      </c>
      <c r="B25" s="183" t="s">
        <v>567</v>
      </c>
      <c r="C25" s="183" t="s">
        <v>396</v>
      </c>
      <c r="D25" s="183" t="s">
        <v>378</v>
      </c>
      <c r="E25" s="91">
        <v>8</v>
      </c>
      <c r="F25" s="91">
        <v>8</v>
      </c>
      <c r="G25" s="91">
        <v>8</v>
      </c>
      <c r="H25" s="91">
        <v>8</v>
      </c>
      <c r="I25" s="91"/>
      <c r="J25" s="91"/>
      <c r="K25" s="91"/>
      <c r="L25" s="91"/>
      <c r="M25" s="91"/>
      <c r="N25" s="91"/>
      <c r="O25" s="85">
        <v>0.05</v>
      </c>
      <c r="P25" s="86">
        <v>2512</v>
      </c>
      <c r="Q25" s="172">
        <f t="shared" si="13"/>
        <v>3091</v>
      </c>
      <c r="R25" s="83">
        <v>1450</v>
      </c>
      <c r="S25" s="86">
        <v>3091</v>
      </c>
      <c r="T25" s="86">
        <v>0</v>
      </c>
      <c r="U25" s="83"/>
      <c r="V25" s="83"/>
      <c r="W25" s="83"/>
      <c r="X25" s="83"/>
      <c r="Y25" s="83"/>
      <c r="Z25" s="83"/>
      <c r="AA25" s="83" t="str">
        <f t="shared" si="0"/>
        <v>ATENÇÃO</v>
      </c>
      <c r="AB25" s="86"/>
      <c r="AC25" s="83"/>
      <c r="AD25" s="66"/>
      <c r="AE25" s="66"/>
      <c r="AF25" s="66"/>
      <c r="AG25" s="66"/>
      <c r="AH25" s="336">
        <v>85</v>
      </c>
      <c r="AI25">
        <v>85</v>
      </c>
    </row>
    <row r="26" spans="1:35" ht="19.149999999999999" customHeight="1" x14ac:dyDescent="0.25">
      <c r="A26" s="183" t="s">
        <v>2074</v>
      </c>
      <c r="B26" s="183" t="s">
        <v>567</v>
      </c>
      <c r="C26" s="183" t="s">
        <v>1276</v>
      </c>
      <c r="D26" s="183" t="s">
        <v>2075</v>
      </c>
      <c r="E26" s="91">
        <v>0</v>
      </c>
      <c r="F26" s="91">
        <v>0</v>
      </c>
      <c r="G26" s="91">
        <v>0</v>
      </c>
      <c r="H26" s="91">
        <v>0</v>
      </c>
      <c r="I26" s="91">
        <v>0</v>
      </c>
      <c r="J26" s="91">
        <v>0</v>
      </c>
      <c r="K26" s="91">
        <v>0</v>
      </c>
      <c r="L26" s="91">
        <v>0</v>
      </c>
      <c r="M26" s="91">
        <v>0</v>
      </c>
      <c r="N26" s="91">
        <v>0</v>
      </c>
      <c r="O26" s="85">
        <v>0</v>
      </c>
      <c r="P26" s="86">
        <v>0</v>
      </c>
      <c r="Q26" s="172"/>
      <c r="R26" s="83">
        <v>0</v>
      </c>
      <c r="S26" s="86">
        <v>0</v>
      </c>
      <c r="T26" s="86">
        <v>0</v>
      </c>
      <c r="U26" s="83"/>
      <c r="V26" s="83"/>
      <c r="W26" s="83"/>
      <c r="X26" s="83"/>
      <c r="Y26" s="83"/>
      <c r="Z26" s="83"/>
      <c r="AA26" s="83"/>
      <c r="AB26" s="86"/>
      <c r="AC26" s="83"/>
      <c r="AD26" s="66"/>
      <c r="AE26" s="66"/>
      <c r="AF26" s="66"/>
      <c r="AG26" s="66"/>
    </row>
    <row r="27" spans="1:35" ht="19.149999999999999" customHeight="1" x14ac:dyDescent="0.25">
      <c r="A27" s="183" t="s">
        <v>2076</v>
      </c>
      <c r="B27" s="183" t="s">
        <v>567</v>
      </c>
      <c r="C27" s="183" t="s">
        <v>1350</v>
      </c>
      <c r="D27" s="183" t="s">
        <v>2075</v>
      </c>
      <c r="E27" s="91">
        <v>0</v>
      </c>
      <c r="F27" s="91">
        <v>0</v>
      </c>
      <c r="G27" s="91">
        <v>0</v>
      </c>
      <c r="H27" s="91">
        <v>0</v>
      </c>
      <c r="I27" s="91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85">
        <v>0</v>
      </c>
      <c r="P27" s="86">
        <v>0</v>
      </c>
      <c r="Q27" s="172"/>
      <c r="R27" s="83">
        <v>0</v>
      </c>
      <c r="S27" s="86">
        <v>0</v>
      </c>
      <c r="T27" s="86">
        <v>0</v>
      </c>
      <c r="U27" s="83"/>
      <c r="V27" s="83"/>
      <c r="W27" s="83"/>
      <c r="X27" s="83"/>
      <c r="Y27" s="83"/>
      <c r="Z27" s="83"/>
      <c r="AA27" s="83"/>
      <c r="AB27" s="86"/>
      <c r="AC27" s="83"/>
      <c r="AD27" s="66"/>
      <c r="AE27" s="66"/>
      <c r="AF27" s="66"/>
      <c r="AG27" s="66"/>
    </row>
    <row r="28" spans="1:35" ht="19.149999999999999" customHeight="1" x14ac:dyDescent="0.25">
      <c r="A28" s="83"/>
      <c r="B28" s="83"/>
      <c r="C28" s="83"/>
      <c r="D28" s="83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85"/>
      <c r="P28" s="86"/>
      <c r="Q28" s="83"/>
      <c r="R28" s="83"/>
      <c r="S28" s="86"/>
      <c r="T28" s="86"/>
      <c r="U28" s="83"/>
      <c r="V28" s="83"/>
      <c r="W28" s="83"/>
      <c r="X28" s="83"/>
      <c r="Y28" s="83"/>
      <c r="Z28" s="83"/>
      <c r="AA28" s="83"/>
      <c r="AB28" s="86"/>
      <c r="AC28" s="83"/>
      <c r="AD28" s="66"/>
      <c r="AE28" s="66"/>
      <c r="AF28" s="66"/>
      <c r="AG28" s="66"/>
    </row>
    <row r="29" spans="1:35" ht="19.149999999999999" customHeight="1" x14ac:dyDescent="0.25">
      <c r="A29" s="83"/>
      <c r="B29" s="83"/>
      <c r="C29" s="83"/>
      <c r="D29" s="83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85"/>
      <c r="P29" s="86"/>
      <c r="Q29" s="83"/>
      <c r="R29" s="83"/>
      <c r="S29" s="86"/>
      <c r="T29" s="86"/>
      <c r="U29" s="83"/>
      <c r="V29" s="83"/>
      <c r="W29" s="83"/>
      <c r="X29" s="83"/>
      <c r="Y29" s="83"/>
      <c r="Z29" s="83"/>
      <c r="AA29" s="83"/>
      <c r="AB29" s="86"/>
      <c r="AC29" s="83"/>
      <c r="AD29" s="66"/>
      <c r="AE29" s="66"/>
      <c r="AF29" s="66"/>
      <c r="AG29" s="66"/>
    </row>
    <row r="30" spans="1:35" ht="19.149999999999999" customHeight="1" x14ac:dyDescent="0.25">
      <c r="A30" s="83"/>
      <c r="B30" s="83"/>
      <c r="C30" s="83"/>
      <c r="D30" s="83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85"/>
      <c r="P30" s="86"/>
      <c r="Q30" s="83"/>
      <c r="R30" s="83"/>
      <c r="S30" s="86"/>
      <c r="T30" s="86"/>
      <c r="U30" s="83"/>
      <c r="V30" s="83"/>
      <c r="W30" s="83"/>
      <c r="X30" s="83"/>
      <c r="Y30" s="83"/>
      <c r="Z30" s="83"/>
      <c r="AA30" s="83"/>
      <c r="AB30" s="86"/>
      <c r="AC30" s="83"/>
      <c r="AD30" s="66"/>
      <c r="AE30" s="66"/>
      <c r="AF30" s="66"/>
      <c r="AG30" s="66"/>
    </row>
    <row r="31" spans="1:35" ht="19.149999999999999" customHeight="1" x14ac:dyDescent="0.25">
      <c r="A31" s="83"/>
      <c r="B31" s="83"/>
      <c r="C31" s="83"/>
      <c r="D31" s="83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85"/>
      <c r="P31" s="86"/>
      <c r="Q31" s="83"/>
      <c r="R31" s="83"/>
      <c r="S31" s="86"/>
      <c r="T31" s="86"/>
      <c r="U31" s="83"/>
      <c r="V31" s="83"/>
      <c r="W31" s="83"/>
      <c r="X31" s="83"/>
      <c r="Y31" s="83"/>
      <c r="Z31" s="83"/>
      <c r="AA31" s="83"/>
      <c r="AB31" s="86"/>
      <c r="AC31" s="83"/>
      <c r="AD31" s="66"/>
      <c r="AE31" s="66"/>
      <c r="AF31" s="66"/>
      <c r="AG31" s="66"/>
    </row>
    <row r="32" spans="1:35" ht="19.149999999999999" customHeight="1" x14ac:dyDescent="0.25">
      <c r="A32" s="83"/>
      <c r="B32" s="83"/>
      <c r="C32" s="83"/>
      <c r="D32" s="83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85"/>
      <c r="P32" s="86"/>
      <c r="Q32" s="83"/>
      <c r="R32" s="83"/>
      <c r="S32" s="86"/>
      <c r="T32" s="86"/>
      <c r="U32" s="83"/>
      <c r="V32" s="83"/>
      <c r="W32" s="83"/>
      <c r="X32" s="83"/>
      <c r="Y32" s="83"/>
      <c r="Z32" s="83"/>
      <c r="AA32" s="83"/>
      <c r="AB32" s="86"/>
      <c r="AC32" s="83"/>
      <c r="AD32" s="66"/>
      <c r="AE32" s="66"/>
      <c r="AF32" s="66"/>
      <c r="AG32" s="66"/>
    </row>
    <row r="33" spans="1:33" ht="19.149999999999999" customHeight="1" x14ac:dyDescent="0.25">
      <c r="A33" s="83"/>
      <c r="B33" s="83"/>
      <c r="C33" s="83"/>
      <c r="D33" s="83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85"/>
      <c r="P33" s="86"/>
      <c r="Q33" s="83"/>
      <c r="R33" s="83"/>
      <c r="S33" s="86"/>
      <c r="T33" s="86"/>
      <c r="U33" s="83"/>
      <c r="V33" s="83"/>
      <c r="W33" s="83"/>
      <c r="X33" s="83"/>
      <c r="Y33" s="83"/>
      <c r="Z33" s="83"/>
      <c r="AA33" s="83"/>
      <c r="AB33" s="86"/>
      <c r="AC33" s="83"/>
      <c r="AD33" s="66"/>
      <c r="AE33" s="66"/>
      <c r="AF33" s="66"/>
      <c r="AG33" s="66"/>
    </row>
    <row r="34" spans="1:33" ht="19.149999999999999" customHeight="1" x14ac:dyDescent="0.25">
      <c r="A34" s="83"/>
      <c r="B34" s="83"/>
      <c r="C34" s="83"/>
      <c r="D34" s="83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85"/>
      <c r="P34" s="86"/>
      <c r="Q34" s="83"/>
      <c r="R34" s="83"/>
      <c r="S34" s="86"/>
      <c r="T34" s="86"/>
      <c r="U34" s="83"/>
      <c r="V34" s="83"/>
      <c r="W34" s="83"/>
      <c r="X34" s="83"/>
      <c r="Y34" s="83"/>
      <c r="Z34" s="83"/>
      <c r="AA34" s="83"/>
      <c r="AB34" s="86"/>
      <c r="AC34" s="83"/>
      <c r="AD34" s="66"/>
      <c r="AE34" s="66"/>
      <c r="AF34" s="66"/>
      <c r="AG34" s="66"/>
    </row>
    <row r="35" spans="1:33" ht="19.149999999999999" customHeight="1" x14ac:dyDescent="0.25">
      <c r="A35" s="83"/>
      <c r="B35" s="83"/>
      <c r="C35" s="83"/>
      <c r="D35" s="83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85"/>
      <c r="P35" s="86"/>
      <c r="Q35" s="83"/>
      <c r="R35" s="83"/>
      <c r="S35" s="86"/>
      <c r="T35" s="86"/>
      <c r="U35" s="83"/>
      <c r="V35" s="83"/>
      <c r="W35" s="83"/>
      <c r="X35" s="83"/>
      <c r="Y35" s="83"/>
      <c r="Z35" s="83"/>
      <c r="AA35" s="83"/>
      <c r="AB35" s="86"/>
      <c r="AC35" s="83"/>
      <c r="AD35" s="66"/>
      <c r="AE35" s="66"/>
      <c r="AF35" s="66"/>
      <c r="AG35" s="66"/>
    </row>
    <row r="36" spans="1:33" x14ac:dyDescent="0.25">
      <c r="A36" s="83"/>
      <c r="B36" s="83"/>
      <c r="C36" s="83"/>
      <c r="D36" s="83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85"/>
      <c r="P36" s="86"/>
      <c r="Q36" s="83"/>
      <c r="R36" s="83"/>
      <c r="S36" s="86"/>
      <c r="T36" s="86"/>
      <c r="U36" s="83"/>
      <c r="V36" s="83"/>
      <c r="W36" s="83"/>
      <c r="X36" s="83"/>
      <c r="Y36" s="83"/>
      <c r="Z36" s="83"/>
      <c r="AA36" s="83"/>
      <c r="AB36" s="86"/>
      <c r="AC36" s="83"/>
      <c r="AD36" s="66"/>
      <c r="AE36" s="66"/>
      <c r="AF36" s="66"/>
      <c r="AG36" s="66"/>
    </row>
    <row r="37" spans="1:33" ht="19.149999999999999" customHeight="1" x14ac:dyDescent="0.25">
      <c r="A37" s="83"/>
      <c r="B37" s="83"/>
      <c r="C37" s="83"/>
      <c r="D37" s="83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85"/>
      <c r="P37" s="86"/>
      <c r="Q37" s="83"/>
      <c r="R37" s="83"/>
      <c r="S37" s="86"/>
      <c r="T37" s="86"/>
      <c r="U37" s="83"/>
      <c r="V37" s="83"/>
      <c r="W37" s="83"/>
      <c r="X37" s="83"/>
      <c r="Y37" s="83"/>
      <c r="Z37" s="83"/>
      <c r="AA37" s="83"/>
      <c r="AB37" s="86"/>
      <c r="AC37" s="83"/>
      <c r="AD37" s="66"/>
      <c r="AE37" s="66"/>
      <c r="AF37" s="66"/>
      <c r="AG37" s="66"/>
    </row>
    <row r="38" spans="1:33" x14ac:dyDescent="0.25">
      <c r="A38" s="83"/>
      <c r="B38" s="83"/>
      <c r="C38" s="83"/>
      <c r="D38" s="83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85"/>
      <c r="P38" s="86"/>
      <c r="Q38" s="83"/>
      <c r="R38" s="83"/>
      <c r="S38" s="86"/>
      <c r="T38" s="86"/>
      <c r="U38" s="83"/>
      <c r="V38" s="83"/>
      <c r="W38" s="83"/>
      <c r="X38" s="83"/>
      <c r="Y38" s="83"/>
      <c r="Z38" s="83"/>
      <c r="AA38" s="83"/>
      <c r="AB38" s="86"/>
      <c r="AC38" s="83"/>
      <c r="AD38" s="66"/>
      <c r="AE38" s="66"/>
      <c r="AF38" s="66"/>
      <c r="AG38" s="66"/>
    </row>
    <row r="39" spans="1:33" x14ac:dyDescent="0.25">
      <c r="A39" s="83"/>
      <c r="B39" s="83"/>
      <c r="C39" s="83"/>
      <c r="D39" s="83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85"/>
      <c r="P39" s="86"/>
      <c r="Q39" s="83"/>
      <c r="R39" s="83"/>
      <c r="S39" s="86"/>
      <c r="T39" s="86"/>
      <c r="U39" s="83"/>
      <c r="V39" s="83"/>
      <c r="W39" s="83"/>
      <c r="X39" s="83"/>
      <c r="Y39" s="83"/>
      <c r="Z39" s="83"/>
      <c r="AA39" s="83"/>
      <c r="AB39" s="86"/>
      <c r="AC39" s="83"/>
      <c r="AD39" s="66"/>
      <c r="AE39" s="66"/>
      <c r="AF39" s="66"/>
      <c r="AG39" s="66"/>
    </row>
    <row r="40" spans="1:33" x14ac:dyDescent="0.25">
      <c r="A40" s="83"/>
      <c r="B40" s="83"/>
      <c r="C40" s="83"/>
      <c r="D40" s="83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85"/>
      <c r="P40" s="86"/>
      <c r="Q40" s="83"/>
      <c r="R40" s="83"/>
      <c r="S40" s="86"/>
      <c r="T40" s="86"/>
      <c r="U40" s="83"/>
      <c r="V40" s="83"/>
      <c r="W40" s="83"/>
      <c r="X40" s="83"/>
      <c r="Y40" s="83"/>
      <c r="Z40" s="83"/>
      <c r="AA40" s="83"/>
      <c r="AB40" s="86"/>
      <c r="AC40" s="83"/>
      <c r="AD40" s="66"/>
      <c r="AE40" s="66"/>
      <c r="AF40" s="66"/>
      <c r="AG40" s="66"/>
    </row>
    <row r="41" spans="1:33" x14ac:dyDescent="0.25">
      <c r="A41" s="83"/>
      <c r="B41" s="83"/>
      <c r="C41" s="83"/>
      <c r="D41" s="83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85"/>
      <c r="P41" s="86"/>
      <c r="Q41" s="83"/>
      <c r="R41" s="83"/>
      <c r="S41" s="86"/>
      <c r="T41" s="86"/>
      <c r="U41" s="83"/>
      <c r="V41" s="83"/>
      <c r="W41" s="83"/>
      <c r="X41" s="83"/>
      <c r="Y41" s="83"/>
      <c r="Z41" s="83"/>
      <c r="AA41" s="83"/>
      <c r="AB41" s="86"/>
      <c r="AC41" s="83"/>
      <c r="AD41" s="66"/>
      <c r="AE41" s="66"/>
      <c r="AF41" s="66"/>
      <c r="AG41" s="66"/>
    </row>
    <row r="42" spans="1:33" x14ac:dyDescent="0.25">
      <c r="A42" s="83"/>
      <c r="B42" s="83"/>
      <c r="C42" s="83"/>
      <c r="D42" s="83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85"/>
      <c r="P42" s="86"/>
      <c r="Q42" s="83"/>
      <c r="R42" s="83"/>
      <c r="S42" s="86"/>
      <c r="T42" s="86"/>
      <c r="U42" s="83"/>
      <c r="V42" s="83"/>
      <c r="W42" s="83"/>
      <c r="X42" s="83"/>
      <c r="Y42" s="83"/>
      <c r="Z42" s="83"/>
      <c r="AA42" s="83"/>
      <c r="AB42" s="86"/>
      <c r="AC42" s="83"/>
      <c r="AD42" s="66"/>
      <c r="AE42" s="66"/>
      <c r="AF42" s="66"/>
      <c r="AG42" s="66"/>
    </row>
    <row r="43" spans="1:33" x14ac:dyDescent="0.25">
      <c r="A43" s="83"/>
      <c r="B43" s="83"/>
      <c r="C43" s="83"/>
      <c r="D43" s="83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85"/>
      <c r="P43" s="86"/>
      <c r="Q43" s="83"/>
      <c r="R43" s="83"/>
      <c r="S43" s="86"/>
      <c r="T43" s="86"/>
      <c r="U43" s="83"/>
      <c r="V43" s="83"/>
      <c r="W43" s="83"/>
      <c r="X43" s="83"/>
      <c r="Y43" s="83"/>
      <c r="Z43" s="83"/>
      <c r="AA43" s="83"/>
      <c r="AB43" s="86"/>
      <c r="AC43" s="83"/>
      <c r="AD43" s="66"/>
      <c r="AE43" s="66"/>
      <c r="AF43" s="66"/>
      <c r="AG43" s="66"/>
    </row>
    <row r="48" spans="1:33" ht="12" customHeight="1" x14ac:dyDescent="0.25"/>
  </sheetData>
  <mergeCells count="7">
    <mergeCell ref="A2:AG2"/>
    <mergeCell ref="AJ10:AM12"/>
    <mergeCell ref="AH1:AI1"/>
    <mergeCell ref="AH2:AI2"/>
    <mergeCell ref="AJ1:AK1"/>
    <mergeCell ref="AL1:AM1"/>
    <mergeCell ref="AJ9:AM9"/>
  </mergeCells>
  <conditionalFormatting sqref="N4:N22">
    <cfRule type="expression" dxfId="45" priority="2">
      <formula>N4="CRÍTICO"</formula>
    </cfRule>
    <cfRule type="expression" dxfId="44" priority="3">
      <formula>N4="ATENÇÃO"</formula>
    </cfRule>
    <cfRule type="expression" dxfId="43" priority="4">
      <formula>N4="OK"</formula>
    </cfRule>
  </conditionalFormatting>
  <conditionalFormatting sqref="AA4:AA43">
    <cfRule type="expression" dxfId="42" priority="5">
      <formula>ISNUMBER(SEARCH("CRÍTICO",AA4))</formula>
    </cfRule>
    <cfRule type="expression" dxfId="41" priority="6">
      <formula>ISNUMBER(SEARCH("ATENÇÃO",AA4))</formula>
    </cfRule>
    <cfRule type="expression" dxfId="40" priority="7">
      <formula>ISNUMBER(SEARCH("OK",AA4))</formula>
    </cfRule>
    <cfRule type="expression" dxfId="39" priority="8">
      <formula>AA4="CRÍTICO"</formula>
    </cfRule>
    <cfRule type="expression" dxfId="38" priority="8">
      <formula>AA4="ATENÇÃO"</formula>
    </cfRule>
    <cfRule type="expression" dxfId="37" priority="9">
      <formula>AA4="OK"</formula>
    </cfRule>
  </conditionalFormatting>
  <dataValidations count="1">
    <dataValidation type="list" sqref="AK3 AM3" xr:uid="{00000000-0002-0000-0800-000000000000}">
      <formula1>"JOIST01,JOIST02,JOIST03,JOIST04"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5"/>
  <dimension ref="A1:T111"/>
  <sheetViews>
    <sheetView showGridLines="0" workbookViewId="0">
      <selection sqref="A1:T1"/>
    </sheetView>
  </sheetViews>
  <sheetFormatPr defaultColWidth="8.5703125" defaultRowHeight="15" x14ac:dyDescent="0.25"/>
  <cols>
    <col min="1" max="1" width="42" customWidth="1"/>
    <col min="2" max="2" width="33" customWidth="1"/>
    <col min="3" max="6" width="42" customWidth="1"/>
    <col min="7" max="7" width="22" customWidth="1"/>
    <col min="8" max="8" width="39" customWidth="1"/>
    <col min="9" max="9" width="28" customWidth="1"/>
    <col min="10" max="10" width="42" customWidth="1"/>
    <col min="11" max="14" width="22" customWidth="1"/>
    <col min="15" max="15" width="42" customWidth="1"/>
    <col min="16" max="16" width="7.42578125" customWidth="1"/>
    <col min="17" max="17" width="14.140625" customWidth="1"/>
    <col min="18" max="18" width="21" customWidth="1"/>
    <col min="19" max="19" width="13.140625" customWidth="1"/>
    <col min="20" max="20" width="42" customWidth="1"/>
  </cols>
  <sheetData>
    <row r="1" spans="1:20" ht="25.5" customHeight="1" x14ac:dyDescent="0.25">
      <c r="A1" s="428" t="s">
        <v>569</v>
      </c>
      <c r="B1" s="429" t="s">
        <v>570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</row>
    <row r="2" spans="1:20" ht="15" customHeight="1" x14ac:dyDescent="0.25">
      <c r="A2" s="143" t="s">
        <v>571</v>
      </c>
      <c r="B2" s="143" t="s">
        <v>572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</row>
    <row r="3" spans="1:20" ht="15" customHeight="1" x14ac:dyDescent="0.25">
      <c r="A3" s="432" t="s">
        <v>573</v>
      </c>
      <c r="B3" s="393" t="s">
        <v>574</v>
      </c>
      <c r="C3" s="39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</row>
    <row r="4" spans="1:20" ht="45" customHeight="1" x14ac:dyDescent="0.25">
      <c r="A4" s="6" t="s">
        <v>575</v>
      </c>
      <c r="B4" s="113" t="s">
        <v>576</v>
      </c>
      <c r="C4" s="143" t="s">
        <v>577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</row>
    <row r="5" spans="1:20" ht="30" customHeight="1" x14ac:dyDescent="0.25">
      <c r="A5" s="6" t="s">
        <v>559</v>
      </c>
      <c r="B5" s="113">
        <v>697</v>
      </c>
      <c r="C5" s="143" t="s">
        <v>578</v>
      </c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</row>
    <row r="6" spans="1:20" ht="30" customHeight="1" x14ac:dyDescent="0.25">
      <c r="A6" s="6" t="s">
        <v>579</v>
      </c>
      <c r="B6" s="113">
        <v>34</v>
      </c>
      <c r="C6" s="143" t="s">
        <v>580</v>
      </c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</row>
    <row r="7" spans="1:20" ht="45.75" customHeight="1" x14ac:dyDescent="0.25">
      <c r="A7" s="6" t="s">
        <v>581</v>
      </c>
      <c r="B7" s="20">
        <v>82</v>
      </c>
      <c r="C7" s="143" t="s">
        <v>582</v>
      </c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</row>
    <row r="8" spans="1:20" ht="15" customHeight="1" x14ac:dyDescent="0.25">
      <c r="A8" s="143" t="s">
        <v>583</v>
      </c>
      <c r="B8" s="143">
        <v>4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</row>
    <row r="9" spans="1:20" ht="15" customHeight="1" x14ac:dyDescent="0.25">
      <c r="A9" s="143" t="s">
        <v>53</v>
      </c>
      <c r="B9" s="143" t="s">
        <v>584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</row>
    <row r="10" spans="1:20" ht="15" customHeight="1" x14ac:dyDescent="0.25">
      <c r="A10" s="432"/>
      <c r="B10" s="393"/>
      <c r="C10" s="393"/>
      <c r="D10" s="393"/>
      <c r="E10" s="39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</row>
    <row r="11" spans="1:20" ht="15" customHeight="1" x14ac:dyDescent="0.25">
      <c r="A11" s="107" t="s">
        <v>9</v>
      </c>
      <c r="B11" s="107" t="s">
        <v>585</v>
      </c>
      <c r="C11" s="107" t="s">
        <v>67</v>
      </c>
      <c r="D11" s="107" t="s">
        <v>586</v>
      </c>
      <c r="E11" s="107" t="s">
        <v>53</v>
      </c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</row>
    <row r="12" spans="1:20" ht="90.75" customHeight="1" x14ac:dyDescent="0.25">
      <c r="A12" s="1"/>
      <c r="B12" s="1"/>
      <c r="C12" s="1"/>
      <c r="D12" s="1"/>
      <c r="E12" s="1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</row>
    <row r="13" spans="1:20" ht="90.75" customHeight="1" x14ac:dyDescent="0.25">
      <c r="A13" s="1"/>
      <c r="B13" s="1"/>
      <c r="C13" s="1"/>
      <c r="D13" s="1"/>
      <c r="E13" s="1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</row>
    <row r="14" spans="1:20" ht="90.75" customHeight="1" x14ac:dyDescent="0.25">
      <c r="A14" s="1"/>
      <c r="B14" s="1"/>
      <c r="C14" s="1"/>
      <c r="D14" s="1"/>
      <c r="E14" s="1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</row>
    <row r="15" spans="1:20" ht="90.75" customHeight="1" x14ac:dyDescent="0.25">
      <c r="A15" s="1"/>
      <c r="B15" s="1"/>
      <c r="C15" s="1"/>
      <c r="D15" s="1"/>
      <c r="E15" s="1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</row>
    <row r="16" spans="1:20" ht="90.75" customHeight="1" x14ac:dyDescent="0.25">
      <c r="A16" s="1"/>
      <c r="B16" s="1"/>
      <c r="C16" s="1"/>
      <c r="D16" s="1"/>
      <c r="E16" s="1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</row>
    <row r="17" spans="1:20" ht="15" customHeight="1" x14ac:dyDescent="0.25">
      <c r="A17" s="143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</row>
    <row r="18" spans="1:20" ht="15" customHeight="1" x14ac:dyDescent="0.25">
      <c r="A18" s="143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</row>
    <row r="19" spans="1:20" ht="15" customHeight="1" x14ac:dyDescent="0.25">
      <c r="A19" s="143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</row>
    <row r="20" spans="1:20" ht="15" customHeight="1" x14ac:dyDescent="0.25">
      <c r="A20" s="432" t="s">
        <v>587</v>
      </c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  <c r="M20" s="393"/>
      <c r="N20" s="393"/>
      <c r="O20" s="393"/>
      <c r="P20" s="393"/>
      <c r="Q20" s="393"/>
      <c r="R20" s="393"/>
      <c r="S20" s="393"/>
      <c r="T20" s="393"/>
    </row>
    <row r="21" spans="1:20" ht="27.75" customHeight="1" x14ac:dyDescent="0.25">
      <c r="A21" s="107" t="s">
        <v>102</v>
      </c>
      <c r="B21" s="107" t="s">
        <v>101</v>
      </c>
      <c r="C21" s="107" t="s">
        <v>511</v>
      </c>
      <c r="D21" s="107" t="s">
        <v>100</v>
      </c>
      <c r="E21" s="107" t="s">
        <v>588</v>
      </c>
      <c r="F21" s="107" t="s">
        <v>464</v>
      </c>
      <c r="G21" s="107" t="s">
        <v>465</v>
      </c>
      <c r="H21" s="107" t="s">
        <v>466</v>
      </c>
      <c r="I21" s="107" t="s">
        <v>589</v>
      </c>
      <c r="J21" s="107" t="s">
        <v>590</v>
      </c>
      <c r="K21" s="107" t="s">
        <v>591</v>
      </c>
      <c r="L21" s="107" t="s">
        <v>592</v>
      </c>
      <c r="M21" s="107" t="s">
        <v>593</v>
      </c>
      <c r="N21" s="107" t="s">
        <v>594</v>
      </c>
      <c r="O21" s="107" t="s">
        <v>595</v>
      </c>
      <c r="P21" s="107" t="s">
        <v>541</v>
      </c>
      <c r="Q21" s="107" t="s">
        <v>596</v>
      </c>
      <c r="R21" s="107" t="s">
        <v>552</v>
      </c>
      <c r="S21" s="107" t="s">
        <v>67</v>
      </c>
      <c r="T21" s="107" t="s">
        <v>53</v>
      </c>
    </row>
    <row r="22" spans="1:20" ht="30" customHeight="1" x14ac:dyDescent="0.25">
      <c r="A22" s="1" t="s">
        <v>597</v>
      </c>
      <c r="B22" s="1" t="s">
        <v>598</v>
      </c>
      <c r="C22" s="1" t="s">
        <v>599</v>
      </c>
      <c r="D22" s="1" t="s">
        <v>600</v>
      </c>
      <c r="E22" s="1" t="s">
        <v>601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2</v>
      </c>
      <c r="M22" s="1">
        <v>3</v>
      </c>
      <c r="N22" s="1">
        <v>0</v>
      </c>
      <c r="O22" s="1">
        <v>0</v>
      </c>
      <c r="P22" s="1">
        <v>0</v>
      </c>
      <c r="Q22" s="1" t="s">
        <v>602</v>
      </c>
      <c r="R22" s="1" t="s">
        <v>603</v>
      </c>
      <c r="S22" s="1" t="s">
        <v>604</v>
      </c>
      <c r="T22" s="1" t="s">
        <v>605</v>
      </c>
    </row>
    <row r="23" spans="1:20" ht="30.75" customHeight="1" x14ac:dyDescent="0.25">
      <c r="A23" s="1" t="s">
        <v>606</v>
      </c>
      <c r="B23" s="1" t="s">
        <v>598</v>
      </c>
      <c r="C23" s="1" t="s">
        <v>115</v>
      </c>
      <c r="D23" s="1" t="s">
        <v>607</v>
      </c>
      <c r="E23" s="1" t="s">
        <v>601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2</v>
      </c>
      <c r="M23" s="1">
        <v>3</v>
      </c>
      <c r="N23" s="1">
        <v>0</v>
      </c>
      <c r="O23" s="1">
        <v>0</v>
      </c>
      <c r="P23" s="1">
        <v>0</v>
      </c>
      <c r="Q23" s="1" t="s">
        <v>602</v>
      </c>
      <c r="R23" s="1" t="s">
        <v>603</v>
      </c>
      <c r="S23" s="1" t="s">
        <v>604</v>
      </c>
      <c r="T23" s="1" t="s">
        <v>605</v>
      </c>
    </row>
    <row r="24" spans="1:20" ht="30.75" customHeight="1" x14ac:dyDescent="0.25">
      <c r="A24" s="1" t="s">
        <v>121</v>
      </c>
      <c r="B24" s="1" t="s">
        <v>608</v>
      </c>
      <c r="C24" s="1" t="s">
        <v>122</v>
      </c>
      <c r="D24" s="1" t="s">
        <v>607</v>
      </c>
      <c r="E24" s="1" t="s">
        <v>601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36</v>
      </c>
      <c r="M24" s="1">
        <v>54</v>
      </c>
      <c r="N24" s="1">
        <v>0</v>
      </c>
      <c r="O24" s="1">
        <v>0</v>
      </c>
      <c r="P24" s="1">
        <v>0</v>
      </c>
      <c r="Q24" s="1" t="s">
        <v>602</v>
      </c>
      <c r="R24" s="1" t="s">
        <v>603</v>
      </c>
      <c r="S24" s="1" t="s">
        <v>604</v>
      </c>
      <c r="T24" s="1" t="s">
        <v>605</v>
      </c>
    </row>
    <row r="25" spans="1:20" ht="30.75" customHeight="1" x14ac:dyDescent="0.25">
      <c r="A25" s="1" t="s">
        <v>609</v>
      </c>
      <c r="B25" s="1" t="s">
        <v>608</v>
      </c>
      <c r="C25" s="1" t="s">
        <v>118</v>
      </c>
      <c r="D25" s="1" t="s">
        <v>607</v>
      </c>
      <c r="E25" s="1" t="s">
        <v>601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4</v>
      </c>
      <c r="M25" s="1">
        <v>6</v>
      </c>
      <c r="N25" s="1">
        <v>0</v>
      </c>
      <c r="O25" s="1">
        <v>0</v>
      </c>
      <c r="P25" s="1">
        <v>0</v>
      </c>
      <c r="Q25" s="1" t="s">
        <v>602</v>
      </c>
      <c r="R25" s="1" t="s">
        <v>603</v>
      </c>
      <c r="S25" s="1" t="s">
        <v>604</v>
      </c>
      <c r="T25" s="1" t="s">
        <v>605</v>
      </c>
    </row>
    <row r="26" spans="1:20" ht="30.75" customHeight="1" x14ac:dyDescent="0.25">
      <c r="A26" s="1" t="s">
        <v>610</v>
      </c>
      <c r="B26" s="1" t="s">
        <v>608</v>
      </c>
      <c r="C26" s="1" t="s">
        <v>118</v>
      </c>
      <c r="D26" s="1" t="s">
        <v>607</v>
      </c>
      <c r="E26" s="1" t="s">
        <v>601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8</v>
      </c>
      <c r="M26" s="1">
        <v>12</v>
      </c>
      <c r="N26" s="1">
        <v>0</v>
      </c>
      <c r="O26" s="1">
        <v>0</v>
      </c>
      <c r="P26" s="1">
        <v>0</v>
      </c>
      <c r="Q26" s="1" t="s">
        <v>602</v>
      </c>
      <c r="R26" s="1" t="s">
        <v>603</v>
      </c>
      <c r="S26" s="1" t="s">
        <v>604</v>
      </c>
      <c r="T26" s="1" t="s">
        <v>605</v>
      </c>
    </row>
    <row r="27" spans="1:20" ht="30.75" customHeight="1" x14ac:dyDescent="0.25">
      <c r="A27" s="1" t="s">
        <v>611</v>
      </c>
      <c r="B27" s="1" t="s">
        <v>608</v>
      </c>
      <c r="C27" s="1" t="s">
        <v>118</v>
      </c>
      <c r="D27" s="1" t="s">
        <v>607</v>
      </c>
      <c r="E27" s="1" t="s">
        <v>601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4</v>
      </c>
      <c r="M27" s="1">
        <v>6</v>
      </c>
      <c r="N27" s="1">
        <v>0</v>
      </c>
      <c r="O27" s="1">
        <v>0</v>
      </c>
      <c r="P27" s="1">
        <v>0</v>
      </c>
      <c r="Q27" s="1" t="s">
        <v>602</v>
      </c>
      <c r="R27" s="1" t="s">
        <v>603</v>
      </c>
      <c r="S27" s="1" t="s">
        <v>604</v>
      </c>
      <c r="T27" s="1" t="s">
        <v>605</v>
      </c>
    </row>
    <row r="28" spans="1:20" ht="30.75" customHeight="1" x14ac:dyDescent="0.25">
      <c r="A28" s="1" t="s">
        <v>126</v>
      </c>
      <c r="B28" s="1" t="s">
        <v>612</v>
      </c>
      <c r="C28" s="1" t="s">
        <v>124</v>
      </c>
      <c r="D28" s="1" t="s">
        <v>600</v>
      </c>
      <c r="E28" s="1" t="s">
        <v>601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48</v>
      </c>
      <c r="M28" s="1">
        <v>72</v>
      </c>
      <c r="N28" s="1">
        <v>0</v>
      </c>
      <c r="O28" s="1">
        <v>0</v>
      </c>
      <c r="P28" s="1">
        <v>0</v>
      </c>
      <c r="Q28" s="1" t="s">
        <v>602</v>
      </c>
      <c r="R28" s="1" t="s">
        <v>603</v>
      </c>
      <c r="S28" s="1" t="s">
        <v>604</v>
      </c>
      <c r="T28" s="1" t="s">
        <v>605</v>
      </c>
    </row>
    <row r="29" spans="1:20" ht="30.75" customHeight="1" x14ac:dyDescent="0.25">
      <c r="A29" s="1" t="s">
        <v>613</v>
      </c>
      <c r="B29" s="1" t="s">
        <v>612</v>
      </c>
      <c r="C29" s="1" t="s">
        <v>614</v>
      </c>
      <c r="D29" s="1" t="s">
        <v>600</v>
      </c>
      <c r="E29" s="1" t="s">
        <v>601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8</v>
      </c>
      <c r="M29" s="1">
        <v>12</v>
      </c>
      <c r="N29" s="1">
        <v>0</v>
      </c>
      <c r="O29" s="1">
        <v>0</v>
      </c>
      <c r="P29" s="1">
        <v>0</v>
      </c>
      <c r="Q29" s="1" t="s">
        <v>602</v>
      </c>
      <c r="R29" s="1" t="s">
        <v>603</v>
      </c>
      <c r="S29" s="1" t="s">
        <v>604</v>
      </c>
      <c r="T29" s="1" t="s">
        <v>605</v>
      </c>
    </row>
    <row r="30" spans="1:20" ht="30.75" customHeight="1" x14ac:dyDescent="0.25">
      <c r="A30" s="1" t="s">
        <v>615</v>
      </c>
      <c r="B30" s="1" t="s">
        <v>612</v>
      </c>
      <c r="C30" s="1" t="s">
        <v>616</v>
      </c>
      <c r="D30" s="1" t="s">
        <v>600</v>
      </c>
      <c r="E30" s="1" t="s">
        <v>601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16</v>
      </c>
      <c r="M30" s="1">
        <v>24</v>
      </c>
      <c r="N30" s="1">
        <v>0</v>
      </c>
      <c r="O30" s="1">
        <v>0</v>
      </c>
      <c r="P30" s="1">
        <v>0</v>
      </c>
      <c r="Q30" s="1" t="s">
        <v>602</v>
      </c>
      <c r="R30" s="1" t="s">
        <v>603</v>
      </c>
      <c r="S30" s="1" t="s">
        <v>604</v>
      </c>
      <c r="T30" s="1" t="s">
        <v>605</v>
      </c>
    </row>
    <row r="31" spans="1:20" ht="30.75" customHeight="1" x14ac:dyDescent="0.25">
      <c r="A31" s="1" t="s">
        <v>617</v>
      </c>
      <c r="B31" s="1" t="s">
        <v>618</v>
      </c>
      <c r="C31" s="1" t="s">
        <v>133</v>
      </c>
      <c r="D31" s="1" t="s">
        <v>607</v>
      </c>
      <c r="E31" s="1" t="s">
        <v>601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28</v>
      </c>
      <c r="M31" s="1">
        <v>42</v>
      </c>
      <c r="N31" s="1">
        <v>0</v>
      </c>
      <c r="O31" s="1">
        <v>0</v>
      </c>
      <c r="P31" s="1">
        <v>0</v>
      </c>
      <c r="Q31" s="1" t="s">
        <v>602</v>
      </c>
      <c r="R31" s="1" t="s">
        <v>603</v>
      </c>
      <c r="S31" s="1" t="s">
        <v>604</v>
      </c>
      <c r="T31" s="1" t="s">
        <v>605</v>
      </c>
    </row>
    <row r="32" spans="1:20" ht="30.75" customHeight="1" x14ac:dyDescent="0.25">
      <c r="A32" s="1" t="s">
        <v>619</v>
      </c>
      <c r="B32" s="1" t="s">
        <v>618</v>
      </c>
      <c r="C32" s="1" t="s">
        <v>129</v>
      </c>
      <c r="D32" s="1" t="s">
        <v>607</v>
      </c>
      <c r="E32" s="1" t="s">
        <v>601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13</v>
      </c>
      <c r="M32" s="1">
        <v>26</v>
      </c>
      <c r="N32" s="1">
        <v>0</v>
      </c>
      <c r="O32" s="1">
        <v>0</v>
      </c>
      <c r="P32" s="1">
        <v>0</v>
      </c>
      <c r="Q32" s="1" t="s">
        <v>602</v>
      </c>
      <c r="R32" s="1" t="s">
        <v>603</v>
      </c>
      <c r="S32" s="1" t="s">
        <v>604</v>
      </c>
      <c r="T32" s="1" t="s">
        <v>605</v>
      </c>
    </row>
    <row r="33" spans="1:20" ht="30.75" customHeight="1" x14ac:dyDescent="0.25">
      <c r="A33" s="1" t="s">
        <v>620</v>
      </c>
      <c r="B33" s="1" t="s">
        <v>618</v>
      </c>
      <c r="C33" s="1" t="s">
        <v>129</v>
      </c>
      <c r="D33" s="1" t="s">
        <v>607</v>
      </c>
      <c r="E33" s="1" t="s">
        <v>601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13</v>
      </c>
      <c r="M33" s="1">
        <v>20</v>
      </c>
      <c r="N33" s="1">
        <v>0</v>
      </c>
      <c r="O33" s="1">
        <v>0</v>
      </c>
      <c r="P33" s="1">
        <v>0</v>
      </c>
      <c r="Q33" s="1" t="s">
        <v>602</v>
      </c>
      <c r="R33" s="1" t="s">
        <v>603</v>
      </c>
      <c r="S33" s="1" t="s">
        <v>604</v>
      </c>
      <c r="T33" s="1" t="s">
        <v>605</v>
      </c>
    </row>
    <row r="34" spans="1:20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 t="str">
        <f t="shared" ref="P34:P37" si="0">$B$4</f>
        <v>Processar_Baixa_OF201</v>
      </c>
      <c r="Q34" s="1" t="s">
        <v>621</v>
      </c>
      <c r="R34" s="1"/>
      <c r="S34" s="1"/>
      <c r="T34" s="1"/>
    </row>
    <row r="35" spans="1:20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 t="str">
        <f t="shared" si="0"/>
        <v>Processar_Baixa_OF201</v>
      </c>
      <c r="Q35" s="1" t="s">
        <v>621</v>
      </c>
      <c r="R35" s="1"/>
      <c r="S35" s="1"/>
      <c r="T35" s="1"/>
    </row>
    <row r="36" spans="1:20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 t="str">
        <f t="shared" si="0"/>
        <v>Processar_Baixa_OF201</v>
      </c>
      <c r="Q36" s="1" t="s">
        <v>621</v>
      </c>
      <c r="R36" s="1"/>
      <c r="S36" s="1"/>
      <c r="T36" s="1"/>
    </row>
    <row r="37" spans="1:20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 t="str">
        <f t="shared" si="0"/>
        <v>Processar_Baixa_OF201</v>
      </c>
      <c r="Q37" s="1" t="s">
        <v>621</v>
      </c>
      <c r="R37" s="1"/>
      <c r="S37" s="1"/>
      <c r="T37" s="1"/>
    </row>
    <row r="38" spans="1:20" x14ac:dyDescent="0.25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 t="s">
        <v>622</v>
      </c>
    </row>
    <row r="39" spans="1:20" x14ac:dyDescent="0.25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 t="s">
        <v>622</v>
      </c>
    </row>
    <row r="40" spans="1:20" x14ac:dyDescent="0.25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 t="s">
        <v>622</v>
      </c>
    </row>
    <row r="41" spans="1:20" x14ac:dyDescent="0.25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 t="s">
        <v>622</v>
      </c>
    </row>
    <row r="42" spans="1:20" x14ac:dyDescent="0.25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 t="s">
        <v>622</v>
      </c>
    </row>
    <row r="43" spans="1:20" x14ac:dyDescent="0.25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 t="s">
        <v>622</v>
      </c>
    </row>
    <row r="44" spans="1:20" x14ac:dyDescent="0.25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 t="s">
        <v>622</v>
      </c>
    </row>
    <row r="45" spans="1:20" x14ac:dyDescent="0.25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 t="s">
        <v>622</v>
      </c>
    </row>
    <row r="46" spans="1:20" x14ac:dyDescent="0.25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 t="s">
        <v>622</v>
      </c>
    </row>
    <row r="47" spans="1:20" x14ac:dyDescent="0.25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 t="s">
        <v>622</v>
      </c>
    </row>
    <row r="48" spans="1:20" x14ac:dyDescent="0.25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 t="s">
        <v>622</v>
      </c>
    </row>
    <row r="49" spans="1:15" x14ac:dyDescent="0.25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 t="s">
        <v>622</v>
      </c>
    </row>
    <row r="50" spans="1:15" x14ac:dyDescent="0.25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 t="s">
        <v>622</v>
      </c>
    </row>
    <row r="51" spans="1:15" x14ac:dyDescent="0.25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 t="s">
        <v>622</v>
      </c>
    </row>
    <row r="52" spans="1:15" x14ac:dyDescent="0.25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 t="s">
        <v>622</v>
      </c>
    </row>
    <row r="53" spans="1:15" x14ac:dyDescent="0.25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 t="s">
        <v>622</v>
      </c>
    </row>
    <row r="54" spans="1:15" x14ac:dyDescent="0.25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 t="s">
        <v>622</v>
      </c>
    </row>
    <row r="55" spans="1:15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 t="s">
        <v>622</v>
      </c>
    </row>
    <row r="56" spans="1:15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 t="s">
        <v>622</v>
      </c>
    </row>
    <row r="57" spans="1:15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 t="s">
        <v>622</v>
      </c>
    </row>
    <row r="58" spans="1:15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 t="s">
        <v>622</v>
      </c>
    </row>
    <row r="59" spans="1:15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 t="s">
        <v>622</v>
      </c>
    </row>
    <row r="60" spans="1:15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 t="s">
        <v>622</v>
      </c>
    </row>
    <row r="61" spans="1:15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 t="s">
        <v>622</v>
      </c>
    </row>
    <row r="62" spans="1:15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 t="s">
        <v>622</v>
      </c>
    </row>
    <row r="63" spans="1:15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 t="s">
        <v>622</v>
      </c>
    </row>
    <row r="64" spans="1:15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 t="s">
        <v>622</v>
      </c>
    </row>
    <row r="65" spans="1:15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 t="s">
        <v>622</v>
      </c>
    </row>
    <row r="66" spans="1:15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 t="s">
        <v>622</v>
      </c>
    </row>
    <row r="67" spans="1:15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 t="s">
        <v>622</v>
      </c>
    </row>
    <row r="68" spans="1:15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 t="s">
        <v>622</v>
      </c>
    </row>
    <row r="69" spans="1:15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 t="s">
        <v>622</v>
      </c>
    </row>
    <row r="70" spans="1:15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 t="s">
        <v>622</v>
      </c>
    </row>
    <row r="71" spans="1:15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 t="s">
        <v>622</v>
      </c>
    </row>
    <row r="72" spans="1:15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 t="s">
        <v>622</v>
      </c>
    </row>
    <row r="73" spans="1:15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 t="s">
        <v>622</v>
      </c>
    </row>
    <row r="74" spans="1:15" x14ac:dyDescent="0.25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 t="s">
        <v>622</v>
      </c>
    </row>
    <row r="75" spans="1:15" x14ac:dyDescent="0.25">
      <c r="A75" s="83"/>
      <c r="B75" s="83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 t="s">
        <v>622</v>
      </c>
    </row>
    <row r="76" spans="1:15" x14ac:dyDescent="0.25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 t="s">
        <v>622</v>
      </c>
    </row>
    <row r="77" spans="1:15" x14ac:dyDescent="0.25">
      <c r="A77" s="8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 t="s">
        <v>622</v>
      </c>
    </row>
    <row r="78" spans="1:15" x14ac:dyDescent="0.25">
      <c r="A78" s="83"/>
      <c r="B78" s="83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 t="s">
        <v>622</v>
      </c>
    </row>
    <row r="79" spans="1:15" x14ac:dyDescent="0.25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 t="s">
        <v>622</v>
      </c>
    </row>
    <row r="80" spans="1:15" x14ac:dyDescent="0.25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 t="s">
        <v>622</v>
      </c>
    </row>
    <row r="81" spans="1:15" x14ac:dyDescent="0.25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 t="s">
        <v>622</v>
      </c>
    </row>
    <row r="82" spans="1:15" x14ac:dyDescent="0.25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 t="s">
        <v>622</v>
      </c>
    </row>
    <row r="83" spans="1:15" x14ac:dyDescent="0.25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 t="s">
        <v>622</v>
      </c>
    </row>
    <row r="84" spans="1:15" x14ac:dyDescent="0.25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 t="s">
        <v>622</v>
      </c>
    </row>
    <row r="85" spans="1:15" x14ac:dyDescent="0.25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 t="s">
        <v>622</v>
      </c>
    </row>
    <row r="86" spans="1:15" x14ac:dyDescent="0.25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 t="s">
        <v>622</v>
      </c>
    </row>
    <row r="87" spans="1:15" x14ac:dyDescent="0.25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 t="s">
        <v>622</v>
      </c>
    </row>
    <row r="88" spans="1:15" x14ac:dyDescent="0.25">
      <c r="A88" s="83"/>
      <c r="B88" s="83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 t="s">
        <v>622</v>
      </c>
    </row>
    <row r="89" spans="1:15" x14ac:dyDescent="0.25">
      <c r="A89" s="83"/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 t="s">
        <v>622</v>
      </c>
    </row>
    <row r="90" spans="1:15" x14ac:dyDescent="0.25">
      <c r="A90" s="83"/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 t="s">
        <v>622</v>
      </c>
    </row>
    <row r="91" spans="1:15" x14ac:dyDescent="0.25">
      <c r="A91" s="83"/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 t="s">
        <v>622</v>
      </c>
    </row>
    <row r="92" spans="1:15" x14ac:dyDescent="0.25">
      <c r="A92" s="83"/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 t="s">
        <v>622</v>
      </c>
    </row>
    <row r="93" spans="1:15" x14ac:dyDescent="0.25">
      <c r="A93" s="83"/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 t="s">
        <v>622</v>
      </c>
    </row>
    <row r="94" spans="1:15" x14ac:dyDescent="0.25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 t="s">
        <v>622</v>
      </c>
    </row>
    <row r="95" spans="1:15" x14ac:dyDescent="0.25">
      <c r="A95" s="83"/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 t="s">
        <v>622</v>
      </c>
    </row>
    <row r="96" spans="1:15" x14ac:dyDescent="0.25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 t="s">
        <v>622</v>
      </c>
    </row>
    <row r="97" spans="1:15" x14ac:dyDescent="0.25">
      <c r="A97" s="83"/>
      <c r="B97" s="83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 t="s">
        <v>622</v>
      </c>
    </row>
    <row r="98" spans="1:15" x14ac:dyDescent="0.25">
      <c r="A98" s="83"/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 t="s">
        <v>622</v>
      </c>
    </row>
    <row r="99" spans="1:15" x14ac:dyDescent="0.25">
      <c r="A99" s="83"/>
      <c r="B99" s="83"/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 t="s">
        <v>622</v>
      </c>
    </row>
    <row r="100" spans="1:15" x14ac:dyDescent="0.25">
      <c r="A100" s="92"/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 t="s">
        <v>622</v>
      </c>
    </row>
    <row r="101" spans="1:15" x14ac:dyDescent="0.25">
      <c r="A101" s="430"/>
      <c r="B101" s="393"/>
      <c r="C101" s="393"/>
      <c r="D101" s="393"/>
      <c r="E101" s="393"/>
      <c r="F101" s="393"/>
      <c r="G101" s="393"/>
      <c r="H101" s="393"/>
      <c r="I101" s="83"/>
      <c r="J101" s="83"/>
      <c r="K101" s="83"/>
      <c r="L101" s="83"/>
      <c r="M101" s="83"/>
      <c r="N101" s="83"/>
      <c r="O101" s="83" t="s">
        <v>622</v>
      </c>
    </row>
    <row r="102" spans="1:15" x14ac:dyDescent="0.25">
      <c r="A102" s="431"/>
      <c r="B102" s="431"/>
      <c r="C102" s="431"/>
      <c r="D102" s="431"/>
      <c r="E102" s="431"/>
      <c r="F102" s="431"/>
      <c r="G102" s="431"/>
      <c r="H102" s="431"/>
      <c r="I102" s="83"/>
      <c r="J102" s="83"/>
      <c r="K102" s="83"/>
      <c r="L102" s="83"/>
      <c r="M102" s="83"/>
      <c r="N102" s="83"/>
      <c r="O102" s="83" t="s">
        <v>622</v>
      </c>
    </row>
    <row r="103" spans="1:15" x14ac:dyDescent="0.25">
      <c r="A103" s="83"/>
      <c r="B103" s="83"/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 t="s">
        <v>622</v>
      </c>
    </row>
    <row r="104" spans="1:15" x14ac:dyDescent="0.25">
      <c r="A104" s="83"/>
      <c r="B104" s="83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 t="s">
        <v>622</v>
      </c>
    </row>
    <row r="105" spans="1:15" x14ac:dyDescent="0.25">
      <c r="A105" s="83"/>
      <c r="B105" s="83"/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 t="s">
        <v>622</v>
      </c>
    </row>
    <row r="106" spans="1:15" x14ac:dyDescent="0.25">
      <c r="A106" s="83"/>
      <c r="B106" s="83"/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 t="s">
        <v>622</v>
      </c>
    </row>
    <row r="107" spans="1:15" x14ac:dyDescent="0.25">
      <c r="A107" s="83"/>
      <c r="B107" s="83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 t="s">
        <v>622</v>
      </c>
    </row>
    <row r="108" spans="1:15" x14ac:dyDescent="0.25">
      <c r="A108" s="83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 t="s">
        <v>622</v>
      </c>
    </row>
    <row r="109" spans="1:15" x14ac:dyDescent="0.25">
      <c r="A109" s="83"/>
      <c r="B109" s="83"/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 t="s">
        <v>622</v>
      </c>
    </row>
    <row r="110" spans="1:15" x14ac:dyDescent="0.25">
      <c r="A110" s="83"/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 t="s">
        <v>622</v>
      </c>
    </row>
    <row r="111" spans="1:15" x14ac:dyDescent="0.25">
      <c r="A111" s="83"/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 t="s">
        <v>622</v>
      </c>
    </row>
  </sheetData>
  <mergeCells count="5">
    <mergeCell ref="A1:T1"/>
    <mergeCell ref="A101:H102"/>
    <mergeCell ref="A10:E10"/>
    <mergeCell ref="A20:T20"/>
    <mergeCell ref="A3:C3"/>
  </mergeCells>
  <conditionalFormatting sqref="I3:I37">
    <cfRule type="colorScale" priority="39">
      <colorScale>
        <cfvo type="min"/>
        <cfvo type="percentile" val="50"/>
        <cfvo type="max"/>
        <color rgb="FFFFFFFF"/>
        <color rgb="FFFEF3C7"/>
        <color rgb="FFFEE2E2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6"/>
  <dimension ref="A1:X1524"/>
  <sheetViews>
    <sheetView showGridLines="0" workbookViewId="0"/>
  </sheetViews>
  <sheetFormatPr defaultColWidth="8.5703125" defaultRowHeight="15" x14ac:dyDescent="0.25"/>
  <cols>
    <col min="4" max="4" width="12.7109375" customWidth="1"/>
    <col min="5" max="6" width="16.7109375" customWidth="1"/>
    <col min="7" max="7" width="27" customWidth="1"/>
    <col min="8" max="8" width="15.28515625" customWidth="1"/>
    <col min="12" max="12" width="13.7109375" customWidth="1"/>
  </cols>
  <sheetData>
    <row r="1" spans="1:24" ht="24" customHeight="1" x14ac:dyDescent="0.25">
      <c r="A1" s="114"/>
      <c r="B1" s="114"/>
      <c r="C1" s="21"/>
      <c r="D1" s="22"/>
      <c r="E1" s="23"/>
      <c r="F1" s="24"/>
      <c r="G1" s="25"/>
      <c r="H1" s="143"/>
      <c r="I1" s="21"/>
      <c r="J1" s="25"/>
      <c r="K1" s="25"/>
      <c r="L1" s="25"/>
      <c r="M1" s="143"/>
      <c r="N1" s="143"/>
      <c r="O1" s="26"/>
      <c r="P1" s="27"/>
      <c r="Q1" s="28"/>
      <c r="R1" s="143"/>
      <c r="S1" s="143"/>
      <c r="T1" s="143"/>
      <c r="U1" s="143"/>
      <c r="V1" s="143"/>
      <c r="W1" s="143"/>
      <c r="X1" s="143"/>
    </row>
    <row r="2" spans="1:24" ht="15" customHeight="1" x14ac:dyDescent="0.25">
      <c r="A2" s="114"/>
      <c r="B2" s="114"/>
      <c r="C2" s="29"/>
      <c r="D2" s="30"/>
      <c r="E2" s="31"/>
      <c r="F2" s="32"/>
      <c r="G2" s="33"/>
      <c r="H2" s="33"/>
      <c r="I2" s="29"/>
      <c r="J2" s="33"/>
      <c r="K2" s="33"/>
      <c r="L2" s="33"/>
      <c r="M2" s="143"/>
      <c r="N2" s="143"/>
      <c r="O2" s="34"/>
      <c r="P2" s="35"/>
      <c r="Q2" s="28"/>
      <c r="R2" s="143"/>
      <c r="S2" s="143"/>
      <c r="T2" s="143"/>
      <c r="U2" s="143"/>
      <c r="V2" s="143"/>
      <c r="W2" s="143"/>
      <c r="X2" s="143"/>
    </row>
    <row r="3" spans="1:24" ht="15.75" customHeight="1" x14ac:dyDescent="0.25">
      <c r="A3" s="114"/>
      <c r="B3" s="114"/>
      <c r="C3" s="36"/>
      <c r="D3" s="37"/>
      <c r="E3" s="38"/>
      <c r="F3" s="32"/>
      <c r="G3" s="39"/>
      <c r="H3" s="39"/>
      <c r="I3" s="36"/>
      <c r="J3" s="39"/>
      <c r="K3" s="39"/>
      <c r="L3" s="39"/>
      <c r="M3" s="143"/>
      <c r="N3" s="143"/>
      <c r="O3" s="40"/>
      <c r="P3" s="41"/>
      <c r="Q3" s="28"/>
      <c r="R3" s="143"/>
      <c r="S3" s="143"/>
      <c r="T3" s="143"/>
      <c r="U3" s="143"/>
      <c r="V3" s="143"/>
      <c r="W3" s="143"/>
      <c r="X3" s="143"/>
    </row>
    <row r="4" spans="1:24" ht="15" customHeight="1" x14ac:dyDescent="0.25">
      <c r="A4" s="114"/>
      <c r="B4" s="114"/>
      <c r="C4" s="42"/>
      <c r="D4" s="43"/>
      <c r="E4" s="44"/>
      <c r="F4" s="45"/>
      <c r="G4" s="46"/>
      <c r="H4" s="46"/>
      <c r="I4" s="42"/>
      <c r="J4" s="46"/>
      <c r="K4" s="46"/>
      <c r="L4" s="46"/>
      <c r="M4" s="143"/>
      <c r="N4" s="143"/>
      <c r="O4" s="47"/>
      <c r="P4" s="48"/>
      <c r="Q4" s="28"/>
      <c r="R4" s="143"/>
      <c r="S4" s="143"/>
      <c r="T4" s="143"/>
      <c r="U4" s="143"/>
      <c r="V4" s="143"/>
      <c r="W4" s="143"/>
      <c r="X4" s="143"/>
    </row>
    <row r="5" spans="1:24" ht="15.75" customHeight="1" x14ac:dyDescent="0.25">
      <c r="A5" s="114"/>
      <c r="B5" s="114"/>
      <c r="C5" s="49"/>
      <c r="D5" s="50"/>
      <c r="E5" s="51"/>
      <c r="F5" s="52"/>
      <c r="G5" s="53"/>
      <c r="H5" s="53"/>
      <c r="I5" s="49"/>
      <c r="J5" s="53"/>
      <c r="K5" s="53"/>
      <c r="L5" s="53"/>
      <c r="M5" s="143"/>
      <c r="N5" s="143"/>
      <c r="O5" s="54"/>
      <c r="P5" s="52"/>
      <c r="Q5" s="28"/>
      <c r="R5" s="143"/>
      <c r="S5" s="143"/>
      <c r="T5" s="143"/>
      <c r="U5" s="143"/>
      <c r="V5" s="143"/>
      <c r="W5" s="143"/>
      <c r="X5" s="143"/>
    </row>
    <row r="6" spans="1:24" ht="16.5" customHeight="1" x14ac:dyDescent="0.25">
      <c r="A6" s="114"/>
      <c r="B6" s="114"/>
      <c r="C6" s="115" t="s">
        <v>623</v>
      </c>
      <c r="D6" s="115" t="s">
        <v>624</v>
      </c>
      <c r="E6" s="115" t="s">
        <v>625</v>
      </c>
      <c r="F6" s="115"/>
      <c r="G6" s="115" t="s">
        <v>626</v>
      </c>
      <c r="H6" s="115" t="s">
        <v>101</v>
      </c>
      <c r="I6" s="115" t="s">
        <v>623</v>
      </c>
      <c r="J6" s="115" t="s">
        <v>627</v>
      </c>
      <c r="K6" s="115"/>
      <c r="L6" s="115"/>
      <c r="M6" s="143"/>
      <c r="N6" s="143"/>
      <c r="O6" s="115"/>
      <c r="P6" s="115"/>
      <c r="Q6" s="28"/>
      <c r="R6" s="143"/>
      <c r="S6" s="143"/>
      <c r="T6" s="143"/>
      <c r="U6" s="143"/>
      <c r="V6" s="143"/>
      <c r="W6" s="143"/>
      <c r="X6" s="143"/>
    </row>
    <row r="7" spans="1:24" ht="15.75" hidden="1" customHeight="1" x14ac:dyDescent="0.25">
      <c r="A7" s="55"/>
      <c r="B7" s="55"/>
      <c r="C7" s="13" t="s">
        <v>178</v>
      </c>
      <c r="D7" s="18">
        <v>5.0199999999999996</v>
      </c>
      <c r="E7" s="13">
        <v>291.27</v>
      </c>
      <c r="F7" s="13"/>
      <c r="G7" s="13" t="s">
        <v>177</v>
      </c>
      <c r="H7" s="13" t="s">
        <v>628</v>
      </c>
      <c r="I7" s="13" t="s">
        <v>178</v>
      </c>
      <c r="J7" s="18">
        <v>58</v>
      </c>
      <c r="K7" s="13"/>
      <c r="L7" s="18"/>
      <c r="M7" s="143"/>
      <c r="N7" s="143"/>
      <c r="O7" s="13"/>
      <c r="P7" s="13"/>
      <c r="Q7" s="28"/>
      <c r="R7" s="143"/>
      <c r="S7" s="143"/>
      <c r="T7" s="143"/>
      <c r="U7" s="143"/>
      <c r="V7" s="143"/>
      <c r="W7" s="143"/>
      <c r="X7" s="143"/>
    </row>
    <row r="8" spans="1:24" ht="15.75" hidden="1" customHeight="1" x14ac:dyDescent="0.25">
      <c r="A8" s="55"/>
      <c r="B8" s="55"/>
      <c r="C8" s="15" t="s">
        <v>180</v>
      </c>
      <c r="D8" s="15">
        <v>2.98</v>
      </c>
      <c r="E8" s="15">
        <v>23.87</v>
      </c>
      <c r="F8" s="15"/>
      <c r="G8" s="15" t="s">
        <v>177</v>
      </c>
      <c r="H8" s="15" t="s">
        <v>628</v>
      </c>
      <c r="I8" s="15" t="s">
        <v>180</v>
      </c>
      <c r="J8" s="15">
        <v>8</v>
      </c>
      <c r="K8" s="15"/>
      <c r="L8" s="15"/>
      <c r="M8" s="143"/>
      <c r="N8" s="143"/>
      <c r="O8" s="15"/>
      <c r="P8" s="15"/>
      <c r="Q8" s="28"/>
      <c r="R8" s="143"/>
      <c r="S8" s="143"/>
      <c r="T8" s="143"/>
      <c r="U8" s="143"/>
      <c r="V8" s="143"/>
      <c r="W8" s="143"/>
      <c r="X8" s="143"/>
    </row>
    <row r="9" spans="1:24" ht="15.75" hidden="1" customHeight="1" x14ac:dyDescent="0.25">
      <c r="A9" s="55"/>
      <c r="B9" s="55"/>
      <c r="C9" s="13" t="s">
        <v>181</v>
      </c>
      <c r="D9" s="13">
        <v>2.14</v>
      </c>
      <c r="E9" s="13">
        <v>23.49</v>
      </c>
      <c r="F9" s="13"/>
      <c r="G9" s="13" t="s">
        <v>177</v>
      </c>
      <c r="H9" s="13" t="s">
        <v>628</v>
      </c>
      <c r="I9" s="13" t="s">
        <v>181</v>
      </c>
      <c r="J9" s="13">
        <v>11</v>
      </c>
      <c r="K9" s="13"/>
      <c r="L9" s="13"/>
      <c r="M9" s="143"/>
      <c r="N9" s="143"/>
      <c r="O9" s="13"/>
      <c r="P9" s="13"/>
      <c r="Q9" s="28"/>
      <c r="R9" s="143"/>
      <c r="S9" s="143"/>
      <c r="T9" s="143"/>
      <c r="U9" s="143"/>
      <c r="V9" s="143"/>
      <c r="W9" s="143"/>
      <c r="X9" s="143"/>
    </row>
    <row r="10" spans="1:24" ht="15.75" hidden="1" customHeight="1" x14ac:dyDescent="0.25">
      <c r="A10" s="55"/>
      <c r="B10" s="55"/>
      <c r="C10" s="15" t="s">
        <v>183</v>
      </c>
      <c r="D10" s="19">
        <v>7.22</v>
      </c>
      <c r="E10" s="15">
        <v>50.57</v>
      </c>
      <c r="F10" s="15"/>
      <c r="G10" s="15" t="s">
        <v>177</v>
      </c>
      <c r="H10" s="15" t="s">
        <v>628</v>
      </c>
      <c r="I10" s="15" t="s">
        <v>183</v>
      </c>
      <c r="J10" s="19">
        <v>7</v>
      </c>
      <c r="K10" s="15"/>
      <c r="L10" s="19"/>
      <c r="M10" s="143"/>
      <c r="N10" s="143"/>
      <c r="O10" s="15"/>
      <c r="P10" s="15"/>
      <c r="Q10" s="28"/>
      <c r="R10" s="143"/>
      <c r="S10" s="143"/>
      <c r="T10" s="143"/>
      <c r="U10" s="143"/>
      <c r="V10" s="143"/>
      <c r="W10" s="143"/>
      <c r="X10" s="143"/>
    </row>
    <row r="11" spans="1:24" ht="15.75" hidden="1" customHeight="1" x14ac:dyDescent="0.25">
      <c r="A11" s="55"/>
      <c r="B11" s="55"/>
      <c r="C11" s="13" t="s">
        <v>559</v>
      </c>
      <c r="D11" s="18">
        <v>494.05</v>
      </c>
      <c r="E11" s="13">
        <v>1976.2</v>
      </c>
      <c r="F11" s="13"/>
      <c r="G11" s="13" t="s">
        <v>598</v>
      </c>
      <c r="H11" s="13" t="s">
        <v>628</v>
      </c>
      <c r="I11" s="13" t="s">
        <v>559</v>
      </c>
      <c r="J11" s="18">
        <v>4</v>
      </c>
      <c r="K11" s="13"/>
      <c r="L11" s="18"/>
      <c r="M11" s="143"/>
      <c r="N11" s="143"/>
      <c r="O11" s="13"/>
      <c r="P11" s="13"/>
      <c r="Q11" s="28"/>
      <c r="R11" s="143"/>
      <c r="S11" s="143"/>
      <c r="T11" s="143"/>
      <c r="U11" s="143"/>
      <c r="V11" s="143"/>
      <c r="W11" s="143"/>
      <c r="X11" s="143"/>
    </row>
    <row r="12" spans="1:24" ht="15.75" hidden="1" customHeight="1" x14ac:dyDescent="0.25">
      <c r="A12" s="55"/>
      <c r="B12" s="55"/>
      <c r="C12" s="15" t="s">
        <v>579</v>
      </c>
      <c r="D12" s="19">
        <v>761.85</v>
      </c>
      <c r="E12" s="15">
        <v>761.85</v>
      </c>
      <c r="F12" s="15"/>
      <c r="G12" s="15" t="s">
        <v>598</v>
      </c>
      <c r="H12" s="15" t="s">
        <v>628</v>
      </c>
      <c r="I12" s="15" t="s">
        <v>579</v>
      </c>
      <c r="J12" s="19">
        <v>1</v>
      </c>
      <c r="K12" s="15"/>
      <c r="L12" s="19"/>
      <c r="M12" s="143"/>
      <c r="N12" s="143"/>
      <c r="O12" s="15"/>
      <c r="P12" s="15"/>
      <c r="Q12" s="28"/>
      <c r="R12" s="143"/>
      <c r="S12" s="143"/>
      <c r="T12" s="143"/>
      <c r="U12" s="143"/>
      <c r="V12" s="143"/>
      <c r="W12" s="143"/>
      <c r="X12" s="143"/>
    </row>
    <row r="13" spans="1:24" ht="15.75" hidden="1" customHeight="1" x14ac:dyDescent="0.25">
      <c r="A13" s="55"/>
      <c r="B13" s="55"/>
      <c r="C13" s="13" t="s">
        <v>581</v>
      </c>
      <c r="D13" s="18">
        <v>248.14</v>
      </c>
      <c r="E13" s="13">
        <v>496.28</v>
      </c>
      <c r="F13" s="13"/>
      <c r="G13" s="13" t="s">
        <v>598</v>
      </c>
      <c r="H13" s="13" t="s">
        <v>628</v>
      </c>
      <c r="I13" s="13" t="s">
        <v>581</v>
      </c>
      <c r="J13" s="18">
        <v>2</v>
      </c>
      <c r="K13" s="13"/>
      <c r="L13" s="18"/>
      <c r="M13" s="143"/>
      <c r="N13" s="143"/>
      <c r="O13" s="13"/>
      <c r="P13" s="13"/>
      <c r="Q13" s="28"/>
      <c r="R13" s="143"/>
      <c r="S13" s="143"/>
      <c r="T13" s="143"/>
      <c r="U13" s="143"/>
      <c r="V13" s="143"/>
      <c r="W13" s="143"/>
      <c r="X13" s="143"/>
    </row>
    <row r="14" spans="1:24" ht="15.75" hidden="1" customHeight="1" x14ac:dyDescent="0.25">
      <c r="A14" s="55"/>
      <c r="B14" s="55"/>
      <c r="C14" s="15" t="s">
        <v>583</v>
      </c>
      <c r="D14" s="19">
        <v>520.32000000000005</v>
      </c>
      <c r="E14" s="15">
        <v>3642.27</v>
      </c>
      <c r="F14" s="15"/>
      <c r="G14" s="15" t="s">
        <v>598</v>
      </c>
      <c r="H14" s="15" t="s">
        <v>628</v>
      </c>
      <c r="I14" s="15" t="s">
        <v>583</v>
      </c>
      <c r="J14" s="19">
        <v>7</v>
      </c>
      <c r="K14" s="15"/>
      <c r="L14" s="19"/>
      <c r="M14" s="143"/>
      <c r="N14" s="143"/>
      <c r="O14" s="15"/>
      <c r="P14" s="15"/>
      <c r="Q14" s="28"/>
      <c r="R14" s="143"/>
      <c r="S14" s="143"/>
      <c r="T14" s="143"/>
      <c r="U14" s="143"/>
      <c r="V14" s="143"/>
      <c r="W14" s="143"/>
      <c r="X14" s="143"/>
    </row>
    <row r="15" spans="1:24" ht="15.75" hidden="1" customHeight="1" x14ac:dyDescent="0.25">
      <c r="A15" s="55"/>
      <c r="B15" s="55"/>
      <c r="C15" s="13" t="s">
        <v>629</v>
      </c>
      <c r="D15" s="18">
        <v>801.26</v>
      </c>
      <c r="E15" s="13">
        <v>801.26</v>
      </c>
      <c r="F15" s="13"/>
      <c r="G15" s="13" t="s">
        <v>598</v>
      </c>
      <c r="H15" s="13" t="s">
        <v>628</v>
      </c>
      <c r="I15" s="13" t="s">
        <v>629</v>
      </c>
      <c r="J15" s="18">
        <v>1</v>
      </c>
      <c r="K15" s="13"/>
      <c r="L15" s="18"/>
      <c r="M15" s="143"/>
      <c r="N15" s="143"/>
      <c r="O15" s="13"/>
      <c r="P15" s="13"/>
      <c r="Q15" s="28"/>
      <c r="R15" s="143"/>
      <c r="S15" s="143"/>
      <c r="T15" s="143"/>
      <c r="U15" s="143"/>
      <c r="V15" s="143"/>
      <c r="W15" s="143"/>
      <c r="X15" s="143"/>
    </row>
    <row r="16" spans="1:24" ht="15.75" hidden="1" customHeight="1" x14ac:dyDescent="0.25">
      <c r="A16" s="55"/>
      <c r="B16" s="55"/>
      <c r="C16" s="15" t="s">
        <v>630</v>
      </c>
      <c r="D16" s="19">
        <v>447.64</v>
      </c>
      <c r="E16" s="15">
        <v>447.64</v>
      </c>
      <c r="F16" s="15"/>
      <c r="G16" s="15" t="s">
        <v>598</v>
      </c>
      <c r="H16" s="15" t="s">
        <v>628</v>
      </c>
      <c r="I16" s="15" t="s">
        <v>630</v>
      </c>
      <c r="J16" s="19">
        <v>1</v>
      </c>
      <c r="K16" s="15"/>
      <c r="L16" s="19"/>
      <c r="M16" s="143"/>
      <c r="N16" s="143"/>
      <c r="O16" s="15"/>
      <c r="P16" s="15"/>
      <c r="Q16" s="28"/>
      <c r="R16" s="143"/>
      <c r="S16" s="143"/>
      <c r="T16" s="143"/>
      <c r="U16" s="143"/>
      <c r="V16" s="143"/>
      <c r="W16" s="143"/>
      <c r="X16" s="143"/>
    </row>
    <row r="17" spans="1:24" ht="15.75" hidden="1" customHeight="1" x14ac:dyDescent="0.25">
      <c r="A17" s="55"/>
      <c r="B17" s="55"/>
      <c r="C17" s="13" t="s">
        <v>631</v>
      </c>
      <c r="D17" s="18">
        <v>613.97</v>
      </c>
      <c r="E17" s="13">
        <v>5525.72</v>
      </c>
      <c r="F17" s="13"/>
      <c r="G17" s="13" t="s">
        <v>598</v>
      </c>
      <c r="H17" s="13" t="s">
        <v>628</v>
      </c>
      <c r="I17" s="13" t="s">
        <v>631</v>
      </c>
      <c r="J17" s="18">
        <v>9</v>
      </c>
      <c r="K17" s="13"/>
      <c r="L17" s="18"/>
      <c r="M17" s="143"/>
      <c r="N17" s="143"/>
      <c r="O17" s="13"/>
      <c r="P17" s="13"/>
      <c r="Q17" s="28"/>
      <c r="R17" s="143"/>
      <c r="S17" s="143"/>
      <c r="T17" s="143"/>
      <c r="U17" s="143"/>
      <c r="V17" s="143"/>
      <c r="W17" s="143"/>
      <c r="X17" s="143"/>
    </row>
    <row r="18" spans="1:24" ht="15.75" hidden="1" customHeight="1" x14ac:dyDescent="0.25">
      <c r="A18" s="55"/>
      <c r="B18" s="55"/>
      <c r="C18" s="15" t="s">
        <v>632</v>
      </c>
      <c r="D18" s="19">
        <v>941.73</v>
      </c>
      <c r="E18" s="15">
        <v>941.73</v>
      </c>
      <c r="F18" s="15"/>
      <c r="G18" s="15" t="s">
        <v>598</v>
      </c>
      <c r="H18" s="15" t="s">
        <v>628</v>
      </c>
      <c r="I18" s="15" t="s">
        <v>632</v>
      </c>
      <c r="J18" s="19">
        <v>1</v>
      </c>
      <c r="K18" s="15"/>
      <c r="L18" s="19"/>
      <c r="M18" s="143"/>
      <c r="N18" s="143"/>
      <c r="O18" s="15"/>
      <c r="P18" s="15"/>
      <c r="Q18" s="28"/>
      <c r="R18" s="143"/>
      <c r="S18" s="143"/>
      <c r="T18" s="143"/>
      <c r="U18" s="143"/>
      <c r="V18" s="143"/>
      <c r="W18" s="143"/>
      <c r="X18" s="143"/>
    </row>
    <row r="19" spans="1:24" ht="15.75" hidden="1" customHeight="1" x14ac:dyDescent="0.25">
      <c r="A19" s="55"/>
      <c r="B19" s="55"/>
      <c r="C19" s="13" t="s">
        <v>633</v>
      </c>
      <c r="D19" s="18">
        <v>612.79999999999995</v>
      </c>
      <c r="E19" s="13">
        <v>7353.6</v>
      </c>
      <c r="F19" s="13"/>
      <c r="G19" s="13" t="s">
        <v>598</v>
      </c>
      <c r="H19" s="13" t="s">
        <v>628</v>
      </c>
      <c r="I19" s="13" t="s">
        <v>633</v>
      </c>
      <c r="J19" s="18">
        <v>12</v>
      </c>
      <c r="K19" s="13"/>
      <c r="L19" s="18"/>
      <c r="M19" s="143"/>
      <c r="N19" s="143"/>
      <c r="O19" s="13"/>
      <c r="P19" s="13"/>
      <c r="Q19" s="28"/>
      <c r="R19" s="143"/>
      <c r="S19" s="143"/>
      <c r="T19" s="143"/>
      <c r="U19" s="143"/>
      <c r="V19" s="143"/>
      <c r="W19" s="143"/>
      <c r="X19" s="143"/>
    </row>
    <row r="20" spans="1:24" ht="15.75" hidden="1" customHeight="1" x14ac:dyDescent="0.25">
      <c r="A20" s="55"/>
      <c r="B20" s="55"/>
      <c r="C20" s="15" t="s">
        <v>634</v>
      </c>
      <c r="D20" s="19">
        <v>430.51</v>
      </c>
      <c r="E20" s="15">
        <v>3013.54</v>
      </c>
      <c r="F20" s="15"/>
      <c r="G20" s="15" t="s">
        <v>598</v>
      </c>
      <c r="H20" s="15" t="s">
        <v>628</v>
      </c>
      <c r="I20" s="15" t="s">
        <v>634</v>
      </c>
      <c r="J20" s="19">
        <v>7</v>
      </c>
      <c r="K20" s="15"/>
      <c r="L20" s="19"/>
      <c r="M20" s="143"/>
      <c r="N20" s="143"/>
      <c r="O20" s="15"/>
      <c r="P20" s="15"/>
      <c r="Q20" s="28"/>
      <c r="R20" s="143"/>
      <c r="S20" s="143"/>
      <c r="T20" s="143"/>
      <c r="U20" s="143"/>
      <c r="V20" s="143"/>
      <c r="W20" s="143"/>
      <c r="X20" s="143"/>
    </row>
    <row r="21" spans="1:24" ht="15.75" customHeight="1" x14ac:dyDescent="0.25">
      <c r="A21" s="55"/>
      <c r="B21" s="55"/>
      <c r="C21" s="13" t="s">
        <v>113</v>
      </c>
      <c r="D21" s="18">
        <v>76.7</v>
      </c>
      <c r="E21" s="13">
        <v>1303.92</v>
      </c>
      <c r="F21" s="13"/>
      <c r="G21" s="13" t="s">
        <v>111</v>
      </c>
      <c r="H21" s="13" t="s">
        <v>598</v>
      </c>
      <c r="I21" s="13" t="s">
        <v>113</v>
      </c>
      <c r="J21" s="18">
        <v>17</v>
      </c>
      <c r="K21" s="13"/>
      <c r="L21" s="18"/>
      <c r="M21" s="143"/>
      <c r="N21" s="143"/>
      <c r="O21" s="13"/>
      <c r="P21" s="13"/>
      <c r="Q21" s="28"/>
      <c r="R21" s="143"/>
      <c r="S21" s="143"/>
      <c r="T21" s="143"/>
      <c r="U21" s="143"/>
      <c r="V21" s="143"/>
      <c r="W21" s="143"/>
      <c r="X21" s="143"/>
    </row>
    <row r="22" spans="1:24" ht="15.75" customHeight="1" x14ac:dyDescent="0.25">
      <c r="A22" s="55"/>
      <c r="B22" s="55"/>
      <c r="C22" s="15" t="s">
        <v>116</v>
      </c>
      <c r="D22" s="19">
        <v>59.87</v>
      </c>
      <c r="E22" s="15">
        <v>1017.85</v>
      </c>
      <c r="F22" s="15"/>
      <c r="G22" s="15" t="s">
        <v>115</v>
      </c>
      <c r="H22" s="15" t="s">
        <v>598</v>
      </c>
      <c r="I22" s="15" t="s">
        <v>116</v>
      </c>
      <c r="J22" s="19">
        <v>17</v>
      </c>
      <c r="K22" s="15"/>
      <c r="L22" s="19"/>
      <c r="M22" s="143"/>
      <c r="N22" s="143"/>
      <c r="O22" s="15"/>
      <c r="P22" s="15"/>
      <c r="Q22" s="28"/>
      <c r="R22" s="143"/>
      <c r="S22" s="143"/>
      <c r="T22" s="143"/>
      <c r="U22" s="143"/>
      <c r="V22" s="143"/>
      <c r="W22" s="143"/>
      <c r="X22" s="143"/>
    </row>
    <row r="23" spans="1:24" ht="15.75" customHeight="1" x14ac:dyDescent="0.25">
      <c r="A23" s="55"/>
      <c r="B23" s="55"/>
      <c r="C23" s="13" t="s">
        <v>635</v>
      </c>
      <c r="D23" s="18">
        <v>40.28</v>
      </c>
      <c r="E23" s="13">
        <v>80.56</v>
      </c>
      <c r="F23" s="13"/>
      <c r="G23" s="13" t="s">
        <v>115</v>
      </c>
      <c r="H23" s="13" t="s">
        <v>598</v>
      </c>
      <c r="I23" s="13" t="s">
        <v>635</v>
      </c>
      <c r="J23" s="18">
        <v>2</v>
      </c>
      <c r="K23" s="13"/>
      <c r="L23" s="18"/>
      <c r="M23" s="143"/>
      <c r="N23" s="143"/>
      <c r="O23" s="13"/>
      <c r="P23" s="13"/>
      <c r="Q23" s="28"/>
      <c r="R23" s="143"/>
      <c r="S23" s="143"/>
      <c r="T23" s="143"/>
      <c r="U23" s="143"/>
      <c r="V23" s="143"/>
      <c r="W23" s="143"/>
      <c r="X23" s="143"/>
    </row>
    <row r="24" spans="1:24" ht="15.75" customHeight="1" x14ac:dyDescent="0.25">
      <c r="A24" s="55"/>
      <c r="B24" s="55"/>
      <c r="C24" s="15" t="s">
        <v>636</v>
      </c>
      <c r="D24" s="19">
        <v>35.32</v>
      </c>
      <c r="E24" s="15">
        <v>105.95</v>
      </c>
      <c r="F24" s="15"/>
      <c r="G24" s="15" t="s">
        <v>115</v>
      </c>
      <c r="H24" s="15" t="s">
        <v>598</v>
      </c>
      <c r="I24" s="15" t="s">
        <v>636</v>
      </c>
      <c r="J24" s="19">
        <v>3</v>
      </c>
      <c r="K24" s="15"/>
      <c r="L24" s="19"/>
      <c r="M24" s="143"/>
      <c r="N24" s="143"/>
      <c r="O24" s="15"/>
      <c r="P24" s="15"/>
      <c r="Q24" s="28"/>
      <c r="R24" s="143"/>
      <c r="S24" s="143"/>
      <c r="T24" s="143"/>
      <c r="U24" s="143"/>
      <c r="V24" s="143"/>
      <c r="W24" s="143"/>
      <c r="X24" s="143"/>
    </row>
    <row r="25" spans="1:24" ht="15.75" customHeight="1" x14ac:dyDescent="0.25">
      <c r="A25" s="55"/>
      <c r="B25" s="55"/>
      <c r="C25" s="13" t="s">
        <v>117</v>
      </c>
      <c r="D25" s="18">
        <v>64.849999999999994</v>
      </c>
      <c r="E25" s="13">
        <v>713.37</v>
      </c>
      <c r="F25" s="13"/>
      <c r="G25" s="13" t="s">
        <v>115</v>
      </c>
      <c r="H25" s="13" t="s">
        <v>598</v>
      </c>
      <c r="I25" s="13" t="s">
        <v>117</v>
      </c>
      <c r="J25" s="18">
        <v>11</v>
      </c>
      <c r="K25" s="13"/>
      <c r="L25" s="18"/>
      <c r="M25" s="143"/>
      <c r="N25" s="143"/>
      <c r="O25" s="13"/>
      <c r="P25" s="13"/>
      <c r="Q25" s="28"/>
      <c r="R25" s="143"/>
      <c r="S25" s="143"/>
      <c r="T25" s="143"/>
      <c r="U25" s="143"/>
      <c r="V25" s="143"/>
      <c r="W25" s="143"/>
      <c r="X25" s="143"/>
    </row>
    <row r="26" spans="1:24" ht="15.75" customHeight="1" x14ac:dyDescent="0.25">
      <c r="A26" s="55"/>
      <c r="B26" s="55"/>
      <c r="C26" s="15" t="s">
        <v>637</v>
      </c>
      <c r="D26" s="19">
        <v>60.37</v>
      </c>
      <c r="E26" s="15">
        <v>664.12</v>
      </c>
      <c r="F26" s="15"/>
      <c r="G26" s="15" t="s">
        <v>115</v>
      </c>
      <c r="H26" s="15" t="s">
        <v>598</v>
      </c>
      <c r="I26" s="15" t="s">
        <v>637</v>
      </c>
      <c r="J26" s="19">
        <v>11</v>
      </c>
      <c r="K26" s="15"/>
      <c r="L26" s="19"/>
      <c r="M26" s="143"/>
      <c r="N26" s="143"/>
      <c r="O26" s="15"/>
      <c r="P26" s="15"/>
      <c r="Q26" s="28"/>
      <c r="R26" s="143"/>
      <c r="S26" s="143"/>
      <c r="T26" s="143"/>
      <c r="U26" s="143"/>
      <c r="V26" s="143"/>
      <c r="W26" s="143"/>
      <c r="X26" s="143"/>
    </row>
    <row r="27" spans="1:24" ht="15.75" customHeight="1" x14ac:dyDescent="0.25">
      <c r="A27" s="55"/>
      <c r="B27" s="55"/>
      <c r="C27" s="13" t="s">
        <v>638</v>
      </c>
      <c r="D27" s="18">
        <v>36.49</v>
      </c>
      <c r="E27" s="13">
        <v>145.94</v>
      </c>
      <c r="F27" s="13"/>
      <c r="G27" s="13" t="s">
        <v>115</v>
      </c>
      <c r="H27" s="13" t="s">
        <v>598</v>
      </c>
      <c r="I27" s="13" t="s">
        <v>638</v>
      </c>
      <c r="J27" s="18">
        <v>4</v>
      </c>
      <c r="K27" s="13"/>
      <c r="L27" s="18"/>
      <c r="M27" s="143"/>
      <c r="N27" s="143"/>
      <c r="O27" s="13"/>
      <c r="P27" s="13"/>
      <c r="Q27" s="28"/>
      <c r="R27" s="143"/>
      <c r="S27" s="143"/>
      <c r="T27" s="143"/>
      <c r="U27" s="143"/>
      <c r="V27" s="143"/>
      <c r="W27" s="143"/>
      <c r="X27" s="143"/>
    </row>
    <row r="28" spans="1:24" ht="15.75" customHeight="1" x14ac:dyDescent="0.25">
      <c r="A28" s="55"/>
      <c r="B28" s="55"/>
      <c r="C28" s="15" t="s">
        <v>639</v>
      </c>
      <c r="D28" s="19">
        <v>31.31</v>
      </c>
      <c r="E28" s="15">
        <v>125.23</v>
      </c>
      <c r="F28" s="15"/>
      <c r="G28" s="15" t="s">
        <v>115</v>
      </c>
      <c r="H28" s="15" t="s">
        <v>598</v>
      </c>
      <c r="I28" s="15" t="s">
        <v>639</v>
      </c>
      <c r="J28" s="19">
        <v>4</v>
      </c>
      <c r="K28" s="15"/>
      <c r="L28" s="19"/>
      <c r="M28" s="143"/>
      <c r="N28" s="143"/>
      <c r="O28" s="15"/>
      <c r="P28" s="15"/>
      <c r="Q28" s="28"/>
      <c r="R28" s="143"/>
      <c r="S28" s="143"/>
      <c r="T28" s="143"/>
      <c r="U28" s="143"/>
      <c r="V28" s="143"/>
      <c r="W28" s="143"/>
      <c r="X28" s="143"/>
    </row>
    <row r="29" spans="1:24" ht="15.75" customHeight="1" x14ac:dyDescent="0.25">
      <c r="A29" s="55"/>
      <c r="B29" s="55"/>
      <c r="C29" s="13" t="s">
        <v>597</v>
      </c>
      <c r="D29" s="18">
        <v>120.8</v>
      </c>
      <c r="E29" s="13">
        <v>2536.81</v>
      </c>
      <c r="F29" s="13"/>
      <c r="G29" s="13" t="s">
        <v>599</v>
      </c>
      <c r="H29" s="13" t="s">
        <v>598</v>
      </c>
      <c r="I29" s="13" t="s">
        <v>597</v>
      </c>
      <c r="J29" s="18">
        <v>21</v>
      </c>
      <c r="K29" s="13"/>
      <c r="L29" s="18"/>
      <c r="M29" s="143"/>
      <c r="N29" s="143"/>
      <c r="O29" s="13"/>
      <c r="P29" s="13"/>
      <c r="Q29" s="28"/>
      <c r="R29" s="143"/>
      <c r="S29" s="143"/>
      <c r="T29" s="143"/>
      <c r="U29" s="143"/>
      <c r="V29" s="143"/>
      <c r="W29" s="143"/>
      <c r="X29" s="143"/>
    </row>
    <row r="30" spans="1:24" ht="15.75" customHeight="1" x14ac:dyDescent="0.25">
      <c r="A30" s="55"/>
      <c r="B30" s="55"/>
      <c r="C30" s="15" t="s">
        <v>606</v>
      </c>
      <c r="D30" s="19">
        <v>61.88</v>
      </c>
      <c r="E30" s="15">
        <v>1299.44</v>
      </c>
      <c r="F30" s="15"/>
      <c r="G30" s="15" t="s">
        <v>115</v>
      </c>
      <c r="H30" s="15" t="s">
        <v>598</v>
      </c>
      <c r="I30" s="15" t="s">
        <v>606</v>
      </c>
      <c r="J30" s="19">
        <v>21</v>
      </c>
      <c r="K30" s="15"/>
      <c r="L30" s="19"/>
      <c r="M30" s="143"/>
      <c r="N30" s="143"/>
      <c r="O30" s="15"/>
      <c r="P30" s="15"/>
      <c r="Q30" s="28"/>
      <c r="R30" s="143"/>
      <c r="S30" s="143"/>
      <c r="T30" s="143"/>
      <c r="U30" s="143"/>
      <c r="V30" s="143"/>
      <c r="W30" s="143"/>
      <c r="X30" s="143"/>
    </row>
    <row r="31" spans="1:24" ht="15.75" customHeight="1" x14ac:dyDescent="0.25">
      <c r="A31" s="55"/>
      <c r="B31" s="55"/>
      <c r="C31" s="13" t="s">
        <v>640</v>
      </c>
      <c r="D31" s="18">
        <v>58.74</v>
      </c>
      <c r="E31" s="13">
        <v>822.33</v>
      </c>
      <c r="F31" s="13"/>
      <c r="G31" s="13" t="s">
        <v>115</v>
      </c>
      <c r="H31" s="13" t="s">
        <v>598</v>
      </c>
      <c r="I31" s="13" t="s">
        <v>640</v>
      </c>
      <c r="J31" s="18">
        <v>14</v>
      </c>
      <c r="K31" s="13"/>
      <c r="L31" s="18"/>
      <c r="M31" s="143"/>
      <c r="N31" s="143"/>
      <c r="O31" s="13"/>
      <c r="P31" s="13"/>
      <c r="Q31" s="28"/>
      <c r="R31" s="143"/>
      <c r="S31" s="143"/>
      <c r="T31" s="143"/>
      <c r="U31" s="143"/>
      <c r="V31" s="143"/>
      <c r="W31" s="143"/>
      <c r="X31" s="143"/>
    </row>
    <row r="32" spans="1:24" ht="15.75" customHeight="1" x14ac:dyDescent="0.25">
      <c r="A32" s="55"/>
      <c r="B32" s="55"/>
      <c r="C32" s="15" t="s">
        <v>641</v>
      </c>
      <c r="D32" s="19">
        <v>53.98</v>
      </c>
      <c r="E32" s="15">
        <v>755.67</v>
      </c>
      <c r="F32" s="15"/>
      <c r="G32" s="15" t="s">
        <v>115</v>
      </c>
      <c r="H32" s="15" t="s">
        <v>598</v>
      </c>
      <c r="I32" s="15" t="s">
        <v>641</v>
      </c>
      <c r="J32" s="19">
        <v>14</v>
      </c>
      <c r="K32" s="15"/>
      <c r="L32" s="19"/>
      <c r="M32" s="143"/>
      <c r="N32" s="143"/>
      <c r="O32" s="15"/>
      <c r="P32" s="15"/>
      <c r="Q32" s="28"/>
      <c r="R32" s="143"/>
      <c r="S32" s="143"/>
      <c r="T32" s="143"/>
      <c r="U32" s="143"/>
      <c r="V32" s="143"/>
      <c r="W32" s="143"/>
      <c r="X32" s="143"/>
    </row>
    <row r="33" spans="1:24" ht="15.75" customHeight="1" x14ac:dyDescent="0.25">
      <c r="A33" s="55"/>
      <c r="B33" s="55"/>
      <c r="C33" s="13" t="s">
        <v>642</v>
      </c>
      <c r="D33" s="18">
        <v>39.79</v>
      </c>
      <c r="E33" s="13">
        <v>39.79</v>
      </c>
      <c r="F33" s="13"/>
      <c r="G33" s="13" t="s">
        <v>115</v>
      </c>
      <c r="H33" s="13" t="s">
        <v>598</v>
      </c>
      <c r="I33" s="13" t="s">
        <v>642</v>
      </c>
      <c r="J33" s="18">
        <v>1</v>
      </c>
      <c r="K33" s="13"/>
      <c r="L33" s="18"/>
      <c r="M33" s="143"/>
      <c r="N33" s="143"/>
      <c r="O33" s="13"/>
      <c r="P33" s="13"/>
      <c r="Q33" s="28"/>
      <c r="R33" s="143"/>
      <c r="S33" s="143"/>
      <c r="T33" s="143"/>
      <c r="U33" s="143"/>
      <c r="V33" s="143"/>
      <c r="W33" s="143"/>
      <c r="X33" s="143"/>
    </row>
    <row r="34" spans="1:24" ht="15.75" customHeight="1" x14ac:dyDescent="0.25">
      <c r="A34" s="55"/>
      <c r="B34" s="55"/>
      <c r="C34" s="15" t="s">
        <v>643</v>
      </c>
      <c r="D34" s="19">
        <v>89.45</v>
      </c>
      <c r="E34" s="15">
        <v>2146.91</v>
      </c>
      <c r="F34" s="15"/>
      <c r="G34" s="15" t="s">
        <v>111</v>
      </c>
      <c r="H34" s="15" t="s">
        <v>598</v>
      </c>
      <c r="I34" s="15" t="s">
        <v>643</v>
      </c>
      <c r="J34" s="19">
        <v>24</v>
      </c>
      <c r="K34" s="15"/>
      <c r="L34" s="19"/>
      <c r="M34" s="143"/>
      <c r="N34" s="143"/>
      <c r="O34" s="15"/>
      <c r="P34" s="15"/>
      <c r="Q34" s="28"/>
      <c r="R34" s="143"/>
      <c r="S34" s="143"/>
      <c r="T34" s="143"/>
      <c r="U34" s="143"/>
      <c r="V34" s="143"/>
      <c r="W34" s="143"/>
      <c r="X34" s="143"/>
    </row>
    <row r="35" spans="1:24" ht="15.75" customHeight="1" x14ac:dyDescent="0.25">
      <c r="A35" s="55"/>
      <c r="B35" s="55"/>
      <c r="C35" s="13" t="s">
        <v>644</v>
      </c>
      <c r="D35" s="18">
        <v>70.819999999999993</v>
      </c>
      <c r="E35" s="13">
        <v>1699.74</v>
      </c>
      <c r="F35" s="13"/>
      <c r="G35" s="13" t="s">
        <v>115</v>
      </c>
      <c r="H35" s="13" t="s">
        <v>598</v>
      </c>
      <c r="I35" s="13" t="s">
        <v>644</v>
      </c>
      <c r="J35" s="18">
        <v>24</v>
      </c>
      <c r="K35" s="13"/>
      <c r="L35" s="18"/>
      <c r="M35" s="143"/>
      <c r="N35" s="143"/>
      <c r="O35" s="13"/>
      <c r="P35" s="13"/>
      <c r="Q35" s="28"/>
      <c r="R35" s="143"/>
      <c r="S35" s="143"/>
      <c r="T35" s="143"/>
      <c r="U35" s="143"/>
      <c r="V35" s="143"/>
      <c r="W35" s="143"/>
      <c r="X35" s="143"/>
    </row>
    <row r="36" spans="1:24" ht="15.75" customHeight="1" x14ac:dyDescent="0.25">
      <c r="A36" s="55"/>
      <c r="B36" s="55"/>
      <c r="C36" s="15" t="s">
        <v>120</v>
      </c>
      <c r="D36" s="19">
        <v>2.92</v>
      </c>
      <c r="E36" s="15">
        <v>99.36</v>
      </c>
      <c r="F36" s="15"/>
      <c r="G36" s="15" t="s">
        <v>118</v>
      </c>
      <c r="H36" s="15" t="s">
        <v>608</v>
      </c>
      <c r="I36" s="15" t="s">
        <v>120</v>
      </c>
      <c r="J36" s="19">
        <v>34</v>
      </c>
      <c r="K36" s="15"/>
      <c r="L36" s="19"/>
      <c r="M36" s="143"/>
      <c r="N36" s="143"/>
      <c r="O36" s="15"/>
      <c r="P36" s="15"/>
      <c r="Q36" s="28"/>
      <c r="R36" s="143"/>
      <c r="S36" s="143"/>
      <c r="T36" s="143"/>
      <c r="U36" s="143"/>
      <c r="V36" s="143"/>
      <c r="W36" s="143"/>
      <c r="X36" s="143"/>
    </row>
    <row r="37" spans="1:24" ht="15.75" customHeight="1" x14ac:dyDescent="0.25">
      <c r="A37" s="55"/>
      <c r="B37" s="55"/>
      <c r="C37" s="13" t="s">
        <v>121</v>
      </c>
      <c r="D37" s="18">
        <v>2.35</v>
      </c>
      <c r="E37" s="13">
        <v>3488.89</v>
      </c>
      <c r="F37" s="13"/>
      <c r="G37" s="13" t="s">
        <v>122</v>
      </c>
      <c r="H37" s="13" t="s">
        <v>608</v>
      </c>
      <c r="I37" s="13" t="s">
        <v>121</v>
      </c>
      <c r="J37" s="18">
        <v>1482</v>
      </c>
      <c r="K37" s="13"/>
      <c r="L37" s="18"/>
      <c r="M37" s="143"/>
      <c r="N37" s="143"/>
      <c r="O37" s="13"/>
      <c r="P37" s="13"/>
      <c r="Q37" s="28"/>
      <c r="R37" s="143"/>
      <c r="S37" s="143"/>
      <c r="T37" s="143"/>
      <c r="U37" s="143"/>
      <c r="V37" s="143"/>
      <c r="W37" s="143"/>
      <c r="X37" s="143"/>
    </row>
    <row r="38" spans="1:24" ht="15.75" customHeight="1" x14ac:dyDescent="0.25">
      <c r="A38" s="55"/>
      <c r="B38" s="55"/>
      <c r="C38" s="15" t="s">
        <v>123</v>
      </c>
      <c r="D38" s="19">
        <v>2.98</v>
      </c>
      <c r="E38" s="15">
        <v>304.38</v>
      </c>
      <c r="F38" s="15"/>
      <c r="G38" s="15" t="s">
        <v>118</v>
      </c>
      <c r="H38" s="13" t="s">
        <v>608</v>
      </c>
      <c r="I38" s="15" t="s">
        <v>123</v>
      </c>
      <c r="J38" s="19">
        <v>102</v>
      </c>
      <c r="K38" s="15"/>
      <c r="L38" s="19"/>
      <c r="M38" s="143"/>
      <c r="N38" s="143"/>
      <c r="O38" s="15"/>
      <c r="P38" s="15"/>
      <c r="Q38" s="28"/>
      <c r="R38" s="143"/>
      <c r="S38" s="143"/>
      <c r="T38" s="143"/>
      <c r="U38" s="143"/>
      <c r="V38" s="143"/>
      <c r="W38" s="143"/>
      <c r="X38" s="143"/>
    </row>
    <row r="39" spans="1:24" ht="15.75" customHeight="1" x14ac:dyDescent="0.25">
      <c r="A39" s="55"/>
      <c r="B39" s="55"/>
      <c r="C39" s="13" t="s">
        <v>645</v>
      </c>
      <c r="D39" s="18">
        <v>2.27</v>
      </c>
      <c r="E39" s="13">
        <v>13.6</v>
      </c>
      <c r="F39" s="13"/>
      <c r="G39" s="13" t="s">
        <v>122</v>
      </c>
      <c r="H39" s="13" t="s">
        <v>608</v>
      </c>
      <c r="I39" s="13" t="s">
        <v>645</v>
      </c>
      <c r="J39" s="18">
        <v>6</v>
      </c>
      <c r="K39" s="13"/>
      <c r="L39" s="18"/>
      <c r="M39" s="143"/>
      <c r="N39" s="143"/>
      <c r="O39" s="13"/>
      <c r="P39" s="13"/>
      <c r="Q39" s="28"/>
      <c r="R39" s="143"/>
      <c r="S39" s="143"/>
      <c r="T39" s="143"/>
      <c r="U39" s="143"/>
      <c r="V39" s="143"/>
      <c r="W39" s="143"/>
      <c r="X39" s="143"/>
    </row>
    <row r="40" spans="1:24" ht="15.75" customHeight="1" x14ac:dyDescent="0.25">
      <c r="A40" s="55"/>
      <c r="B40" s="55"/>
      <c r="C40" s="15" t="s">
        <v>646</v>
      </c>
      <c r="D40" s="19">
        <v>3.02</v>
      </c>
      <c r="E40" s="15">
        <v>687.68</v>
      </c>
      <c r="F40" s="15"/>
      <c r="G40" s="15" t="s">
        <v>118</v>
      </c>
      <c r="H40" s="13" t="s">
        <v>608</v>
      </c>
      <c r="I40" s="15" t="s">
        <v>646</v>
      </c>
      <c r="J40" s="19">
        <v>228</v>
      </c>
      <c r="K40" s="15"/>
      <c r="L40" s="19"/>
      <c r="M40" s="143"/>
      <c r="N40" s="143"/>
      <c r="O40" s="15"/>
      <c r="P40" s="15"/>
      <c r="Q40" s="28"/>
      <c r="R40" s="143"/>
      <c r="S40" s="143"/>
      <c r="T40" s="143"/>
      <c r="U40" s="143"/>
      <c r="V40" s="143"/>
      <c r="W40" s="143"/>
      <c r="X40" s="143"/>
    </row>
    <row r="41" spans="1:24" ht="15.75" customHeight="1" x14ac:dyDescent="0.25">
      <c r="A41" s="55"/>
      <c r="B41" s="55"/>
      <c r="C41" s="13" t="s">
        <v>647</v>
      </c>
      <c r="D41" s="18">
        <v>2.95</v>
      </c>
      <c r="E41" s="13">
        <v>206.79</v>
      </c>
      <c r="F41" s="13"/>
      <c r="G41" s="13" t="s">
        <v>118</v>
      </c>
      <c r="H41" s="13" t="s">
        <v>608</v>
      </c>
      <c r="I41" s="13" t="s">
        <v>647</v>
      </c>
      <c r="J41" s="18">
        <v>70</v>
      </c>
      <c r="K41" s="13"/>
      <c r="L41" s="18"/>
      <c r="M41" s="143"/>
      <c r="N41" s="143"/>
      <c r="O41" s="13"/>
      <c r="P41" s="13"/>
      <c r="Q41" s="28"/>
      <c r="R41" s="143"/>
      <c r="S41" s="143"/>
      <c r="T41" s="143"/>
      <c r="U41" s="143"/>
      <c r="V41" s="143"/>
      <c r="W41" s="143"/>
      <c r="X41" s="143"/>
    </row>
    <row r="42" spans="1:24" ht="15.75" customHeight="1" x14ac:dyDescent="0.25">
      <c r="A42" s="55"/>
      <c r="B42" s="55"/>
      <c r="C42" s="15" t="s">
        <v>648</v>
      </c>
      <c r="D42" s="19">
        <v>2.2999999999999998</v>
      </c>
      <c r="E42" s="15">
        <v>18.399999999999999</v>
      </c>
      <c r="F42" s="15"/>
      <c r="G42" s="15" t="s">
        <v>122</v>
      </c>
      <c r="H42" s="13" t="s">
        <v>608</v>
      </c>
      <c r="I42" s="15" t="s">
        <v>648</v>
      </c>
      <c r="J42" s="19">
        <v>8</v>
      </c>
      <c r="K42" s="15"/>
      <c r="L42" s="19"/>
      <c r="M42" s="143"/>
      <c r="N42" s="143"/>
      <c r="O42" s="15"/>
      <c r="P42" s="15"/>
      <c r="Q42" s="28"/>
      <c r="R42" s="143"/>
      <c r="S42" s="143"/>
      <c r="T42" s="143"/>
      <c r="U42" s="143"/>
      <c r="V42" s="143"/>
      <c r="W42" s="143"/>
      <c r="X42" s="143"/>
    </row>
    <row r="43" spans="1:24" ht="15.75" customHeight="1" x14ac:dyDescent="0.25">
      <c r="A43" s="55"/>
      <c r="B43" s="55"/>
      <c r="C43" s="13" t="s">
        <v>609</v>
      </c>
      <c r="D43" s="18">
        <v>3.07</v>
      </c>
      <c r="E43" s="13">
        <v>129.06</v>
      </c>
      <c r="F43" s="13"/>
      <c r="G43" s="13" t="s">
        <v>118</v>
      </c>
      <c r="H43" s="13" t="s">
        <v>608</v>
      </c>
      <c r="I43" s="13" t="s">
        <v>609</v>
      </c>
      <c r="J43" s="18">
        <v>42</v>
      </c>
      <c r="K43" s="13"/>
      <c r="L43" s="18"/>
      <c r="M43" s="143"/>
      <c r="N43" s="143"/>
      <c r="O43" s="13"/>
      <c r="P43" s="13"/>
      <c r="Q43" s="28"/>
      <c r="R43" s="143"/>
      <c r="S43" s="143"/>
      <c r="T43" s="143"/>
      <c r="U43" s="143"/>
      <c r="V43" s="143"/>
      <c r="W43" s="143"/>
      <c r="X43" s="143"/>
    </row>
    <row r="44" spans="1:24" ht="15.75" customHeight="1" x14ac:dyDescent="0.25">
      <c r="A44" s="55"/>
      <c r="B44" s="55"/>
      <c r="C44" s="15" t="s">
        <v>610</v>
      </c>
      <c r="D44" s="19">
        <v>3.12</v>
      </c>
      <c r="E44" s="15">
        <v>261.88</v>
      </c>
      <c r="F44" s="15"/>
      <c r="G44" s="15" t="s">
        <v>118</v>
      </c>
      <c r="H44" s="13" t="s">
        <v>608</v>
      </c>
      <c r="I44" s="15" t="s">
        <v>610</v>
      </c>
      <c r="J44" s="19">
        <v>84</v>
      </c>
      <c r="K44" s="15"/>
      <c r="L44" s="19"/>
      <c r="M44" s="143"/>
      <c r="N44" s="143"/>
      <c r="O44" s="15"/>
      <c r="P44" s="15"/>
      <c r="Q44" s="28"/>
      <c r="R44" s="143"/>
      <c r="S44" s="143"/>
      <c r="T44" s="143"/>
      <c r="U44" s="143"/>
      <c r="V44" s="143"/>
      <c r="W44" s="143"/>
      <c r="X44" s="143"/>
    </row>
    <row r="45" spans="1:24" ht="15.75" customHeight="1" x14ac:dyDescent="0.25">
      <c r="A45" s="55"/>
      <c r="B45" s="55"/>
      <c r="C45" s="13" t="s">
        <v>611</v>
      </c>
      <c r="D45" s="18">
        <v>3.12</v>
      </c>
      <c r="E45" s="13">
        <v>130.94</v>
      </c>
      <c r="F45" s="13"/>
      <c r="G45" s="13" t="s">
        <v>118</v>
      </c>
      <c r="H45" s="13" t="s">
        <v>608</v>
      </c>
      <c r="I45" s="13" t="s">
        <v>611</v>
      </c>
      <c r="J45" s="18">
        <v>42</v>
      </c>
      <c r="K45" s="13"/>
      <c r="L45" s="18"/>
      <c r="M45" s="143"/>
      <c r="N45" s="143"/>
      <c r="O45" s="13"/>
      <c r="P45" s="13"/>
      <c r="Q45" s="28"/>
      <c r="R45" s="143"/>
      <c r="S45" s="143"/>
      <c r="T45" s="143"/>
      <c r="U45" s="143"/>
      <c r="V45" s="143"/>
      <c r="W45" s="143"/>
      <c r="X45" s="143"/>
    </row>
    <row r="46" spans="1:24" ht="15.75" customHeight="1" x14ac:dyDescent="0.25">
      <c r="A46" s="55"/>
      <c r="B46" s="55"/>
      <c r="C46" s="15" t="s">
        <v>649</v>
      </c>
      <c r="D46" s="19">
        <v>2.94</v>
      </c>
      <c r="E46" s="15">
        <v>82.32</v>
      </c>
      <c r="F46" s="15"/>
      <c r="G46" s="15" t="s">
        <v>118</v>
      </c>
      <c r="H46" s="13" t="s">
        <v>608</v>
      </c>
      <c r="I46" s="15" t="s">
        <v>649</v>
      </c>
      <c r="J46" s="19">
        <v>28</v>
      </c>
      <c r="K46" s="15"/>
      <c r="L46" s="19"/>
      <c r="M46" s="143"/>
      <c r="N46" s="143"/>
      <c r="O46" s="15"/>
      <c r="P46" s="15"/>
      <c r="Q46" s="28"/>
      <c r="R46" s="143"/>
      <c r="S46" s="143"/>
      <c r="T46" s="143"/>
      <c r="U46" s="143"/>
      <c r="V46" s="143"/>
      <c r="W46" s="143"/>
      <c r="X46" s="143"/>
    </row>
    <row r="47" spans="1:24" ht="15.75" customHeight="1" x14ac:dyDescent="0.25">
      <c r="A47" s="55"/>
      <c r="B47" s="55"/>
      <c r="C47" s="13" t="s">
        <v>650</v>
      </c>
      <c r="D47" s="18">
        <v>2.41</v>
      </c>
      <c r="E47" s="13">
        <v>606.78</v>
      </c>
      <c r="F47" s="13"/>
      <c r="G47" s="13" t="s">
        <v>122</v>
      </c>
      <c r="H47" s="13" t="s">
        <v>608</v>
      </c>
      <c r="I47" s="13" t="s">
        <v>650</v>
      </c>
      <c r="J47" s="18">
        <v>252</v>
      </c>
      <c r="K47" s="13"/>
      <c r="L47" s="18"/>
      <c r="M47" s="143"/>
      <c r="N47" s="143"/>
      <c r="O47" s="13"/>
      <c r="P47" s="13"/>
      <c r="Q47" s="28"/>
      <c r="R47" s="143"/>
      <c r="S47" s="143"/>
      <c r="T47" s="143"/>
      <c r="U47" s="143"/>
      <c r="V47" s="143"/>
      <c r="W47" s="143"/>
      <c r="X47" s="143"/>
    </row>
    <row r="48" spans="1:24" ht="15.75" customHeight="1" x14ac:dyDescent="0.25">
      <c r="A48" s="55"/>
      <c r="B48" s="55"/>
      <c r="C48" s="15" t="s">
        <v>651</v>
      </c>
      <c r="D48" s="19">
        <v>3.01</v>
      </c>
      <c r="E48" s="15">
        <v>84.18</v>
      </c>
      <c r="F48" s="15"/>
      <c r="G48" s="15" t="s">
        <v>118</v>
      </c>
      <c r="H48" s="13" t="s">
        <v>608</v>
      </c>
      <c r="I48" s="15" t="s">
        <v>651</v>
      </c>
      <c r="J48" s="19">
        <v>28</v>
      </c>
      <c r="K48" s="15"/>
      <c r="L48" s="19"/>
      <c r="M48" s="143"/>
      <c r="N48" s="143"/>
      <c r="O48" s="15"/>
      <c r="P48" s="15"/>
      <c r="Q48" s="28"/>
      <c r="R48" s="143"/>
      <c r="S48" s="143"/>
      <c r="T48" s="143"/>
      <c r="U48" s="143"/>
      <c r="V48" s="143"/>
      <c r="W48" s="143"/>
      <c r="X48" s="143"/>
    </row>
    <row r="49" spans="1:24" ht="15.75" customHeight="1" x14ac:dyDescent="0.25">
      <c r="A49" s="55"/>
      <c r="B49" s="55"/>
      <c r="C49" s="13" t="s">
        <v>126</v>
      </c>
      <c r="D49" s="18">
        <v>0.26</v>
      </c>
      <c r="E49" s="13">
        <v>637.59</v>
      </c>
      <c r="F49" s="13"/>
      <c r="G49" s="13" t="s">
        <v>124</v>
      </c>
      <c r="H49" s="13" t="s">
        <v>612</v>
      </c>
      <c r="I49" s="13" t="s">
        <v>126</v>
      </c>
      <c r="J49" s="18">
        <v>2495</v>
      </c>
      <c r="K49" s="13"/>
      <c r="L49" s="18"/>
      <c r="M49" s="143"/>
      <c r="N49" s="143"/>
      <c r="O49" s="13"/>
      <c r="P49" s="13"/>
      <c r="Q49" s="28"/>
      <c r="R49" s="143"/>
      <c r="S49" s="143"/>
      <c r="T49" s="143"/>
      <c r="U49" s="143"/>
      <c r="V49" s="143"/>
      <c r="W49" s="143"/>
      <c r="X49" s="143"/>
    </row>
    <row r="50" spans="1:24" ht="15.75" customHeight="1" x14ac:dyDescent="0.25">
      <c r="A50" s="55"/>
      <c r="B50" s="55"/>
      <c r="C50" s="15" t="s">
        <v>613</v>
      </c>
      <c r="D50" s="19">
        <v>0.32</v>
      </c>
      <c r="E50" s="15">
        <v>122.08</v>
      </c>
      <c r="F50" s="15"/>
      <c r="G50" s="15" t="s">
        <v>614</v>
      </c>
      <c r="H50" s="15" t="s">
        <v>612</v>
      </c>
      <c r="I50" s="15" t="s">
        <v>613</v>
      </c>
      <c r="J50" s="19">
        <v>376</v>
      </c>
      <c r="K50" s="15"/>
      <c r="L50" s="19"/>
      <c r="M50" s="143"/>
      <c r="N50" s="143"/>
      <c r="O50" s="15"/>
      <c r="P50" s="15"/>
      <c r="Q50" s="28"/>
      <c r="R50" s="143"/>
      <c r="S50" s="143"/>
      <c r="T50" s="143"/>
      <c r="U50" s="143"/>
      <c r="V50" s="143"/>
      <c r="W50" s="143"/>
      <c r="X50" s="143"/>
    </row>
    <row r="51" spans="1:24" ht="15.75" customHeight="1" x14ac:dyDescent="0.25">
      <c r="A51" s="55"/>
      <c r="B51" s="55"/>
      <c r="C51" s="13" t="s">
        <v>615</v>
      </c>
      <c r="D51" s="18">
        <v>0.5</v>
      </c>
      <c r="E51" s="13">
        <v>84.77</v>
      </c>
      <c r="F51" s="13"/>
      <c r="G51" s="13" t="s">
        <v>616</v>
      </c>
      <c r="H51" s="13" t="s">
        <v>612</v>
      </c>
      <c r="I51" s="13" t="s">
        <v>615</v>
      </c>
      <c r="J51" s="18">
        <v>168</v>
      </c>
      <c r="K51" s="13"/>
      <c r="L51" s="18"/>
      <c r="M51" s="143"/>
      <c r="N51" s="143"/>
      <c r="O51" s="13"/>
      <c r="P51" s="13"/>
      <c r="Q51" s="28"/>
      <c r="R51" s="143"/>
      <c r="S51" s="143"/>
      <c r="T51" s="143"/>
      <c r="U51" s="143"/>
      <c r="V51" s="143"/>
      <c r="W51" s="143"/>
      <c r="X51" s="143"/>
    </row>
    <row r="52" spans="1:24" ht="15.75" customHeight="1" x14ac:dyDescent="0.25">
      <c r="A52" s="55"/>
      <c r="B52" s="55"/>
      <c r="C52" s="15" t="s">
        <v>617</v>
      </c>
      <c r="D52" s="19">
        <v>0.59</v>
      </c>
      <c r="E52" s="15">
        <v>1017.73</v>
      </c>
      <c r="F52" s="15"/>
      <c r="G52" s="15" t="s">
        <v>133</v>
      </c>
      <c r="H52" s="15" t="s">
        <v>618</v>
      </c>
      <c r="I52" s="15" t="s">
        <v>617</v>
      </c>
      <c r="J52" s="19">
        <v>1714</v>
      </c>
      <c r="K52" s="15"/>
      <c r="L52" s="19"/>
      <c r="M52" s="143"/>
      <c r="N52" s="143"/>
      <c r="O52" s="15"/>
      <c r="P52" s="15"/>
      <c r="Q52" s="28"/>
      <c r="R52" s="143"/>
      <c r="S52" s="143"/>
      <c r="T52" s="143"/>
      <c r="U52" s="143"/>
      <c r="V52" s="143"/>
      <c r="W52" s="143"/>
      <c r="X52" s="143"/>
    </row>
    <row r="53" spans="1:24" ht="15.75" customHeight="1" x14ac:dyDescent="0.25">
      <c r="A53" s="55"/>
      <c r="B53" s="55"/>
      <c r="C53" s="13" t="s">
        <v>619</v>
      </c>
      <c r="D53" s="18">
        <v>2.98</v>
      </c>
      <c r="E53" s="13">
        <v>1864.92</v>
      </c>
      <c r="F53" s="13"/>
      <c r="G53" s="13" t="s">
        <v>129</v>
      </c>
      <c r="H53" s="13" t="s">
        <v>618</v>
      </c>
      <c r="I53" s="13" t="s">
        <v>619</v>
      </c>
      <c r="J53" s="18">
        <v>625</v>
      </c>
      <c r="K53" s="13"/>
      <c r="L53" s="18"/>
      <c r="M53" s="143"/>
      <c r="N53" s="143"/>
      <c r="O53" s="13"/>
      <c r="P53" s="13"/>
      <c r="Q53" s="28"/>
      <c r="R53" s="143"/>
      <c r="S53" s="143"/>
      <c r="T53" s="143"/>
      <c r="U53" s="143"/>
      <c r="V53" s="143"/>
      <c r="W53" s="143"/>
      <c r="X53" s="143"/>
    </row>
    <row r="54" spans="1:24" ht="15.75" customHeight="1" x14ac:dyDescent="0.25">
      <c r="A54" s="55"/>
      <c r="B54" s="55"/>
      <c r="C54" s="15" t="s">
        <v>620</v>
      </c>
      <c r="D54" s="19">
        <v>2.75</v>
      </c>
      <c r="E54" s="15">
        <v>1660.87</v>
      </c>
      <c r="F54" s="15"/>
      <c r="G54" s="15" t="s">
        <v>129</v>
      </c>
      <c r="H54" s="15" t="s">
        <v>618</v>
      </c>
      <c r="I54" s="15" t="s">
        <v>620</v>
      </c>
      <c r="J54" s="19">
        <v>603</v>
      </c>
      <c r="K54" s="15"/>
      <c r="L54" s="19"/>
      <c r="M54" s="143"/>
      <c r="N54" s="143"/>
      <c r="O54" s="15"/>
      <c r="P54" s="15"/>
      <c r="Q54" s="28"/>
      <c r="R54" s="143"/>
      <c r="S54" s="143"/>
      <c r="T54" s="143"/>
      <c r="U54" s="143"/>
      <c r="V54" s="143"/>
      <c r="W54" s="143"/>
      <c r="X54" s="143"/>
    </row>
    <row r="55" spans="1:24" ht="15.75" customHeight="1" x14ac:dyDescent="0.25">
      <c r="A55" s="55"/>
      <c r="B55" s="55"/>
      <c r="C55" s="14" t="s">
        <v>162</v>
      </c>
      <c r="D55" s="14" t="s">
        <v>652</v>
      </c>
      <c r="E55" s="14" t="s">
        <v>653</v>
      </c>
      <c r="F55" s="14">
        <v>600</v>
      </c>
      <c r="G55" s="14" t="s">
        <v>654</v>
      </c>
      <c r="H55" s="14" t="s">
        <v>655</v>
      </c>
      <c r="I55" s="14" t="s">
        <v>162</v>
      </c>
      <c r="J55" s="14">
        <v>7</v>
      </c>
      <c r="K55" s="13"/>
      <c r="L55" s="18"/>
      <c r="M55" s="143"/>
      <c r="N55" s="143"/>
      <c r="O55" s="13"/>
      <c r="P55" s="13"/>
      <c r="Q55" s="28"/>
      <c r="R55" s="143"/>
      <c r="S55" s="143"/>
      <c r="T55" s="143"/>
      <c r="U55" s="143"/>
      <c r="V55" s="143"/>
      <c r="W55" s="143"/>
      <c r="X55" s="143"/>
    </row>
    <row r="56" spans="1:24" ht="15.75" customHeight="1" x14ac:dyDescent="0.25">
      <c r="A56" s="55"/>
      <c r="B56" s="55"/>
      <c r="C56" s="14" t="s">
        <v>163</v>
      </c>
      <c r="D56" s="14" t="s">
        <v>656</v>
      </c>
      <c r="E56" s="14" t="s">
        <v>652</v>
      </c>
      <c r="F56" s="14">
        <v>600</v>
      </c>
      <c r="G56" s="14" t="s">
        <v>654</v>
      </c>
      <c r="H56" s="14" t="s">
        <v>655</v>
      </c>
      <c r="I56" s="14" t="s">
        <v>163</v>
      </c>
      <c r="J56" s="14">
        <v>2</v>
      </c>
      <c r="K56" s="15"/>
      <c r="L56" s="19"/>
      <c r="M56" s="143"/>
      <c r="N56" s="143"/>
      <c r="O56" s="15"/>
      <c r="P56" s="15"/>
      <c r="Q56" s="28"/>
      <c r="R56" s="143"/>
      <c r="S56" s="143"/>
      <c r="T56" s="143"/>
      <c r="U56" s="143"/>
      <c r="V56" s="143"/>
      <c r="W56" s="143"/>
      <c r="X56" s="143"/>
    </row>
    <row r="57" spans="1:24" ht="15.75" customHeight="1" x14ac:dyDescent="0.25">
      <c r="A57" s="55"/>
      <c r="B57" s="55"/>
      <c r="C57" s="14" t="s">
        <v>359</v>
      </c>
      <c r="D57" s="14" t="s">
        <v>657</v>
      </c>
      <c r="E57" s="14" t="s">
        <v>658</v>
      </c>
      <c r="F57" s="14">
        <v>601</v>
      </c>
      <c r="G57" s="14" t="s">
        <v>659</v>
      </c>
      <c r="H57" s="14" t="s">
        <v>309</v>
      </c>
      <c r="I57" s="14" t="s">
        <v>359</v>
      </c>
      <c r="J57" s="14">
        <v>41</v>
      </c>
      <c r="K57" s="13"/>
      <c r="L57" s="18"/>
      <c r="M57" s="143"/>
      <c r="N57" s="143"/>
      <c r="O57" s="13"/>
      <c r="P57" s="13"/>
      <c r="Q57" s="28"/>
      <c r="R57" s="143"/>
      <c r="S57" s="143"/>
      <c r="T57" s="143"/>
      <c r="U57" s="143"/>
      <c r="V57" s="143"/>
      <c r="W57" s="143"/>
      <c r="X57" s="143"/>
    </row>
    <row r="58" spans="1:24" ht="29.25" customHeight="1" x14ac:dyDescent="0.25">
      <c r="A58" s="55"/>
      <c r="B58" s="55"/>
      <c r="C58" s="14" t="s">
        <v>361</v>
      </c>
      <c r="D58" s="14" t="s">
        <v>660</v>
      </c>
      <c r="E58" s="14" t="s">
        <v>661</v>
      </c>
      <c r="F58" s="14">
        <v>700</v>
      </c>
      <c r="G58" s="14" t="s">
        <v>129</v>
      </c>
      <c r="H58" s="14" t="s">
        <v>360</v>
      </c>
      <c r="I58" s="14" t="s">
        <v>361</v>
      </c>
      <c r="J58" s="14">
        <v>247</v>
      </c>
      <c r="K58" s="15"/>
      <c r="L58" s="19"/>
      <c r="M58" s="143"/>
      <c r="N58" s="143"/>
      <c r="O58" s="15"/>
      <c r="P58" s="15"/>
      <c r="Q58" s="28"/>
      <c r="R58" s="143"/>
      <c r="S58" s="143"/>
      <c r="T58" s="143"/>
      <c r="U58" s="143"/>
      <c r="V58" s="143"/>
      <c r="W58" s="143"/>
      <c r="X58" s="143"/>
    </row>
    <row r="59" spans="1:24" ht="29.25" customHeight="1" x14ac:dyDescent="0.25">
      <c r="A59" s="55"/>
      <c r="B59" s="55"/>
      <c r="C59" s="14" t="s">
        <v>662</v>
      </c>
      <c r="D59" s="14" t="s">
        <v>660</v>
      </c>
      <c r="E59" s="14" t="s">
        <v>663</v>
      </c>
      <c r="F59" s="14">
        <v>700</v>
      </c>
      <c r="G59" s="14" t="s">
        <v>129</v>
      </c>
      <c r="H59" s="14" t="s">
        <v>360</v>
      </c>
      <c r="I59" s="14" t="s">
        <v>662</v>
      </c>
      <c r="J59" s="14">
        <v>3</v>
      </c>
      <c r="K59" s="13"/>
      <c r="L59" s="18"/>
      <c r="M59" s="143"/>
      <c r="N59" s="143"/>
      <c r="O59" s="13"/>
      <c r="P59" s="13"/>
      <c r="Q59" s="28"/>
      <c r="R59" s="143"/>
      <c r="S59" s="143"/>
      <c r="T59" s="143"/>
      <c r="U59" s="143"/>
      <c r="V59" s="143"/>
      <c r="W59" s="143"/>
      <c r="X59" s="143"/>
    </row>
    <row r="60" spans="1:24" ht="15.75" customHeight="1" x14ac:dyDescent="0.25">
      <c r="A60" s="55"/>
      <c r="B60" s="55"/>
      <c r="C60" s="14" t="s">
        <v>178</v>
      </c>
      <c r="D60" s="14" t="s">
        <v>664</v>
      </c>
      <c r="E60" s="14" t="s">
        <v>665</v>
      </c>
      <c r="F60" s="14">
        <v>650</v>
      </c>
      <c r="G60" s="14" t="s">
        <v>666</v>
      </c>
      <c r="H60" s="14" t="s">
        <v>177</v>
      </c>
      <c r="I60" s="14" t="s">
        <v>178</v>
      </c>
      <c r="J60" s="14">
        <v>48</v>
      </c>
      <c r="K60" s="15"/>
      <c r="L60" s="19"/>
      <c r="M60" s="143"/>
      <c r="N60" s="143"/>
      <c r="O60" s="15"/>
      <c r="P60" s="15"/>
      <c r="Q60" s="28"/>
      <c r="R60" s="143"/>
      <c r="S60" s="143"/>
      <c r="T60" s="143"/>
      <c r="U60" s="143"/>
      <c r="V60" s="143"/>
      <c r="W60" s="143"/>
      <c r="X60" s="143"/>
    </row>
    <row r="61" spans="1:24" ht="15.75" customHeight="1" x14ac:dyDescent="0.25">
      <c r="A61" s="55"/>
      <c r="B61" s="55"/>
      <c r="C61" s="14" t="s">
        <v>180</v>
      </c>
      <c r="D61" s="14" t="s">
        <v>667</v>
      </c>
      <c r="E61" s="14" t="s">
        <v>668</v>
      </c>
      <c r="F61" s="14">
        <v>648</v>
      </c>
      <c r="G61" s="14" t="s">
        <v>179</v>
      </c>
      <c r="H61" s="14" t="s">
        <v>177</v>
      </c>
      <c r="I61" s="14" t="s">
        <v>180</v>
      </c>
      <c r="J61" s="14">
        <v>8</v>
      </c>
      <c r="K61" s="13"/>
      <c r="L61" s="18"/>
      <c r="M61" s="143"/>
      <c r="N61" s="143"/>
      <c r="O61" s="13"/>
      <c r="P61" s="13"/>
      <c r="Q61" s="28"/>
      <c r="R61" s="143"/>
      <c r="S61" s="143"/>
      <c r="T61" s="143"/>
      <c r="U61" s="143"/>
      <c r="V61" s="143"/>
      <c r="W61" s="143"/>
      <c r="X61" s="143"/>
    </row>
    <row r="62" spans="1:24" ht="15.75" customHeight="1" x14ac:dyDescent="0.25">
      <c r="A62" s="55"/>
      <c r="B62" s="55"/>
      <c r="C62" s="14" t="s">
        <v>181</v>
      </c>
      <c r="D62" s="14" t="s">
        <v>669</v>
      </c>
      <c r="E62" s="14" t="s">
        <v>670</v>
      </c>
      <c r="F62" s="14">
        <v>640</v>
      </c>
      <c r="G62" s="14" t="s">
        <v>666</v>
      </c>
      <c r="H62" s="14" t="s">
        <v>177</v>
      </c>
      <c r="I62" s="14" t="s">
        <v>181</v>
      </c>
      <c r="J62" s="14">
        <v>11</v>
      </c>
      <c r="K62" s="15"/>
      <c r="L62" s="19"/>
      <c r="M62" s="143"/>
      <c r="N62" s="143"/>
      <c r="O62" s="15"/>
      <c r="P62" s="15"/>
      <c r="Q62" s="28"/>
      <c r="R62" s="143"/>
      <c r="S62" s="143"/>
      <c r="T62" s="143"/>
      <c r="U62" s="143"/>
      <c r="V62" s="143"/>
      <c r="W62" s="143"/>
      <c r="X62" s="143"/>
    </row>
    <row r="63" spans="1:24" ht="15.75" customHeight="1" x14ac:dyDescent="0.25">
      <c r="A63" s="55"/>
      <c r="B63" s="55"/>
      <c r="C63" s="14" t="s">
        <v>183</v>
      </c>
      <c r="D63" s="14" t="s">
        <v>671</v>
      </c>
      <c r="E63" s="14" t="s">
        <v>672</v>
      </c>
      <c r="F63" s="14">
        <v>678</v>
      </c>
      <c r="G63" s="14" t="s">
        <v>179</v>
      </c>
      <c r="H63" s="14" t="s">
        <v>177</v>
      </c>
      <c r="I63" s="14" t="s">
        <v>183</v>
      </c>
      <c r="J63" s="14">
        <v>7</v>
      </c>
      <c r="K63" s="13"/>
      <c r="L63" s="18"/>
      <c r="M63" s="143"/>
      <c r="N63" s="143"/>
      <c r="O63" s="13"/>
      <c r="P63" s="13"/>
      <c r="Q63" s="28"/>
      <c r="R63" s="143"/>
      <c r="S63" s="143"/>
      <c r="T63" s="143"/>
      <c r="U63" s="143"/>
      <c r="V63" s="143"/>
      <c r="W63" s="143"/>
      <c r="X63" s="143"/>
    </row>
    <row r="64" spans="1:24" ht="29.25" customHeight="1" x14ac:dyDescent="0.25">
      <c r="A64" s="55"/>
      <c r="B64" s="55"/>
      <c r="C64" s="14" t="s">
        <v>189</v>
      </c>
      <c r="D64" s="14" t="s">
        <v>673</v>
      </c>
      <c r="E64" s="14" t="s">
        <v>674</v>
      </c>
      <c r="F64" s="14">
        <v>22559</v>
      </c>
      <c r="G64" s="14" t="s">
        <v>187</v>
      </c>
      <c r="H64" s="14" t="s">
        <v>188</v>
      </c>
      <c r="I64" s="14" t="s">
        <v>189</v>
      </c>
      <c r="J64" s="14">
        <v>2</v>
      </c>
      <c r="K64" s="15"/>
      <c r="L64" s="19"/>
      <c r="M64" s="143"/>
      <c r="N64" s="143"/>
      <c r="O64" s="15"/>
      <c r="P64" s="15"/>
      <c r="Q64" s="28"/>
      <c r="R64" s="143"/>
      <c r="S64" s="143"/>
      <c r="T64" s="143"/>
      <c r="U64" s="143"/>
      <c r="V64" s="143"/>
      <c r="W64" s="143"/>
      <c r="X64" s="143"/>
    </row>
    <row r="65" spans="1:24" ht="29.25" customHeight="1" x14ac:dyDescent="0.25">
      <c r="A65" s="55"/>
      <c r="B65" s="55"/>
      <c r="C65" s="14" t="s">
        <v>190</v>
      </c>
      <c r="D65" s="14" t="s">
        <v>675</v>
      </c>
      <c r="E65" s="14" t="s">
        <v>676</v>
      </c>
      <c r="F65" s="14">
        <v>22570</v>
      </c>
      <c r="G65" s="14" t="s">
        <v>187</v>
      </c>
      <c r="H65" s="14" t="s">
        <v>188</v>
      </c>
      <c r="I65" s="14" t="s">
        <v>190</v>
      </c>
      <c r="J65" s="14">
        <v>2</v>
      </c>
      <c r="K65" s="13"/>
      <c r="L65" s="18"/>
      <c r="M65" s="143"/>
      <c r="N65" s="143"/>
      <c r="O65" s="13"/>
      <c r="P65" s="13"/>
      <c r="Q65" s="28"/>
      <c r="R65" s="143"/>
      <c r="S65" s="143"/>
      <c r="T65" s="143"/>
      <c r="U65" s="143"/>
      <c r="V65" s="143"/>
      <c r="W65" s="143"/>
      <c r="X65" s="143"/>
    </row>
    <row r="66" spans="1:24" ht="29.25" customHeight="1" x14ac:dyDescent="0.25">
      <c r="A66" s="55"/>
      <c r="B66" s="55"/>
      <c r="C66" s="14" t="s">
        <v>191</v>
      </c>
      <c r="D66" s="14" t="s">
        <v>677</v>
      </c>
      <c r="E66" s="14" t="s">
        <v>677</v>
      </c>
      <c r="F66" s="14">
        <v>22532</v>
      </c>
      <c r="G66" s="14" t="s">
        <v>187</v>
      </c>
      <c r="H66" s="14" t="s">
        <v>188</v>
      </c>
      <c r="I66" s="14" t="s">
        <v>191</v>
      </c>
      <c r="J66" s="14">
        <v>1</v>
      </c>
      <c r="K66" s="15"/>
      <c r="L66" s="19"/>
      <c r="M66" s="143"/>
      <c r="N66" s="143"/>
      <c r="O66" s="15"/>
      <c r="P66" s="15"/>
      <c r="Q66" s="28"/>
      <c r="R66" s="143"/>
      <c r="S66" s="143"/>
      <c r="T66" s="143"/>
      <c r="U66" s="143"/>
      <c r="V66" s="143"/>
      <c r="W66" s="143"/>
      <c r="X66" s="143"/>
    </row>
    <row r="67" spans="1:24" ht="29.25" customHeight="1" x14ac:dyDescent="0.25">
      <c r="A67" s="55"/>
      <c r="B67" s="55"/>
      <c r="C67" s="14" t="s">
        <v>192</v>
      </c>
      <c r="D67" s="14" t="s">
        <v>678</v>
      </c>
      <c r="E67" s="14" t="s">
        <v>679</v>
      </c>
      <c r="F67" s="14">
        <v>22542</v>
      </c>
      <c r="G67" s="14" t="s">
        <v>187</v>
      </c>
      <c r="H67" s="14" t="s">
        <v>188</v>
      </c>
      <c r="I67" s="14" t="s">
        <v>192</v>
      </c>
      <c r="J67" s="14">
        <v>2</v>
      </c>
      <c r="K67" s="13"/>
      <c r="L67" s="18"/>
      <c r="M67" s="143"/>
      <c r="N67" s="143"/>
      <c r="O67" s="13"/>
      <c r="P67" s="13"/>
      <c r="Q67" s="28"/>
      <c r="R67" s="143"/>
      <c r="S67" s="143"/>
      <c r="T67" s="143"/>
      <c r="U67" s="143"/>
      <c r="V67" s="143"/>
      <c r="W67" s="143"/>
      <c r="X67" s="143"/>
    </row>
    <row r="68" spans="1:24" ht="29.25" customHeight="1" x14ac:dyDescent="0.25">
      <c r="A68" s="55"/>
      <c r="B68" s="55"/>
      <c r="C68" s="14" t="s">
        <v>193</v>
      </c>
      <c r="D68" s="14" t="s">
        <v>680</v>
      </c>
      <c r="E68" s="14" t="s">
        <v>680</v>
      </c>
      <c r="F68" s="14">
        <v>22556</v>
      </c>
      <c r="G68" s="14" t="s">
        <v>187</v>
      </c>
      <c r="H68" s="14" t="s">
        <v>188</v>
      </c>
      <c r="I68" s="14" t="s">
        <v>193</v>
      </c>
      <c r="J68" s="14">
        <v>1</v>
      </c>
      <c r="K68" s="15"/>
      <c r="L68" s="19"/>
      <c r="M68" s="143"/>
      <c r="N68" s="143"/>
      <c r="O68" s="15"/>
      <c r="P68" s="15"/>
      <c r="Q68" s="28"/>
      <c r="R68" s="143"/>
      <c r="S68" s="143"/>
      <c r="T68" s="143"/>
      <c r="U68" s="143"/>
      <c r="V68" s="143"/>
      <c r="W68" s="143"/>
      <c r="X68" s="143"/>
    </row>
    <row r="69" spans="1:24" ht="29.25" customHeight="1" x14ac:dyDescent="0.25">
      <c r="A69" s="55"/>
      <c r="B69" s="55"/>
      <c r="C69" s="14" t="s">
        <v>194</v>
      </c>
      <c r="D69" s="14" t="s">
        <v>675</v>
      </c>
      <c r="E69" s="14" t="s">
        <v>676</v>
      </c>
      <c r="F69" s="14">
        <v>22568</v>
      </c>
      <c r="G69" s="14" t="s">
        <v>187</v>
      </c>
      <c r="H69" s="14" t="s">
        <v>188</v>
      </c>
      <c r="I69" s="14" t="s">
        <v>194</v>
      </c>
      <c r="J69" s="14">
        <v>2</v>
      </c>
      <c r="K69" s="13"/>
      <c r="L69" s="18"/>
      <c r="M69" s="143"/>
      <c r="N69" s="143"/>
      <c r="O69" s="13"/>
      <c r="P69" s="13"/>
      <c r="Q69" s="28"/>
      <c r="R69" s="143"/>
      <c r="S69" s="143"/>
      <c r="T69" s="143"/>
      <c r="U69" s="143"/>
      <c r="V69" s="143"/>
      <c r="W69" s="143"/>
      <c r="X69" s="143"/>
    </row>
    <row r="70" spans="1:24" ht="29.25" customHeight="1" x14ac:dyDescent="0.25">
      <c r="A70" s="55"/>
      <c r="B70" s="55"/>
      <c r="C70" s="14" t="s">
        <v>681</v>
      </c>
      <c r="D70" s="14" t="s">
        <v>682</v>
      </c>
      <c r="E70" s="14" t="s">
        <v>683</v>
      </c>
      <c r="F70" s="14">
        <v>23117</v>
      </c>
      <c r="G70" s="14" t="s">
        <v>187</v>
      </c>
      <c r="H70" s="14" t="s">
        <v>188</v>
      </c>
      <c r="I70" s="14" t="s">
        <v>681</v>
      </c>
      <c r="J70" s="14">
        <v>2</v>
      </c>
      <c r="K70" s="15"/>
      <c r="L70" s="19"/>
      <c r="M70" s="143"/>
      <c r="N70" s="143"/>
      <c r="O70" s="15"/>
      <c r="P70" s="15"/>
      <c r="Q70" s="28"/>
      <c r="R70" s="143"/>
      <c r="S70" s="143"/>
      <c r="T70" s="143"/>
      <c r="U70" s="143"/>
      <c r="V70" s="143"/>
      <c r="W70" s="143"/>
      <c r="X70" s="143"/>
    </row>
    <row r="71" spans="1:24" ht="29.25" customHeight="1" x14ac:dyDescent="0.25">
      <c r="A71" s="55"/>
      <c r="B71" s="55"/>
      <c r="C71" s="14" t="s">
        <v>684</v>
      </c>
      <c r="D71" s="14" t="s">
        <v>685</v>
      </c>
      <c r="E71" s="14" t="s">
        <v>686</v>
      </c>
      <c r="F71" s="14">
        <v>22617</v>
      </c>
      <c r="G71" s="14" t="s">
        <v>187</v>
      </c>
      <c r="H71" s="14" t="s">
        <v>188</v>
      </c>
      <c r="I71" s="14" t="s">
        <v>684</v>
      </c>
      <c r="J71" s="14">
        <v>2</v>
      </c>
      <c r="K71" s="13"/>
      <c r="L71" s="18"/>
      <c r="M71" s="143"/>
      <c r="N71" s="143"/>
      <c r="O71" s="13"/>
      <c r="P71" s="13"/>
      <c r="Q71" s="28"/>
      <c r="R71" s="143"/>
      <c r="S71" s="143"/>
      <c r="T71" s="143"/>
      <c r="U71" s="143"/>
      <c r="V71" s="143"/>
      <c r="W71" s="143"/>
      <c r="X71" s="143"/>
    </row>
    <row r="72" spans="1:24" ht="29.25" customHeight="1" x14ac:dyDescent="0.25">
      <c r="A72" s="55"/>
      <c r="B72" s="55"/>
      <c r="C72" s="14" t="s">
        <v>687</v>
      </c>
      <c r="D72" s="14" t="s">
        <v>688</v>
      </c>
      <c r="E72" s="14" t="s">
        <v>689</v>
      </c>
      <c r="F72" s="14">
        <v>19485</v>
      </c>
      <c r="G72" s="14" t="s">
        <v>187</v>
      </c>
      <c r="H72" s="14" t="s">
        <v>188</v>
      </c>
      <c r="I72" s="14" t="s">
        <v>687</v>
      </c>
      <c r="J72" s="14">
        <v>2</v>
      </c>
      <c r="K72" s="15"/>
      <c r="L72" s="19"/>
      <c r="M72" s="143"/>
      <c r="N72" s="143"/>
      <c r="O72" s="15"/>
      <c r="P72" s="15"/>
      <c r="Q72" s="28"/>
      <c r="R72" s="143"/>
      <c r="S72" s="143"/>
      <c r="T72" s="143"/>
      <c r="U72" s="143"/>
      <c r="V72" s="143"/>
      <c r="W72" s="143"/>
      <c r="X72" s="143"/>
    </row>
    <row r="73" spans="1:24" ht="29.25" customHeight="1" x14ac:dyDescent="0.25">
      <c r="A73" s="55"/>
      <c r="B73" s="55"/>
      <c r="C73" s="14" t="s">
        <v>690</v>
      </c>
      <c r="D73" s="14" t="s">
        <v>688</v>
      </c>
      <c r="E73" s="14" t="s">
        <v>691</v>
      </c>
      <c r="F73" s="14">
        <v>19492</v>
      </c>
      <c r="G73" s="14" t="s">
        <v>187</v>
      </c>
      <c r="H73" s="14" t="s">
        <v>188</v>
      </c>
      <c r="I73" s="14" t="s">
        <v>690</v>
      </c>
      <c r="J73" s="14">
        <v>4</v>
      </c>
      <c r="K73" s="13"/>
      <c r="L73" s="18"/>
      <c r="M73" s="143"/>
      <c r="N73" s="143"/>
      <c r="O73" s="13"/>
      <c r="P73" s="13"/>
      <c r="Q73" s="28"/>
      <c r="R73" s="143"/>
      <c r="S73" s="143"/>
      <c r="T73" s="143"/>
      <c r="U73" s="143"/>
      <c r="V73" s="143"/>
      <c r="W73" s="143"/>
      <c r="X73" s="143"/>
    </row>
    <row r="74" spans="1:24" ht="29.25" customHeight="1" x14ac:dyDescent="0.25">
      <c r="A74" s="55"/>
      <c r="B74" s="55"/>
      <c r="C74" s="14" t="s">
        <v>692</v>
      </c>
      <c r="D74" s="14" t="s">
        <v>693</v>
      </c>
      <c r="E74" s="14" t="s">
        <v>694</v>
      </c>
      <c r="F74" s="14">
        <v>19521</v>
      </c>
      <c r="G74" s="14" t="s">
        <v>187</v>
      </c>
      <c r="H74" s="14" t="s">
        <v>188</v>
      </c>
      <c r="I74" s="14" t="s">
        <v>692</v>
      </c>
      <c r="J74" s="14">
        <v>2</v>
      </c>
      <c r="K74" s="15"/>
      <c r="L74" s="19"/>
      <c r="M74" s="143"/>
      <c r="N74" s="143"/>
      <c r="O74" s="15"/>
      <c r="P74" s="15"/>
      <c r="Q74" s="28"/>
      <c r="R74" s="143"/>
      <c r="S74" s="143"/>
      <c r="T74" s="143"/>
      <c r="U74" s="143"/>
      <c r="V74" s="143"/>
      <c r="W74" s="143"/>
      <c r="X74" s="143"/>
    </row>
    <row r="75" spans="1:24" ht="29.25" customHeight="1" x14ac:dyDescent="0.25">
      <c r="A75" s="55"/>
      <c r="B75" s="55"/>
      <c r="C75" s="14" t="s">
        <v>695</v>
      </c>
      <c r="D75" s="14" t="s">
        <v>696</v>
      </c>
      <c r="E75" s="14" t="s">
        <v>697</v>
      </c>
      <c r="F75" s="14">
        <v>12689</v>
      </c>
      <c r="G75" s="14" t="s">
        <v>187</v>
      </c>
      <c r="H75" s="14" t="s">
        <v>188</v>
      </c>
      <c r="I75" s="14" t="s">
        <v>695</v>
      </c>
      <c r="J75" s="14">
        <v>2</v>
      </c>
      <c r="K75" s="13"/>
      <c r="L75" s="18"/>
      <c r="M75" s="143"/>
      <c r="N75" s="143"/>
      <c r="O75" s="13"/>
      <c r="P75" s="13"/>
      <c r="Q75" s="28"/>
      <c r="R75" s="143"/>
      <c r="S75" s="143"/>
      <c r="T75" s="143"/>
      <c r="U75" s="143"/>
      <c r="V75" s="143"/>
      <c r="W75" s="143"/>
      <c r="X75" s="143"/>
    </row>
    <row r="76" spans="1:24" ht="29.25" customHeight="1" x14ac:dyDescent="0.25">
      <c r="A76" s="55"/>
      <c r="B76" s="55"/>
      <c r="C76" s="14" t="s">
        <v>698</v>
      </c>
      <c r="D76" s="14" t="s">
        <v>699</v>
      </c>
      <c r="E76" s="14" t="s">
        <v>699</v>
      </c>
      <c r="F76" s="14">
        <v>19555</v>
      </c>
      <c r="G76" s="14" t="s">
        <v>187</v>
      </c>
      <c r="H76" s="14" t="s">
        <v>188</v>
      </c>
      <c r="I76" s="14" t="s">
        <v>698</v>
      </c>
      <c r="J76" s="14">
        <v>1</v>
      </c>
      <c r="K76" s="15"/>
      <c r="L76" s="19"/>
      <c r="M76" s="143"/>
      <c r="N76" s="143"/>
      <c r="O76" s="15"/>
      <c r="P76" s="15"/>
      <c r="Q76" s="28"/>
      <c r="R76" s="143"/>
      <c r="S76" s="143"/>
      <c r="T76" s="143"/>
      <c r="U76" s="143"/>
      <c r="V76" s="143"/>
      <c r="W76" s="143"/>
      <c r="X76" s="143"/>
    </row>
    <row r="77" spans="1:24" ht="29.25" customHeight="1" x14ac:dyDescent="0.25">
      <c r="A77" s="55"/>
      <c r="B77" s="55"/>
      <c r="C77" s="14" t="s">
        <v>700</v>
      </c>
      <c r="D77" s="14" t="s">
        <v>701</v>
      </c>
      <c r="E77" s="14" t="s">
        <v>702</v>
      </c>
      <c r="F77" s="14">
        <v>19223</v>
      </c>
      <c r="G77" s="14" t="s">
        <v>187</v>
      </c>
      <c r="H77" s="14" t="s">
        <v>188</v>
      </c>
      <c r="I77" s="14" t="s">
        <v>700</v>
      </c>
      <c r="J77" s="14">
        <v>2</v>
      </c>
      <c r="K77" s="13"/>
      <c r="L77" s="18"/>
      <c r="M77" s="143"/>
      <c r="N77" s="143"/>
      <c r="O77" s="13"/>
      <c r="P77" s="13"/>
      <c r="Q77" s="28"/>
      <c r="R77" s="143"/>
      <c r="S77" s="143"/>
      <c r="T77" s="143"/>
      <c r="U77" s="143"/>
      <c r="V77" s="143"/>
      <c r="W77" s="143"/>
      <c r="X77" s="143"/>
    </row>
    <row r="78" spans="1:24" ht="29.25" customHeight="1" x14ac:dyDescent="0.25">
      <c r="A78" s="55"/>
      <c r="B78" s="55"/>
      <c r="C78" s="14" t="s">
        <v>315</v>
      </c>
      <c r="D78" s="14" t="s">
        <v>703</v>
      </c>
      <c r="E78" s="14" t="s">
        <v>703</v>
      </c>
      <c r="F78" s="14">
        <v>880</v>
      </c>
      <c r="G78" s="14" t="s">
        <v>133</v>
      </c>
      <c r="H78" s="14" t="s">
        <v>314</v>
      </c>
      <c r="I78" s="14" t="s">
        <v>315</v>
      </c>
      <c r="J78" s="14">
        <v>1</v>
      </c>
      <c r="K78" s="15"/>
      <c r="L78" s="19"/>
      <c r="M78" s="143"/>
      <c r="N78" s="143"/>
      <c r="O78" s="15"/>
      <c r="P78" s="15"/>
      <c r="Q78" s="28"/>
      <c r="R78" s="143"/>
      <c r="S78" s="143"/>
      <c r="T78" s="143"/>
      <c r="U78" s="143"/>
      <c r="V78" s="143"/>
      <c r="W78" s="143"/>
      <c r="X78" s="143"/>
    </row>
    <row r="79" spans="1:24" ht="29.25" customHeight="1" x14ac:dyDescent="0.25">
      <c r="A79" s="55"/>
      <c r="B79" s="55"/>
      <c r="C79" s="14" t="s">
        <v>316</v>
      </c>
      <c r="D79" s="14" t="s">
        <v>703</v>
      </c>
      <c r="E79" s="14" t="s">
        <v>703</v>
      </c>
      <c r="F79" s="14">
        <v>880</v>
      </c>
      <c r="G79" s="14" t="s">
        <v>133</v>
      </c>
      <c r="H79" s="14" t="s">
        <v>314</v>
      </c>
      <c r="I79" s="14" t="s">
        <v>316</v>
      </c>
      <c r="J79" s="14">
        <v>1</v>
      </c>
      <c r="K79" s="13"/>
      <c r="L79" s="18"/>
      <c r="M79" s="143"/>
      <c r="N79" s="143"/>
      <c r="O79" s="13"/>
      <c r="P79" s="13"/>
      <c r="Q79" s="28"/>
      <c r="R79" s="143"/>
      <c r="S79" s="143"/>
      <c r="T79" s="143"/>
      <c r="U79" s="143"/>
      <c r="V79" s="143"/>
      <c r="W79" s="143"/>
      <c r="X79" s="143"/>
    </row>
    <row r="80" spans="1:24" ht="15.75" customHeight="1" x14ac:dyDescent="0.25">
      <c r="A80" s="55"/>
      <c r="B80" s="55"/>
      <c r="C80" s="14" t="s">
        <v>200</v>
      </c>
      <c r="D80" s="14" t="s">
        <v>704</v>
      </c>
      <c r="E80" s="14" t="s">
        <v>704</v>
      </c>
      <c r="F80" s="14">
        <v>200</v>
      </c>
      <c r="G80" s="14" t="s">
        <v>122</v>
      </c>
      <c r="H80" s="14" t="s">
        <v>199</v>
      </c>
      <c r="I80" s="14" t="s">
        <v>200</v>
      </c>
      <c r="J80" s="14">
        <v>1</v>
      </c>
      <c r="K80" s="15"/>
      <c r="L80" s="19"/>
      <c r="M80" s="143"/>
      <c r="N80" s="143"/>
      <c r="O80" s="15"/>
      <c r="P80" s="15"/>
      <c r="Q80" s="28"/>
      <c r="R80" s="143"/>
      <c r="S80" s="143"/>
      <c r="T80" s="143"/>
      <c r="U80" s="143"/>
      <c r="V80" s="143"/>
      <c r="W80" s="143"/>
      <c r="X80" s="143"/>
    </row>
    <row r="81" spans="1:24" ht="15.75" customHeight="1" x14ac:dyDescent="0.25">
      <c r="A81" s="55"/>
      <c r="B81" s="55"/>
      <c r="C81" s="14" t="s">
        <v>203</v>
      </c>
      <c r="D81" s="14" t="s">
        <v>705</v>
      </c>
      <c r="E81" s="14" t="s">
        <v>705</v>
      </c>
      <c r="F81" s="14">
        <v>1361</v>
      </c>
      <c r="G81" s="14" t="s">
        <v>706</v>
      </c>
      <c r="H81" s="14" t="s">
        <v>202</v>
      </c>
      <c r="I81" s="14" t="s">
        <v>203</v>
      </c>
      <c r="J81" s="14">
        <v>1</v>
      </c>
      <c r="K81" s="13"/>
      <c r="L81" s="18"/>
      <c r="M81" s="143"/>
      <c r="N81" s="143"/>
      <c r="O81" s="13"/>
      <c r="P81" s="13"/>
      <c r="Q81" s="28"/>
      <c r="R81" s="143"/>
      <c r="S81" s="143"/>
      <c r="T81" s="143"/>
      <c r="U81" s="143"/>
      <c r="V81" s="143"/>
      <c r="W81" s="143"/>
      <c r="X81" s="143"/>
    </row>
    <row r="82" spans="1:24" ht="15.75" customHeight="1" x14ac:dyDescent="0.25">
      <c r="A82" s="55"/>
      <c r="B82" s="55"/>
      <c r="C82" s="14" t="s">
        <v>204</v>
      </c>
      <c r="D82" s="14" t="s">
        <v>707</v>
      </c>
      <c r="E82" s="14" t="s">
        <v>707</v>
      </c>
      <c r="F82" s="14">
        <v>1452</v>
      </c>
      <c r="G82" s="14" t="s">
        <v>706</v>
      </c>
      <c r="H82" s="14" t="s">
        <v>202</v>
      </c>
      <c r="I82" s="14" t="s">
        <v>204</v>
      </c>
      <c r="J82" s="14">
        <v>1</v>
      </c>
      <c r="K82" s="15"/>
      <c r="L82" s="19"/>
      <c r="M82" s="143"/>
      <c r="N82" s="143"/>
      <c r="O82" s="15"/>
      <c r="P82" s="15"/>
      <c r="Q82" s="28"/>
      <c r="R82" s="143"/>
      <c r="S82" s="143"/>
      <c r="T82" s="143"/>
      <c r="U82" s="143"/>
      <c r="V82" s="143"/>
      <c r="W82" s="143"/>
      <c r="X82" s="143"/>
    </row>
    <row r="83" spans="1:24" ht="15.75" customHeight="1" x14ac:dyDescent="0.25">
      <c r="A83" s="55"/>
      <c r="B83" s="55"/>
      <c r="C83" s="14" t="s">
        <v>205</v>
      </c>
      <c r="D83" s="14" t="s">
        <v>708</v>
      </c>
      <c r="E83" s="14" t="s">
        <v>708</v>
      </c>
      <c r="F83" s="14">
        <v>1599</v>
      </c>
      <c r="G83" s="14" t="s">
        <v>706</v>
      </c>
      <c r="H83" s="14" t="s">
        <v>202</v>
      </c>
      <c r="I83" s="14" t="s">
        <v>205</v>
      </c>
      <c r="J83" s="14">
        <v>1</v>
      </c>
      <c r="K83" s="13"/>
      <c r="L83" s="18"/>
      <c r="M83" s="143"/>
      <c r="N83" s="143"/>
      <c r="O83" s="13"/>
      <c r="P83" s="13"/>
      <c r="Q83" s="28"/>
      <c r="R83" s="143"/>
      <c r="S83" s="143"/>
      <c r="T83" s="143"/>
      <c r="U83" s="143"/>
      <c r="V83" s="143"/>
      <c r="W83" s="143"/>
      <c r="X83" s="143"/>
    </row>
    <row r="84" spans="1:24" ht="15.75" customHeight="1" x14ac:dyDescent="0.25">
      <c r="A84" s="55"/>
      <c r="B84" s="55"/>
      <c r="C84" s="14" t="s">
        <v>206</v>
      </c>
      <c r="D84" s="14" t="s">
        <v>709</v>
      </c>
      <c r="E84" s="14" t="s">
        <v>709</v>
      </c>
      <c r="F84" s="14">
        <v>1747</v>
      </c>
      <c r="G84" s="14" t="s">
        <v>706</v>
      </c>
      <c r="H84" s="14" t="s">
        <v>202</v>
      </c>
      <c r="I84" s="14" t="s">
        <v>206</v>
      </c>
      <c r="J84" s="14">
        <v>1</v>
      </c>
      <c r="K84" s="15"/>
      <c r="L84" s="19"/>
      <c r="M84" s="143"/>
      <c r="N84" s="143"/>
      <c r="O84" s="15"/>
      <c r="P84" s="15"/>
      <c r="Q84" s="28"/>
      <c r="R84" s="143"/>
      <c r="S84" s="143"/>
      <c r="T84" s="143"/>
      <c r="U84" s="143"/>
      <c r="V84" s="143"/>
      <c r="W84" s="143"/>
      <c r="X84" s="143"/>
    </row>
    <row r="85" spans="1:24" ht="15.75" customHeight="1" x14ac:dyDescent="0.25">
      <c r="A85" s="55"/>
      <c r="B85" s="55"/>
      <c r="C85" s="14" t="s">
        <v>207</v>
      </c>
      <c r="D85" s="14" t="s">
        <v>710</v>
      </c>
      <c r="E85" s="14" t="s">
        <v>710</v>
      </c>
      <c r="F85" s="14">
        <v>1952</v>
      </c>
      <c r="G85" s="14" t="s">
        <v>706</v>
      </c>
      <c r="H85" s="14" t="s">
        <v>202</v>
      </c>
      <c r="I85" s="14" t="s">
        <v>207</v>
      </c>
      <c r="J85" s="14">
        <v>1</v>
      </c>
      <c r="K85" s="13"/>
      <c r="L85" s="18"/>
      <c r="M85" s="143"/>
      <c r="N85" s="143"/>
      <c r="O85" s="13"/>
      <c r="P85" s="13"/>
      <c r="Q85" s="28"/>
      <c r="R85" s="143"/>
      <c r="S85" s="143"/>
      <c r="T85" s="143"/>
      <c r="U85" s="143"/>
      <c r="V85" s="143"/>
      <c r="W85" s="143"/>
      <c r="X85" s="143"/>
    </row>
    <row r="86" spans="1:24" ht="15.75" customHeight="1" x14ac:dyDescent="0.25">
      <c r="A86" s="55"/>
      <c r="B86" s="55"/>
      <c r="C86" s="14" t="s">
        <v>208</v>
      </c>
      <c r="D86" s="14" t="s">
        <v>711</v>
      </c>
      <c r="E86" s="14" t="s">
        <v>711</v>
      </c>
      <c r="F86" s="14">
        <v>2035</v>
      </c>
      <c r="G86" s="14" t="s">
        <v>706</v>
      </c>
      <c r="H86" s="14" t="s">
        <v>202</v>
      </c>
      <c r="I86" s="14" t="s">
        <v>208</v>
      </c>
      <c r="J86" s="14">
        <v>1</v>
      </c>
      <c r="K86" s="15"/>
      <c r="L86" s="19"/>
      <c r="M86" s="143"/>
      <c r="N86" s="143"/>
      <c r="O86" s="15"/>
      <c r="P86" s="15"/>
      <c r="Q86" s="28"/>
      <c r="R86" s="143"/>
      <c r="S86" s="143"/>
      <c r="T86" s="143"/>
      <c r="U86" s="143"/>
      <c r="V86" s="143"/>
      <c r="W86" s="143"/>
      <c r="X86" s="143"/>
    </row>
    <row r="87" spans="1:24" ht="29.25" customHeight="1" x14ac:dyDescent="0.25">
      <c r="A87" s="55"/>
      <c r="B87" s="55"/>
      <c r="C87" s="14" t="s">
        <v>712</v>
      </c>
      <c r="D87" s="14" t="s">
        <v>713</v>
      </c>
      <c r="E87" s="14" t="s">
        <v>713</v>
      </c>
      <c r="F87" s="14">
        <v>1106</v>
      </c>
      <c r="G87" s="14" t="s">
        <v>714</v>
      </c>
      <c r="H87" s="14" t="s">
        <v>240</v>
      </c>
      <c r="I87" s="14" t="s">
        <v>712</v>
      </c>
      <c r="J87" s="14">
        <v>1</v>
      </c>
      <c r="K87" s="13"/>
      <c r="L87" s="18"/>
      <c r="M87" s="143"/>
      <c r="N87" s="143"/>
      <c r="O87" s="13"/>
      <c r="P87" s="13"/>
      <c r="Q87" s="28"/>
      <c r="R87" s="143"/>
      <c r="S87" s="143"/>
      <c r="T87" s="143"/>
      <c r="U87" s="143"/>
      <c r="V87" s="143"/>
      <c r="W87" s="143"/>
      <c r="X87" s="143"/>
    </row>
    <row r="88" spans="1:24" ht="29.25" customHeight="1" x14ac:dyDescent="0.25">
      <c r="A88" s="55"/>
      <c r="B88" s="55"/>
      <c r="C88" s="14" t="s">
        <v>715</v>
      </c>
      <c r="D88" s="14" t="s">
        <v>716</v>
      </c>
      <c r="E88" s="14" t="s">
        <v>716</v>
      </c>
      <c r="F88" s="14">
        <v>1774</v>
      </c>
      <c r="G88" s="14" t="s">
        <v>714</v>
      </c>
      <c r="H88" s="14" t="s">
        <v>240</v>
      </c>
      <c r="I88" s="14" t="s">
        <v>715</v>
      </c>
      <c r="J88" s="14">
        <v>1</v>
      </c>
      <c r="K88" s="15"/>
      <c r="L88" s="19"/>
      <c r="M88" s="143"/>
      <c r="N88" s="143"/>
      <c r="O88" s="15"/>
      <c r="P88" s="15"/>
      <c r="Q88" s="28"/>
      <c r="R88" s="143"/>
      <c r="S88" s="143"/>
      <c r="T88" s="143"/>
      <c r="U88" s="143"/>
      <c r="V88" s="143"/>
      <c r="W88" s="143"/>
      <c r="X88" s="143"/>
    </row>
    <row r="89" spans="1:24" ht="15.75" customHeight="1" x14ac:dyDescent="0.25">
      <c r="A89" s="55"/>
      <c r="B89" s="55"/>
      <c r="C89" s="14" t="s">
        <v>717</v>
      </c>
      <c r="D89" s="14" t="s">
        <v>718</v>
      </c>
      <c r="E89" s="14" t="s">
        <v>718</v>
      </c>
      <c r="F89" s="14">
        <v>1617</v>
      </c>
      <c r="G89" s="14" t="s">
        <v>706</v>
      </c>
      <c r="H89" s="14" t="s">
        <v>202</v>
      </c>
      <c r="I89" s="14" t="s">
        <v>717</v>
      </c>
      <c r="J89" s="14">
        <v>1</v>
      </c>
      <c r="K89" s="13"/>
      <c r="L89" s="18"/>
      <c r="M89" s="143"/>
      <c r="N89" s="143"/>
      <c r="O89" s="13"/>
      <c r="P89" s="13"/>
      <c r="Q89" s="28"/>
      <c r="R89" s="143"/>
      <c r="S89" s="143"/>
      <c r="T89" s="143"/>
      <c r="U89" s="143"/>
      <c r="V89" s="143"/>
      <c r="W89" s="143"/>
      <c r="X89" s="143"/>
    </row>
    <row r="90" spans="1:24" ht="15.75" customHeight="1" x14ac:dyDescent="0.25">
      <c r="A90" s="55"/>
      <c r="B90" s="55"/>
      <c r="C90" s="14" t="s">
        <v>719</v>
      </c>
      <c r="D90" s="14" t="s">
        <v>720</v>
      </c>
      <c r="E90" s="14" t="s">
        <v>720</v>
      </c>
      <c r="F90" s="14">
        <v>2290</v>
      </c>
      <c r="G90" s="14" t="s">
        <v>706</v>
      </c>
      <c r="H90" s="14" t="s">
        <v>202</v>
      </c>
      <c r="I90" s="14" t="s">
        <v>719</v>
      </c>
      <c r="J90" s="14">
        <v>1</v>
      </c>
      <c r="K90" s="15"/>
      <c r="L90" s="19"/>
      <c r="M90" s="143"/>
      <c r="N90" s="143"/>
      <c r="O90" s="15"/>
      <c r="P90" s="15"/>
      <c r="Q90" s="28"/>
      <c r="R90" s="143"/>
      <c r="S90" s="143"/>
      <c r="T90" s="143"/>
      <c r="U90" s="143"/>
      <c r="V90" s="143"/>
      <c r="W90" s="143"/>
      <c r="X90" s="143"/>
    </row>
    <row r="91" spans="1:24" ht="15.75" customHeight="1" x14ac:dyDescent="0.25">
      <c r="A91" s="55"/>
      <c r="B91" s="55"/>
      <c r="C91" s="14" t="s">
        <v>721</v>
      </c>
      <c r="D91" s="14" t="s">
        <v>722</v>
      </c>
      <c r="E91" s="14" t="s">
        <v>722</v>
      </c>
      <c r="F91" s="14">
        <v>1194</v>
      </c>
      <c r="G91" s="14" t="s">
        <v>706</v>
      </c>
      <c r="H91" s="14" t="s">
        <v>202</v>
      </c>
      <c r="I91" s="14" t="s">
        <v>721</v>
      </c>
      <c r="J91" s="14">
        <v>1</v>
      </c>
      <c r="K91" s="13"/>
      <c r="L91" s="18"/>
      <c r="M91" s="143"/>
      <c r="N91" s="143"/>
      <c r="O91" s="13"/>
      <c r="P91" s="13"/>
      <c r="Q91" s="28"/>
      <c r="R91" s="143"/>
      <c r="S91" s="143"/>
      <c r="T91" s="143"/>
      <c r="U91" s="143"/>
      <c r="V91" s="143"/>
      <c r="W91" s="143"/>
      <c r="X91" s="143"/>
    </row>
    <row r="92" spans="1:24" ht="15.75" customHeight="1" x14ac:dyDescent="0.25">
      <c r="A92" s="55"/>
      <c r="B92" s="55"/>
      <c r="C92" s="14" t="s">
        <v>723</v>
      </c>
      <c r="D92" s="14" t="s">
        <v>724</v>
      </c>
      <c r="E92" s="14" t="s">
        <v>724</v>
      </c>
      <c r="F92" s="14">
        <v>1333</v>
      </c>
      <c r="G92" s="14" t="s">
        <v>706</v>
      </c>
      <c r="H92" s="14" t="s">
        <v>202</v>
      </c>
      <c r="I92" s="14" t="s">
        <v>723</v>
      </c>
      <c r="J92" s="14">
        <v>1</v>
      </c>
      <c r="K92" s="15"/>
      <c r="L92" s="19"/>
      <c r="M92" s="143"/>
      <c r="N92" s="143"/>
      <c r="O92" s="15"/>
      <c r="P92" s="15"/>
      <c r="Q92" s="28"/>
      <c r="R92" s="143"/>
      <c r="S92" s="143"/>
      <c r="T92" s="143"/>
      <c r="U92" s="143"/>
      <c r="V92" s="143"/>
      <c r="W92" s="143"/>
      <c r="X92" s="143"/>
    </row>
    <row r="93" spans="1:24" ht="15.75" customHeight="1" x14ac:dyDescent="0.25">
      <c r="A93" s="55"/>
      <c r="B93" s="55"/>
      <c r="C93" s="14" t="s">
        <v>725</v>
      </c>
      <c r="D93" s="14" t="s">
        <v>726</v>
      </c>
      <c r="E93" s="14" t="s">
        <v>726</v>
      </c>
      <c r="F93" s="14">
        <v>1460</v>
      </c>
      <c r="G93" s="14" t="s">
        <v>706</v>
      </c>
      <c r="H93" s="14" t="s">
        <v>202</v>
      </c>
      <c r="I93" s="14" t="s">
        <v>725</v>
      </c>
      <c r="J93" s="14">
        <v>1</v>
      </c>
      <c r="K93" s="13"/>
      <c r="L93" s="18"/>
      <c r="M93" s="143"/>
      <c r="N93" s="143"/>
      <c r="O93" s="13"/>
      <c r="P93" s="13"/>
      <c r="Q93" s="28"/>
      <c r="R93" s="143"/>
      <c r="S93" s="143"/>
      <c r="T93" s="143"/>
      <c r="U93" s="143"/>
      <c r="V93" s="143"/>
      <c r="W93" s="143"/>
      <c r="X93" s="143"/>
    </row>
    <row r="94" spans="1:24" ht="15.75" customHeight="1" x14ac:dyDescent="0.25">
      <c r="A94" s="55"/>
      <c r="B94" s="55"/>
      <c r="C94" s="14" t="s">
        <v>727</v>
      </c>
      <c r="D94" s="14" t="s">
        <v>728</v>
      </c>
      <c r="E94" s="14" t="s">
        <v>728</v>
      </c>
      <c r="F94" s="14">
        <v>1350</v>
      </c>
      <c r="G94" s="14" t="s">
        <v>706</v>
      </c>
      <c r="H94" s="14" t="s">
        <v>202</v>
      </c>
      <c r="I94" s="14" t="s">
        <v>727</v>
      </c>
      <c r="J94" s="14">
        <v>1</v>
      </c>
      <c r="K94" s="15"/>
      <c r="L94" s="19"/>
      <c r="M94" s="143"/>
      <c r="N94" s="143"/>
      <c r="O94" s="15"/>
      <c r="P94" s="15"/>
      <c r="Q94" s="28"/>
      <c r="R94" s="143"/>
      <c r="S94" s="143"/>
      <c r="T94" s="143"/>
      <c r="U94" s="143"/>
      <c r="V94" s="143"/>
      <c r="W94" s="143"/>
      <c r="X94" s="143"/>
    </row>
    <row r="95" spans="1:24" ht="15.75" customHeight="1" x14ac:dyDescent="0.25">
      <c r="A95" s="55"/>
      <c r="B95" s="55"/>
      <c r="C95" s="14" t="s">
        <v>729</v>
      </c>
      <c r="D95" s="14" t="s">
        <v>730</v>
      </c>
      <c r="E95" s="14" t="s">
        <v>730</v>
      </c>
      <c r="F95" s="14">
        <v>2035</v>
      </c>
      <c r="G95" s="14" t="s">
        <v>706</v>
      </c>
      <c r="H95" s="14" t="s">
        <v>202</v>
      </c>
      <c r="I95" s="14" t="s">
        <v>729</v>
      </c>
      <c r="J95" s="14">
        <v>1</v>
      </c>
      <c r="K95" s="13"/>
      <c r="L95" s="18"/>
      <c r="M95" s="143"/>
      <c r="N95" s="143"/>
      <c r="O95" s="13"/>
      <c r="P95" s="13"/>
      <c r="Q95" s="28"/>
      <c r="R95" s="143"/>
      <c r="S95" s="143"/>
      <c r="T95" s="143"/>
      <c r="U95" s="143"/>
      <c r="V95" s="143"/>
      <c r="W95" s="143"/>
      <c r="X95" s="143"/>
    </row>
    <row r="96" spans="1:24" ht="29.25" customHeight="1" x14ac:dyDescent="0.25">
      <c r="A96" s="55"/>
      <c r="B96" s="55"/>
      <c r="C96" s="14" t="s">
        <v>731</v>
      </c>
      <c r="D96" s="14" t="s">
        <v>732</v>
      </c>
      <c r="E96" s="14" t="s">
        <v>732</v>
      </c>
      <c r="F96" s="14">
        <v>837</v>
      </c>
      <c r="G96" s="14" t="s">
        <v>714</v>
      </c>
      <c r="H96" s="14" t="s">
        <v>240</v>
      </c>
      <c r="I96" s="14" t="s">
        <v>731</v>
      </c>
      <c r="J96" s="14">
        <v>1</v>
      </c>
      <c r="K96" s="15"/>
      <c r="L96" s="19"/>
      <c r="M96" s="143"/>
      <c r="N96" s="143"/>
      <c r="O96" s="15"/>
      <c r="P96" s="15"/>
      <c r="Q96" s="28"/>
      <c r="R96" s="143"/>
      <c r="S96" s="143"/>
      <c r="T96" s="143"/>
      <c r="U96" s="143"/>
      <c r="V96" s="143"/>
      <c r="W96" s="143"/>
      <c r="X96" s="143"/>
    </row>
    <row r="97" spans="1:24" ht="15.75" customHeight="1" x14ac:dyDescent="0.25">
      <c r="A97" s="55"/>
      <c r="B97" s="55"/>
      <c r="C97" s="14" t="s">
        <v>733</v>
      </c>
      <c r="D97" s="14" t="s">
        <v>734</v>
      </c>
      <c r="E97" s="14" t="s">
        <v>735</v>
      </c>
      <c r="F97" s="14">
        <v>1018</v>
      </c>
      <c r="G97" s="14" t="s">
        <v>706</v>
      </c>
      <c r="H97" s="14" t="s">
        <v>202</v>
      </c>
      <c r="I97" s="14" t="s">
        <v>733</v>
      </c>
      <c r="J97" s="14">
        <v>2</v>
      </c>
      <c r="K97" s="13"/>
      <c r="L97" s="18"/>
      <c r="M97" s="143"/>
      <c r="N97" s="143"/>
      <c r="O97" s="13"/>
      <c r="P97" s="13"/>
      <c r="Q97" s="28"/>
      <c r="R97" s="143"/>
      <c r="S97" s="143"/>
      <c r="T97" s="143"/>
      <c r="U97" s="143"/>
      <c r="V97" s="143"/>
      <c r="W97" s="143"/>
      <c r="X97" s="143"/>
    </row>
    <row r="98" spans="1:24" ht="15.75" customHeight="1" x14ac:dyDescent="0.25">
      <c r="A98" s="55"/>
      <c r="B98" s="55"/>
      <c r="C98" s="14" t="s">
        <v>736</v>
      </c>
      <c r="D98" s="14" t="s">
        <v>737</v>
      </c>
      <c r="E98" s="14" t="s">
        <v>737</v>
      </c>
      <c r="F98" s="14">
        <v>1183</v>
      </c>
      <c r="G98" s="14" t="s">
        <v>706</v>
      </c>
      <c r="H98" s="14" t="s">
        <v>202</v>
      </c>
      <c r="I98" s="14" t="s">
        <v>736</v>
      </c>
      <c r="J98" s="14">
        <v>1</v>
      </c>
      <c r="K98" s="15"/>
      <c r="L98" s="19"/>
      <c r="M98" s="143"/>
      <c r="N98" s="143"/>
      <c r="O98" s="15"/>
      <c r="P98" s="15"/>
      <c r="Q98" s="28"/>
      <c r="R98" s="143"/>
      <c r="S98" s="143"/>
      <c r="T98" s="143"/>
      <c r="U98" s="143"/>
      <c r="V98" s="143"/>
      <c r="W98" s="143"/>
      <c r="X98" s="143"/>
    </row>
    <row r="99" spans="1:24" ht="15.75" customHeight="1" x14ac:dyDescent="0.25">
      <c r="A99" s="55"/>
      <c r="B99" s="55"/>
      <c r="C99" s="14" t="s">
        <v>738</v>
      </c>
      <c r="D99" s="14" t="s">
        <v>739</v>
      </c>
      <c r="E99" s="14" t="s">
        <v>740</v>
      </c>
      <c r="F99" s="14">
        <v>1402</v>
      </c>
      <c r="G99" s="14" t="s">
        <v>706</v>
      </c>
      <c r="H99" s="14" t="s">
        <v>202</v>
      </c>
      <c r="I99" s="14" t="s">
        <v>738</v>
      </c>
      <c r="J99" s="14">
        <v>2</v>
      </c>
      <c r="K99" s="13"/>
      <c r="L99" s="18"/>
      <c r="M99" s="143"/>
      <c r="N99" s="143"/>
      <c r="O99" s="13"/>
      <c r="P99" s="13"/>
      <c r="Q99" s="28"/>
      <c r="R99" s="143"/>
      <c r="S99" s="143"/>
      <c r="T99" s="143"/>
      <c r="U99" s="143"/>
      <c r="V99" s="143"/>
      <c r="W99" s="143"/>
      <c r="X99" s="143"/>
    </row>
    <row r="100" spans="1:24" ht="15.75" customHeight="1" x14ac:dyDescent="0.25">
      <c r="A100" s="55"/>
      <c r="B100" s="55"/>
      <c r="C100" s="14" t="s">
        <v>741</v>
      </c>
      <c r="D100" s="14" t="s">
        <v>742</v>
      </c>
      <c r="E100" s="14" t="s">
        <v>742</v>
      </c>
      <c r="F100" s="14">
        <v>667</v>
      </c>
      <c r="G100" s="14" t="s">
        <v>706</v>
      </c>
      <c r="H100" s="14" t="s">
        <v>202</v>
      </c>
      <c r="I100" s="14" t="s">
        <v>741</v>
      </c>
      <c r="J100" s="14">
        <v>1</v>
      </c>
      <c r="K100" s="15"/>
      <c r="L100" s="19"/>
      <c r="M100" s="143"/>
      <c r="N100" s="143"/>
      <c r="O100" s="15"/>
      <c r="P100" s="15"/>
      <c r="Q100" s="28"/>
      <c r="R100" s="143"/>
      <c r="S100" s="143"/>
      <c r="T100" s="143"/>
      <c r="U100" s="143"/>
      <c r="V100" s="143"/>
      <c r="W100" s="143"/>
      <c r="X100" s="143"/>
    </row>
    <row r="101" spans="1:24" ht="15.75" customHeight="1" x14ac:dyDescent="0.25">
      <c r="A101" s="55"/>
      <c r="B101" s="55"/>
      <c r="C101" s="14" t="s">
        <v>743</v>
      </c>
      <c r="D101" s="14" t="s">
        <v>744</v>
      </c>
      <c r="E101" s="14" t="s">
        <v>744</v>
      </c>
      <c r="F101" s="14">
        <v>167</v>
      </c>
      <c r="G101" s="14" t="s">
        <v>706</v>
      </c>
      <c r="H101" s="14" t="s">
        <v>202</v>
      </c>
      <c r="I101" s="14" t="s">
        <v>743</v>
      </c>
      <c r="J101" s="14">
        <v>1</v>
      </c>
      <c r="K101" s="13"/>
      <c r="L101" s="18"/>
      <c r="M101" s="143"/>
      <c r="N101" s="143"/>
      <c r="O101" s="13"/>
      <c r="P101" s="13"/>
      <c r="Q101" s="28"/>
      <c r="R101" s="143"/>
      <c r="S101" s="143"/>
      <c r="T101" s="143"/>
      <c r="U101" s="143"/>
      <c r="V101" s="143"/>
      <c r="W101" s="143"/>
      <c r="X101" s="143"/>
    </row>
    <row r="102" spans="1:24" ht="15.75" customHeight="1" x14ac:dyDescent="0.25">
      <c r="A102" s="55"/>
      <c r="B102" s="55"/>
      <c r="C102" s="14" t="s">
        <v>745</v>
      </c>
      <c r="D102" s="14" t="s">
        <v>746</v>
      </c>
      <c r="E102" s="14" t="s">
        <v>746</v>
      </c>
      <c r="F102" s="14">
        <v>1534</v>
      </c>
      <c r="G102" s="14" t="s">
        <v>706</v>
      </c>
      <c r="H102" s="14" t="s">
        <v>202</v>
      </c>
      <c r="I102" s="14" t="s">
        <v>745</v>
      </c>
      <c r="J102" s="14">
        <v>1</v>
      </c>
      <c r="K102" s="15"/>
      <c r="L102" s="19"/>
      <c r="M102" s="143"/>
      <c r="N102" s="143"/>
      <c r="O102" s="15"/>
      <c r="P102" s="15"/>
      <c r="Q102" s="28"/>
      <c r="R102" s="143"/>
      <c r="S102" s="143"/>
      <c r="T102" s="143"/>
      <c r="U102" s="143"/>
      <c r="V102" s="143"/>
      <c r="W102" s="143"/>
      <c r="X102" s="143"/>
    </row>
    <row r="103" spans="1:24" ht="15.75" customHeight="1" x14ac:dyDescent="0.25">
      <c r="A103" s="55"/>
      <c r="B103" s="55"/>
      <c r="C103" s="14" t="s">
        <v>747</v>
      </c>
      <c r="D103" s="14" t="s">
        <v>748</v>
      </c>
      <c r="E103" s="14" t="s">
        <v>748</v>
      </c>
      <c r="F103" s="14">
        <v>1551</v>
      </c>
      <c r="G103" s="14" t="s">
        <v>749</v>
      </c>
      <c r="H103" s="14" t="s">
        <v>202</v>
      </c>
      <c r="I103" s="14" t="s">
        <v>747</v>
      </c>
      <c r="J103" s="14">
        <v>1</v>
      </c>
      <c r="K103" s="13"/>
      <c r="L103" s="18"/>
      <c r="M103" s="143"/>
      <c r="N103" s="143"/>
      <c r="O103" s="13"/>
      <c r="P103" s="13"/>
      <c r="Q103" s="28"/>
      <c r="R103" s="143"/>
      <c r="S103" s="143"/>
      <c r="T103" s="143"/>
      <c r="U103" s="143"/>
      <c r="V103" s="143"/>
      <c r="W103" s="143"/>
      <c r="X103" s="143"/>
    </row>
    <row r="104" spans="1:24" ht="15.75" customHeight="1" x14ac:dyDescent="0.25">
      <c r="A104" s="55"/>
      <c r="B104" s="55"/>
      <c r="C104" s="14" t="s">
        <v>750</v>
      </c>
      <c r="D104" s="14" t="s">
        <v>751</v>
      </c>
      <c r="E104" s="14" t="s">
        <v>751</v>
      </c>
      <c r="F104" s="14">
        <v>137</v>
      </c>
      <c r="G104" s="14" t="s">
        <v>752</v>
      </c>
      <c r="H104" s="14" t="s">
        <v>202</v>
      </c>
      <c r="I104" s="14" t="s">
        <v>750</v>
      </c>
      <c r="J104" s="14">
        <v>1</v>
      </c>
      <c r="K104" s="15"/>
      <c r="L104" s="19"/>
      <c r="M104" s="143"/>
      <c r="N104" s="143"/>
      <c r="O104" s="15"/>
      <c r="P104" s="15"/>
      <c r="Q104" s="28"/>
      <c r="R104" s="143"/>
      <c r="S104" s="143"/>
      <c r="T104" s="143"/>
      <c r="U104" s="143"/>
      <c r="V104" s="143"/>
      <c r="W104" s="143"/>
      <c r="X104" s="143"/>
    </row>
    <row r="105" spans="1:24" ht="15.75" customHeight="1" x14ac:dyDescent="0.25">
      <c r="A105" s="55"/>
      <c r="B105" s="55"/>
      <c r="C105" s="14" t="s">
        <v>753</v>
      </c>
      <c r="D105" s="14" t="s">
        <v>754</v>
      </c>
      <c r="E105" s="14" t="s">
        <v>754</v>
      </c>
      <c r="F105" s="14">
        <v>299</v>
      </c>
      <c r="G105" s="14" t="s">
        <v>752</v>
      </c>
      <c r="H105" s="14" t="s">
        <v>202</v>
      </c>
      <c r="I105" s="14" t="s">
        <v>753</v>
      </c>
      <c r="J105" s="14">
        <v>1</v>
      </c>
      <c r="K105" s="13"/>
      <c r="L105" s="18"/>
      <c r="M105" s="143"/>
      <c r="N105" s="143"/>
      <c r="O105" s="13"/>
      <c r="P105" s="13"/>
      <c r="Q105" s="28"/>
      <c r="R105" s="143"/>
      <c r="S105" s="143"/>
      <c r="T105" s="143"/>
      <c r="U105" s="143"/>
      <c r="V105" s="143"/>
      <c r="W105" s="143"/>
      <c r="X105" s="143"/>
    </row>
    <row r="106" spans="1:24" ht="15.75" customHeight="1" x14ac:dyDescent="0.25">
      <c r="A106" s="55"/>
      <c r="B106" s="55"/>
      <c r="C106" s="14" t="s">
        <v>755</v>
      </c>
      <c r="D106" s="14" t="s">
        <v>756</v>
      </c>
      <c r="E106" s="14" t="s">
        <v>756</v>
      </c>
      <c r="F106" s="14">
        <v>460</v>
      </c>
      <c r="G106" s="14" t="s">
        <v>752</v>
      </c>
      <c r="H106" s="14" t="s">
        <v>202</v>
      </c>
      <c r="I106" s="14" t="s">
        <v>755</v>
      </c>
      <c r="J106" s="14">
        <v>1</v>
      </c>
      <c r="K106" s="15"/>
      <c r="L106" s="19"/>
      <c r="M106" s="143"/>
      <c r="N106" s="143"/>
      <c r="O106" s="15"/>
      <c r="P106" s="15"/>
      <c r="Q106" s="28"/>
      <c r="R106" s="143"/>
      <c r="S106" s="143"/>
      <c r="T106" s="143"/>
      <c r="U106" s="143"/>
      <c r="V106" s="143"/>
      <c r="W106" s="143"/>
      <c r="X106" s="143"/>
    </row>
    <row r="107" spans="1:24" ht="15.75" customHeight="1" x14ac:dyDescent="0.25">
      <c r="A107" s="55"/>
      <c r="B107" s="55"/>
      <c r="C107" s="14" t="s">
        <v>757</v>
      </c>
      <c r="D107" s="14" t="s">
        <v>758</v>
      </c>
      <c r="E107" s="14" t="s">
        <v>758</v>
      </c>
      <c r="F107" s="14">
        <v>622</v>
      </c>
      <c r="G107" s="14" t="s">
        <v>752</v>
      </c>
      <c r="H107" s="14" t="s">
        <v>202</v>
      </c>
      <c r="I107" s="14" t="s">
        <v>757</v>
      </c>
      <c r="J107" s="14">
        <v>1</v>
      </c>
      <c r="K107" s="13"/>
      <c r="L107" s="18"/>
      <c r="M107" s="143"/>
      <c r="N107" s="143"/>
      <c r="O107" s="13"/>
      <c r="P107" s="13"/>
      <c r="Q107" s="28"/>
      <c r="R107" s="143"/>
      <c r="S107" s="143"/>
      <c r="T107" s="143"/>
      <c r="U107" s="143"/>
      <c r="V107" s="143"/>
      <c r="W107" s="143"/>
      <c r="X107" s="143"/>
    </row>
    <row r="108" spans="1:24" ht="15.75" customHeight="1" x14ac:dyDescent="0.25">
      <c r="A108" s="55"/>
      <c r="B108" s="55"/>
      <c r="C108" s="14" t="s">
        <v>759</v>
      </c>
      <c r="D108" s="14" t="s">
        <v>760</v>
      </c>
      <c r="E108" s="14" t="s">
        <v>760</v>
      </c>
      <c r="F108" s="14">
        <v>783</v>
      </c>
      <c r="G108" s="14" t="s">
        <v>752</v>
      </c>
      <c r="H108" s="14" t="s">
        <v>202</v>
      </c>
      <c r="I108" s="14" t="s">
        <v>759</v>
      </c>
      <c r="J108" s="14">
        <v>1</v>
      </c>
      <c r="K108" s="15"/>
      <c r="L108" s="19"/>
      <c r="M108" s="143"/>
      <c r="N108" s="143"/>
      <c r="O108" s="15"/>
      <c r="P108" s="15"/>
      <c r="Q108" s="28"/>
      <c r="R108" s="143"/>
      <c r="S108" s="143"/>
      <c r="T108" s="143"/>
      <c r="U108" s="143"/>
      <c r="V108" s="143"/>
      <c r="W108" s="143"/>
      <c r="X108" s="143"/>
    </row>
    <row r="109" spans="1:24" ht="15.75" customHeight="1" x14ac:dyDescent="0.25">
      <c r="A109" s="55"/>
      <c r="B109" s="55"/>
      <c r="C109" s="14" t="s">
        <v>761</v>
      </c>
      <c r="D109" s="14" t="s">
        <v>762</v>
      </c>
      <c r="E109" s="14" t="s">
        <v>762</v>
      </c>
      <c r="F109" s="14">
        <v>1851</v>
      </c>
      <c r="G109" s="14" t="s">
        <v>706</v>
      </c>
      <c r="H109" s="14" t="s">
        <v>202</v>
      </c>
      <c r="I109" s="14" t="s">
        <v>761</v>
      </c>
      <c r="J109" s="14">
        <v>1</v>
      </c>
      <c r="K109" s="13"/>
      <c r="L109" s="18"/>
      <c r="M109" s="143"/>
      <c r="N109" s="143"/>
      <c r="O109" s="13"/>
      <c r="P109" s="13"/>
      <c r="Q109" s="28"/>
      <c r="R109" s="143"/>
      <c r="S109" s="143"/>
      <c r="T109" s="143"/>
      <c r="U109" s="143"/>
      <c r="V109" s="143"/>
      <c r="W109" s="143"/>
      <c r="X109" s="143"/>
    </row>
    <row r="110" spans="1:24" ht="15.75" customHeight="1" x14ac:dyDescent="0.25">
      <c r="A110" s="55"/>
      <c r="B110" s="55"/>
      <c r="C110" s="14" t="s">
        <v>763</v>
      </c>
      <c r="D110" s="14" t="s">
        <v>764</v>
      </c>
      <c r="E110" s="14" t="s">
        <v>764</v>
      </c>
      <c r="F110" s="14">
        <v>1990</v>
      </c>
      <c r="G110" s="14" t="s">
        <v>706</v>
      </c>
      <c r="H110" s="14" t="s">
        <v>202</v>
      </c>
      <c r="I110" s="14" t="s">
        <v>763</v>
      </c>
      <c r="J110" s="14">
        <v>1</v>
      </c>
      <c r="K110" s="15"/>
      <c r="L110" s="19"/>
      <c r="M110" s="143"/>
      <c r="N110" s="143"/>
      <c r="O110" s="15"/>
      <c r="P110" s="15"/>
      <c r="Q110" s="28"/>
      <c r="R110" s="143"/>
      <c r="S110" s="143"/>
      <c r="T110" s="143"/>
      <c r="U110" s="143"/>
      <c r="V110" s="143"/>
      <c r="W110" s="143"/>
      <c r="X110" s="143"/>
    </row>
    <row r="111" spans="1:24" ht="15.75" customHeight="1" x14ac:dyDescent="0.25">
      <c r="A111" s="55"/>
      <c r="B111" s="55"/>
      <c r="C111" s="14" t="s">
        <v>765</v>
      </c>
      <c r="D111" s="14" t="s">
        <v>766</v>
      </c>
      <c r="E111" s="14" t="s">
        <v>766</v>
      </c>
      <c r="F111" s="14">
        <v>2152</v>
      </c>
      <c r="G111" s="14" t="s">
        <v>706</v>
      </c>
      <c r="H111" s="14" t="s">
        <v>202</v>
      </c>
      <c r="I111" s="14" t="s">
        <v>765</v>
      </c>
      <c r="J111" s="14">
        <v>1</v>
      </c>
      <c r="K111" s="13"/>
      <c r="L111" s="18"/>
      <c r="M111" s="143"/>
      <c r="N111" s="143"/>
      <c r="O111" s="13"/>
      <c r="P111" s="13"/>
      <c r="Q111" s="28"/>
      <c r="R111" s="143"/>
      <c r="S111" s="143"/>
      <c r="T111" s="143"/>
      <c r="U111" s="143"/>
      <c r="V111" s="143"/>
      <c r="W111" s="143"/>
      <c r="X111" s="143"/>
    </row>
    <row r="112" spans="1:24" ht="15.75" customHeight="1" x14ac:dyDescent="0.25">
      <c r="A112" s="55"/>
      <c r="B112" s="55"/>
      <c r="C112" s="14" t="s">
        <v>767</v>
      </c>
      <c r="D112" s="14" t="s">
        <v>768</v>
      </c>
      <c r="E112" s="14" t="s">
        <v>768</v>
      </c>
      <c r="F112" s="14">
        <v>1893</v>
      </c>
      <c r="G112" s="14" t="s">
        <v>706</v>
      </c>
      <c r="H112" s="14" t="s">
        <v>202</v>
      </c>
      <c r="I112" s="14" t="s">
        <v>767</v>
      </c>
      <c r="J112" s="14">
        <v>1</v>
      </c>
      <c r="K112" s="15"/>
      <c r="L112" s="19"/>
      <c r="M112" s="143"/>
      <c r="N112" s="143"/>
      <c r="O112" s="15"/>
      <c r="P112" s="15"/>
      <c r="Q112" s="28"/>
      <c r="R112" s="143"/>
      <c r="S112" s="143"/>
      <c r="T112" s="143"/>
      <c r="U112" s="143"/>
      <c r="V112" s="143"/>
      <c r="W112" s="143"/>
      <c r="X112" s="143"/>
    </row>
    <row r="113" spans="1:24" ht="15.75" customHeight="1" x14ac:dyDescent="0.25">
      <c r="A113" s="55"/>
      <c r="B113" s="55"/>
      <c r="C113" s="14" t="s">
        <v>769</v>
      </c>
      <c r="D113" s="14" t="s">
        <v>770</v>
      </c>
      <c r="E113" s="14" t="s">
        <v>770</v>
      </c>
      <c r="F113" s="14">
        <v>2313</v>
      </c>
      <c r="G113" s="14" t="s">
        <v>706</v>
      </c>
      <c r="H113" s="14" t="s">
        <v>202</v>
      </c>
      <c r="I113" s="14" t="s">
        <v>769</v>
      </c>
      <c r="J113" s="14">
        <v>1</v>
      </c>
      <c r="K113" s="13"/>
      <c r="L113" s="18"/>
      <c r="M113" s="143"/>
      <c r="N113" s="143"/>
      <c r="O113" s="13"/>
      <c r="P113" s="13"/>
      <c r="Q113" s="28"/>
      <c r="R113" s="143"/>
      <c r="S113" s="143"/>
      <c r="T113" s="143"/>
      <c r="U113" s="143"/>
      <c r="V113" s="143"/>
      <c r="W113" s="143"/>
      <c r="X113" s="143"/>
    </row>
    <row r="114" spans="1:24" ht="15.75" customHeight="1" x14ac:dyDescent="0.25">
      <c r="A114" s="55"/>
      <c r="B114" s="55"/>
      <c r="C114" s="14" t="s">
        <v>771</v>
      </c>
      <c r="D114" s="14" t="s">
        <v>772</v>
      </c>
      <c r="E114" s="14" t="s">
        <v>772</v>
      </c>
      <c r="F114" s="14">
        <v>2377</v>
      </c>
      <c r="G114" s="14" t="s">
        <v>706</v>
      </c>
      <c r="H114" s="14" t="s">
        <v>202</v>
      </c>
      <c r="I114" s="14" t="s">
        <v>771</v>
      </c>
      <c r="J114" s="14">
        <v>1</v>
      </c>
      <c r="K114" s="15"/>
      <c r="L114" s="19"/>
      <c r="M114" s="143"/>
      <c r="N114" s="143"/>
      <c r="O114" s="15"/>
      <c r="P114" s="15"/>
      <c r="Q114" s="28"/>
      <c r="R114" s="143"/>
      <c r="S114" s="143"/>
      <c r="T114" s="143"/>
      <c r="U114" s="143"/>
      <c r="V114" s="143"/>
      <c r="W114" s="143"/>
      <c r="X114" s="143"/>
    </row>
    <row r="115" spans="1:24" ht="15.75" customHeight="1" x14ac:dyDescent="0.25">
      <c r="A115" s="55"/>
      <c r="B115" s="55"/>
      <c r="C115" s="14" t="s">
        <v>773</v>
      </c>
      <c r="D115" s="14" t="s">
        <v>774</v>
      </c>
      <c r="E115" s="14" t="s">
        <v>774</v>
      </c>
      <c r="F115" s="14">
        <v>2215</v>
      </c>
      <c r="G115" s="14" t="s">
        <v>706</v>
      </c>
      <c r="H115" s="14" t="s">
        <v>202</v>
      </c>
      <c r="I115" s="14" t="s">
        <v>773</v>
      </c>
      <c r="J115" s="14">
        <v>1</v>
      </c>
      <c r="K115" s="13"/>
      <c r="L115" s="18"/>
      <c r="M115" s="143"/>
      <c r="N115" s="143"/>
      <c r="O115" s="13"/>
      <c r="P115" s="13"/>
      <c r="Q115" s="28"/>
      <c r="R115" s="143"/>
      <c r="S115" s="143"/>
      <c r="T115" s="143"/>
      <c r="U115" s="143"/>
      <c r="V115" s="143"/>
      <c r="W115" s="143"/>
      <c r="X115" s="143"/>
    </row>
    <row r="116" spans="1:24" ht="15.75" customHeight="1" x14ac:dyDescent="0.25">
      <c r="A116" s="55"/>
      <c r="B116" s="55"/>
      <c r="C116" s="14" t="s">
        <v>775</v>
      </c>
      <c r="D116" s="14" t="s">
        <v>776</v>
      </c>
      <c r="E116" s="14" t="s">
        <v>776</v>
      </c>
      <c r="F116" s="14">
        <v>2054</v>
      </c>
      <c r="G116" s="14" t="s">
        <v>706</v>
      </c>
      <c r="H116" s="14" t="s">
        <v>202</v>
      </c>
      <c r="I116" s="14" t="s">
        <v>775</v>
      </c>
      <c r="J116" s="14">
        <v>1</v>
      </c>
      <c r="K116" s="15"/>
      <c r="L116" s="19"/>
      <c r="M116" s="143"/>
      <c r="N116" s="143"/>
      <c r="O116" s="15"/>
      <c r="P116" s="15"/>
      <c r="Q116" s="28"/>
      <c r="R116" s="143"/>
      <c r="S116" s="143"/>
      <c r="T116" s="143"/>
      <c r="U116" s="143"/>
      <c r="V116" s="143"/>
      <c r="W116" s="143"/>
      <c r="X116" s="143"/>
    </row>
    <row r="117" spans="1:24" ht="15.75" customHeight="1" x14ac:dyDescent="0.25">
      <c r="A117" s="55"/>
      <c r="B117" s="55"/>
      <c r="C117" s="14" t="s">
        <v>777</v>
      </c>
      <c r="D117" s="14" t="s">
        <v>778</v>
      </c>
      <c r="E117" s="14" t="s">
        <v>778</v>
      </c>
      <c r="F117" s="14">
        <v>1762</v>
      </c>
      <c r="G117" s="14" t="s">
        <v>706</v>
      </c>
      <c r="H117" s="14" t="s">
        <v>202</v>
      </c>
      <c r="I117" s="14" t="s">
        <v>777</v>
      </c>
      <c r="J117" s="14">
        <v>1</v>
      </c>
      <c r="K117" s="13"/>
      <c r="L117" s="18"/>
      <c r="M117" s="143"/>
      <c r="N117" s="143"/>
      <c r="O117" s="13"/>
      <c r="P117" s="13"/>
      <c r="Q117" s="28"/>
      <c r="R117" s="143"/>
      <c r="S117" s="143"/>
      <c r="T117" s="143"/>
      <c r="U117" s="143"/>
      <c r="V117" s="143"/>
      <c r="W117" s="143"/>
      <c r="X117" s="143"/>
    </row>
    <row r="118" spans="1:24" ht="15.75" customHeight="1" x14ac:dyDescent="0.25">
      <c r="A118" s="55"/>
      <c r="B118" s="55"/>
      <c r="C118" s="14" t="s">
        <v>779</v>
      </c>
      <c r="D118" s="14" t="s">
        <v>780</v>
      </c>
      <c r="E118" s="14" t="s">
        <v>780</v>
      </c>
      <c r="F118" s="14">
        <v>1616</v>
      </c>
      <c r="G118" s="14" t="s">
        <v>706</v>
      </c>
      <c r="H118" s="14" t="s">
        <v>202</v>
      </c>
      <c r="I118" s="14" t="s">
        <v>779</v>
      </c>
      <c r="J118" s="14">
        <v>1</v>
      </c>
      <c r="K118" s="15"/>
      <c r="L118" s="19"/>
      <c r="M118" s="143"/>
      <c r="N118" s="143"/>
      <c r="O118" s="15"/>
      <c r="P118" s="15"/>
      <c r="Q118" s="28"/>
      <c r="R118" s="143"/>
      <c r="S118" s="143"/>
      <c r="T118" s="143"/>
      <c r="U118" s="143"/>
      <c r="V118" s="143"/>
      <c r="W118" s="143"/>
      <c r="X118" s="143"/>
    </row>
    <row r="119" spans="1:24" ht="15.75" customHeight="1" x14ac:dyDescent="0.25">
      <c r="A119" s="55"/>
      <c r="B119" s="55"/>
      <c r="C119" s="14" t="s">
        <v>781</v>
      </c>
      <c r="D119" s="14" t="s">
        <v>782</v>
      </c>
      <c r="E119" s="14" t="s">
        <v>782</v>
      </c>
      <c r="F119" s="14">
        <v>1154</v>
      </c>
      <c r="G119" s="14" t="s">
        <v>706</v>
      </c>
      <c r="H119" s="14" t="s">
        <v>202</v>
      </c>
      <c r="I119" s="14" t="s">
        <v>781</v>
      </c>
      <c r="J119" s="14">
        <v>1</v>
      </c>
      <c r="K119" s="13"/>
      <c r="L119" s="18"/>
      <c r="M119" s="143"/>
      <c r="N119" s="143"/>
      <c r="O119" s="13"/>
      <c r="P119" s="13"/>
      <c r="Q119" s="28"/>
      <c r="R119" s="143"/>
      <c r="S119" s="143"/>
      <c r="T119" s="143"/>
      <c r="U119" s="143"/>
      <c r="V119" s="143"/>
      <c r="W119" s="143"/>
      <c r="X119" s="143"/>
    </row>
    <row r="120" spans="1:24" ht="15.75" customHeight="1" x14ac:dyDescent="0.25">
      <c r="A120" s="55"/>
      <c r="B120" s="55"/>
      <c r="C120" s="14" t="s">
        <v>783</v>
      </c>
      <c r="D120" s="14" t="s">
        <v>784</v>
      </c>
      <c r="E120" s="14" t="s">
        <v>784</v>
      </c>
      <c r="F120" s="14">
        <v>1344</v>
      </c>
      <c r="G120" s="14" t="s">
        <v>706</v>
      </c>
      <c r="H120" s="14" t="s">
        <v>202</v>
      </c>
      <c r="I120" s="14" t="s">
        <v>783</v>
      </c>
      <c r="J120" s="14">
        <v>1</v>
      </c>
      <c r="K120" s="15"/>
      <c r="L120" s="19"/>
      <c r="M120" s="143"/>
      <c r="N120" s="143"/>
      <c r="O120" s="15"/>
      <c r="P120" s="15"/>
      <c r="Q120" s="28"/>
      <c r="R120" s="143"/>
      <c r="S120" s="143"/>
      <c r="T120" s="143"/>
      <c r="U120" s="143"/>
      <c r="V120" s="143"/>
      <c r="W120" s="143"/>
      <c r="X120" s="143"/>
    </row>
    <row r="121" spans="1:24" ht="15.75" customHeight="1" x14ac:dyDescent="0.25">
      <c r="A121" s="55"/>
      <c r="B121" s="55"/>
      <c r="C121" s="14" t="s">
        <v>785</v>
      </c>
      <c r="D121" s="14" t="s">
        <v>786</v>
      </c>
      <c r="E121" s="14" t="s">
        <v>786</v>
      </c>
      <c r="F121" s="14">
        <v>1555</v>
      </c>
      <c r="G121" s="14" t="s">
        <v>706</v>
      </c>
      <c r="H121" s="14" t="s">
        <v>202</v>
      </c>
      <c r="I121" s="14" t="s">
        <v>785</v>
      </c>
      <c r="J121" s="14">
        <v>1</v>
      </c>
      <c r="K121" s="13"/>
      <c r="L121" s="18"/>
      <c r="M121" s="143"/>
      <c r="N121" s="143"/>
      <c r="O121" s="13"/>
      <c r="P121" s="13"/>
      <c r="Q121" s="28"/>
      <c r="R121" s="143"/>
      <c r="S121" s="143"/>
      <c r="T121" s="143"/>
      <c r="U121" s="143"/>
      <c r="V121" s="143"/>
      <c r="W121" s="143"/>
      <c r="X121" s="143"/>
    </row>
    <row r="122" spans="1:24" ht="15.75" customHeight="1" x14ac:dyDescent="0.25">
      <c r="A122" s="55"/>
      <c r="B122" s="55"/>
      <c r="C122" s="14" t="s">
        <v>787</v>
      </c>
      <c r="D122" s="14" t="s">
        <v>788</v>
      </c>
      <c r="E122" s="14" t="s">
        <v>788</v>
      </c>
      <c r="F122" s="14">
        <v>1340</v>
      </c>
      <c r="G122" s="14" t="s">
        <v>706</v>
      </c>
      <c r="H122" s="14" t="s">
        <v>202</v>
      </c>
      <c r="I122" s="14" t="s">
        <v>787</v>
      </c>
      <c r="J122" s="14">
        <v>1</v>
      </c>
      <c r="K122" s="15"/>
      <c r="L122" s="19"/>
      <c r="M122" s="143"/>
      <c r="N122" s="143"/>
      <c r="O122" s="15"/>
      <c r="P122" s="15"/>
      <c r="Q122" s="28"/>
      <c r="R122" s="143"/>
      <c r="S122" s="143"/>
      <c r="T122" s="143"/>
      <c r="U122" s="143"/>
      <c r="V122" s="143"/>
      <c r="W122" s="143"/>
      <c r="X122" s="143"/>
    </row>
    <row r="123" spans="1:24" ht="15.75" customHeight="1" x14ac:dyDescent="0.25">
      <c r="A123" s="55"/>
      <c r="B123" s="55"/>
      <c r="C123" s="14" t="s">
        <v>789</v>
      </c>
      <c r="D123" s="14" t="s">
        <v>790</v>
      </c>
      <c r="E123" s="14" t="s">
        <v>790</v>
      </c>
      <c r="F123" s="14">
        <v>1137</v>
      </c>
      <c r="G123" s="14" t="s">
        <v>706</v>
      </c>
      <c r="H123" s="14" t="s">
        <v>202</v>
      </c>
      <c r="I123" s="14" t="s">
        <v>789</v>
      </c>
      <c r="J123" s="14">
        <v>1</v>
      </c>
      <c r="K123" s="13"/>
      <c r="L123" s="18"/>
      <c r="M123" s="143"/>
      <c r="N123" s="143"/>
      <c r="O123" s="13"/>
      <c r="P123" s="13"/>
      <c r="Q123" s="28"/>
      <c r="R123" s="143"/>
      <c r="S123" s="143"/>
      <c r="T123" s="143"/>
      <c r="U123" s="143"/>
      <c r="V123" s="143"/>
      <c r="W123" s="143"/>
      <c r="X123" s="143"/>
    </row>
    <row r="124" spans="1:24" ht="15.75" customHeight="1" x14ac:dyDescent="0.25">
      <c r="A124" s="55"/>
      <c r="B124" s="55"/>
      <c r="C124" s="14" t="s">
        <v>791</v>
      </c>
      <c r="D124" s="14" t="s">
        <v>792</v>
      </c>
      <c r="E124" s="14" t="s">
        <v>792</v>
      </c>
      <c r="F124" s="14">
        <v>919</v>
      </c>
      <c r="G124" s="14" t="s">
        <v>706</v>
      </c>
      <c r="H124" s="14" t="s">
        <v>202</v>
      </c>
      <c r="I124" s="14" t="s">
        <v>791</v>
      </c>
      <c r="J124" s="14">
        <v>1</v>
      </c>
      <c r="K124" s="15"/>
      <c r="L124" s="19"/>
      <c r="M124" s="143"/>
      <c r="N124" s="143"/>
      <c r="O124" s="15"/>
      <c r="P124" s="15"/>
      <c r="Q124" s="28"/>
      <c r="R124" s="143"/>
      <c r="S124" s="143"/>
      <c r="T124" s="143"/>
      <c r="U124" s="143"/>
      <c r="V124" s="143"/>
      <c r="W124" s="143"/>
      <c r="X124" s="143"/>
    </row>
    <row r="125" spans="1:24" ht="29.25" customHeight="1" x14ac:dyDescent="0.25">
      <c r="A125" s="55"/>
      <c r="B125" s="55"/>
      <c r="C125" s="14" t="s">
        <v>211</v>
      </c>
      <c r="D125" s="14" t="s">
        <v>793</v>
      </c>
      <c r="E125" s="14" t="s">
        <v>794</v>
      </c>
      <c r="F125" s="14">
        <v>124</v>
      </c>
      <c r="G125" s="14" t="s">
        <v>209</v>
      </c>
      <c r="H125" s="14" t="s">
        <v>210</v>
      </c>
      <c r="I125" s="14" t="s">
        <v>211</v>
      </c>
      <c r="J125" s="14">
        <v>292</v>
      </c>
      <c r="K125" s="13"/>
      <c r="L125" s="18"/>
      <c r="M125" s="143"/>
      <c r="N125" s="143"/>
      <c r="O125" s="13"/>
      <c r="P125" s="13"/>
      <c r="Q125" s="28"/>
      <c r="R125" s="143"/>
      <c r="S125" s="143"/>
      <c r="T125" s="143"/>
      <c r="U125" s="143"/>
      <c r="V125" s="143"/>
      <c r="W125" s="143"/>
      <c r="X125" s="143"/>
    </row>
    <row r="126" spans="1:24" ht="29.25" customHeight="1" x14ac:dyDescent="0.25">
      <c r="A126" s="55"/>
      <c r="B126" s="55"/>
      <c r="C126" s="14" t="s">
        <v>212</v>
      </c>
      <c r="D126" s="14" t="s">
        <v>793</v>
      </c>
      <c r="E126" s="14" t="s">
        <v>794</v>
      </c>
      <c r="F126" s="14">
        <v>124</v>
      </c>
      <c r="G126" s="14" t="s">
        <v>209</v>
      </c>
      <c r="H126" s="14" t="s">
        <v>210</v>
      </c>
      <c r="I126" s="14" t="s">
        <v>212</v>
      </c>
      <c r="J126" s="14">
        <v>292</v>
      </c>
      <c r="K126" s="15"/>
      <c r="L126" s="19"/>
      <c r="M126" s="143"/>
      <c r="N126" s="143"/>
      <c r="O126" s="15"/>
      <c r="P126" s="15"/>
      <c r="Q126" s="28"/>
      <c r="R126" s="143"/>
      <c r="S126" s="143"/>
      <c r="T126" s="143"/>
      <c r="U126" s="143"/>
      <c r="V126" s="143"/>
      <c r="W126" s="143"/>
      <c r="X126" s="143"/>
    </row>
    <row r="127" spans="1:24" ht="15.75" customHeight="1" x14ac:dyDescent="0.25">
      <c r="A127" s="55"/>
      <c r="B127" s="55"/>
      <c r="C127" s="14" t="s">
        <v>216</v>
      </c>
      <c r="D127" s="14" t="s">
        <v>795</v>
      </c>
      <c r="E127" s="14" t="s">
        <v>796</v>
      </c>
      <c r="F127" s="14">
        <v>260</v>
      </c>
      <c r="G127" s="14" t="s">
        <v>797</v>
      </c>
      <c r="H127" s="14" t="s">
        <v>215</v>
      </c>
      <c r="I127" s="14" t="s">
        <v>216</v>
      </c>
      <c r="J127" s="14">
        <v>3</v>
      </c>
      <c r="K127" s="13"/>
      <c r="L127" s="18"/>
      <c r="M127" s="143"/>
      <c r="N127" s="143"/>
      <c r="O127" s="13"/>
      <c r="P127" s="13"/>
      <c r="Q127" s="28"/>
      <c r="R127" s="143"/>
      <c r="S127" s="143"/>
      <c r="T127" s="143"/>
      <c r="U127" s="143"/>
      <c r="V127" s="143"/>
      <c r="W127" s="143"/>
      <c r="X127" s="143"/>
    </row>
    <row r="128" spans="1:24" ht="15.75" customHeight="1" x14ac:dyDescent="0.25">
      <c r="A128" s="55"/>
      <c r="B128" s="55"/>
      <c r="C128" s="14" t="s">
        <v>219</v>
      </c>
      <c r="D128" s="14" t="s">
        <v>798</v>
      </c>
      <c r="E128" s="14" t="s">
        <v>798</v>
      </c>
      <c r="F128" s="14">
        <v>314</v>
      </c>
      <c r="G128" s="14" t="s">
        <v>799</v>
      </c>
      <c r="H128" s="14" t="s">
        <v>215</v>
      </c>
      <c r="I128" s="14" t="s">
        <v>219</v>
      </c>
      <c r="J128" s="14">
        <v>1</v>
      </c>
      <c r="K128" s="15"/>
      <c r="L128" s="19"/>
      <c r="M128" s="143"/>
      <c r="N128" s="143"/>
      <c r="O128" s="15"/>
      <c r="P128" s="15"/>
      <c r="Q128" s="28"/>
      <c r="R128" s="143"/>
      <c r="S128" s="143"/>
      <c r="T128" s="143"/>
      <c r="U128" s="143"/>
      <c r="V128" s="143"/>
      <c r="W128" s="143"/>
      <c r="X128" s="143"/>
    </row>
    <row r="129" spans="1:24" ht="15.75" customHeight="1" x14ac:dyDescent="0.25">
      <c r="A129" s="55"/>
      <c r="B129" s="55"/>
      <c r="C129" s="14" t="s">
        <v>220</v>
      </c>
      <c r="D129" s="14" t="s">
        <v>800</v>
      </c>
      <c r="E129" s="14" t="s">
        <v>800</v>
      </c>
      <c r="F129" s="14">
        <v>314</v>
      </c>
      <c r="G129" s="14" t="s">
        <v>799</v>
      </c>
      <c r="H129" s="14" t="s">
        <v>215</v>
      </c>
      <c r="I129" s="14" t="s">
        <v>220</v>
      </c>
      <c r="J129" s="14">
        <v>1</v>
      </c>
      <c r="K129" s="13"/>
      <c r="L129" s="18"/>
      <c r="M129" s="143"/>
      <c r="N129" s="143"/>
      <c r="O129" s="13"/>
      <c r="P129" s="13"/>
      <c r="Q129" s="28"/>
      <c r="R129" s="143"/>
      <c r="S129" s="143"/>
      <c r="T129" s="143"/>
      <c r="U129" s="143"/>
      <c r="V129" s="143"/>
      <c r="W129" s="143"/>
      <c r="X129" s="143"/>
    </row>
    <row r="130" spans="1:24" ht="15.75" customHeight="1" x14ac:dyDescent="0.25">
      <c r="A130" s="55"/>
      <c r="B130" s="55"/>
      <c r="C130" s="14" t="s">
        <v>321</v>
      </c>
      <c r="D130" s="14" t="s">
        <v>801</v>
      </c>
      <c r="E130" s="14" t="s">
        <v>802</v>
      </c>
      <c r="F130" s="14">
        <v>314</v>
      </c>
      <c r="G130" s="14" t="s">
        <v>799</v>
      </c>
      <c r="H130" s="14" t="s">
        <v>215</v>
      </c>
      <c r="I130" s="14" t="s">
        <v>321</v>
      </c>
      <c r="J130" s="14">
        <v>2</v>
      </c>
      <c r="K130" s="15"/>
      <c r="L130" s="19"/>
      <c r="M130" s="143"/>
      <c r="N130" s="143"/>
      <c r="O130" s="15"/>
      <c r="P130" s="15"/>
      <c r="Q130" s="28"/>
      <c r="R130" s="143"/>
      <c r="S130" s="143"/>
      <c r="T130" s="143"/>
      <c r="U130" s="143"/>
      <c r="V130" s="143"/>
      <c r="W130" s="143"/>
      <c r="X130" s="143"/>
    </row>
    <row r="131" spans="1:24" ht="15.75" customHeight="1" x14ac:dyDescent="0.25">
      <c r="A131" s="55"/>
      <c r="B131" s="55"/>
      <c r="C131" s="14" t="s">
        <v>803</v>
      </c>
      <c r="D131" s="14" t="s">
        <v>804</v>
      </c>
      <c r="E131" s="14" t="s">
        <v>805</v>
      </c>
      <c r="F131" s="14">
        <v>505</v>
      </c>
      <c r="G131" s="14" t="s">
        <v>806</v>
      </c>
      <c r="H131" s="14" t="s">
        <v>215</v>
      </c>
      <c r="I131" s="14" t="s">
        <v>803</v>
      </c>
      <c r="J131" s="14">
        <v>2</v>
      </c>
      <c r="K131" s="13"/>
      <c r="L131" s="18"/>
      <c r="M131" s="143"/>
      <c r="N131" s="143"/>
      <c r="O131" s="13"/>
      <c r="P131" s="13"/>
      <c r="Q131" s="28"/>
      <c r="R131" s="143"/>
      <c r="S131" s="143"/>
      <c r="T131" s="143"/>
      <c r="U131" s="143"/>
      <c r="V131" s="143"/>
      <c r="W131" s="143"/>
      <c r="X131" s="143"/>
    </row>
    <row r="132" spans="1:24" ht="15.75" customHeight="1" x14ac:dyDescent="0.25">
      <c r="A132" s="55"/>
      <c r="B132" s="55"/>
      <c r="C132" s="14" t="s">
        <v>807</v>
      </c>
      <c r="D132" s="14" t="s">
        <v>800</v>
      </c>
      <c r="E132" s="14" t="s">
        <v>808</v>
      </c>
      <c r="F132" s="14">
        <v>314</v>
      </c>
      <c r="G132" s="14" t="s">
        <v>799</v>
      </c>
      <c r="H132" s="14" t="s">
        <v>215</v>
      </c>
      <c r="I132" s="14" t="s">
        <v>807</v>
      </c>
      <c r="J132" s="14">
        <v>2</v>
      </c>
      <c r="K132" s="15"/>
      <c r="L132" s="19"/>
      <c r="M132" s="143"/>
      <c r="N132" s="143"/>
      <c r="O132" s="15"/>
      <c r="P132" s="15"/>
      <c r="Q132" s="28"/>
      <c r="R132" s="143"/>
      <c r="S132" s="143"/>
      <c r="T132" s="143"/>
      <c r="U132" s="143"/>
      <c r="V132" s="143"/>
      <c r="W132" s="143"/>
      <c r="X132" s="143"/>
    </row>
    <row r="133" spans="1:24" ht="15.75" customHeight="1" x14ac:dyDescent="0.25">
      <c r="A133" s="55"/>
      <c r="B133" s="55"/>
      <c r="C133" s="14" t="s">
        <v>809</v>
      </c>
      <c r="D133" s="14" t="s">
        <v>810</v>
      </c>
      <c r="E133" s="14" t="s">
        <v>811</v>
      </c>
      <c r="F133" s="14">
        <v>296</v>
      </c>
      <c r="G133" s="14" t="s">
        <v>187</v>
      </c>
      <c r="H133" s="14" t="s">
        <v>215</v>
      </c>
      <c r="I133" s="14" t="s">
        <v>809</v>
      </c>
      <c r="J133" s="14">
        <v>19</v>
      </c>
      <c r="K133" s="13"/>
      <c r="L133" s="18"/>
      <c r="M133" s="143"/>
      <c r="N133" s="143"/>
      <c r="O133" s="13"/>
      <c r="P133" s="13"/>
      <c r="Q133" s="28"/>
      <c r="R133" s="143"/>
      <c r="S133" s="143"/>
      <c r="T133" s="143"/>
      <c r="U133" s="143"/>
      <c r="V133" s="143"/>
      <c r="W133" s="143"/>
      <c r="X133" s="143"/>
    </row>
    <row r="134" spans="1:24" ht="15.75" customHeight="1" x14ac:dyDescent="0.25">
      <c r="A134" s="55"/>
      <c r="B134" s="55"/>
      <c r="C134" s="14" t="s">
        <v>812</v>
      </c>
      <c r="D134" s="14" t="s">
        <v>813</v>
      </c>
      <c r="E134" s="14" t="s">
        <v>813</v>
      </c>
      <c r="F134" s="14">
        <v>227</v>
      </c>
      <c r="G134" s="14" t="s">
        <v>182</v>
      </c>
      <c r="H134" s="14" t="s">
        <v>215</v>
      </c>
      <c r="I134" s="14" t="s">
        <v>812</v>
      </c>
      <c r="J134" s="14">
        <v>1</v>
      </c>
      <c r="K134" s="15"/>
      <c r="L134" s="19"/>
      <c r="M134" s="143"/>
      <c r="N134" s="143"/>
      <c r="O134" s="15"/>
      <c r="P134" s="15"/>
      <c r="Q134" s="28"/>
      <c r="R134" s="143"/>
      <c r="S134" s="143"/>
      <c r="T134" s="143"/>
      <c r="U134" s="143"/>
      <c r="V134" s="143"/>
      <c r="W134" s="143"/>
      <c r="X134" s="143"/>
    </row>
    <row r="135" spans="1:24" ht="29.25" customHeight="1" x14ac:dyDescent="0.25">
      <c r="A135" s="55"/>
      <c r="B135" s="55"/>
      <c r="C135" s="14" t="s">
        <v>814</v>
      </c>
      <c r="D135" s="14" t="s">
        <v>815</v>
      </c>
      <c r="E135" s="14" t="s">
        <v>816</v>
      </c>
      <c r="F135" s="14">
        <v>244</v>
      </c>
      <c r="G135" s="14" t="s">
        <v>817</v>
      </c>
      <c r="H135" s="14" t="s">
        <v>218</v>
      </c>
      <c r="I135" s="14" t="s">
        <v>814</v>
      </c>
      <c r="J135" s="14">
        <v>56</v>
      </c>
      <c r="K135" s="13"/>
      <c r="L135" s="18"/>
      <c r="M135" s="143"/>
      <c r="N135" s="143"/>
      <c r="O135" s="13"/>
      <c r="P135" s="13"/>
      <c r="Q135" s="28"/>
      <c r="R135" s="143"/>
      <c r="S135" s="143"/>
      <c r="T135" s="143"/>
      <c r="U135" s="143"/>
      <c r="V135" s="143"/>
      <c r="W135" s="143"/>
      <c r="X135" s="143"/>
    </row>
    <row r="136" spans="1:24" ht="29.25" customHeight="1" x14ac:dyDescent="0.25">
      <c r="A136" s="55"/>
      <c r="B136" s="55"/>
      <c r="C136" s="14" t="s">
        <v>325</v>
      </c>
      <c r="D136" s="14" t="s">
        <v>818</v>
      </c>
      <c r="E136" s="14" t="s">
        <v>819</v>
      </c>
      <c r="F136" s="14">
        <v>6790</v>
      </c>
      <c r="G136" s="14" t="s">
        <v>599</v>
      </c>
      <c r="H136" s="14" t="s">
        <v>820</v>
      </c>
      <c r="I136" s="14" t="s">
        <v>325</v>
      </c>
      <c r="J136" s="14">
        <v>11</v>
      </c>
      <c r="K136" s="15"/>
      <c r="L136" s="19"/>
      <c r="M136" s="143"/>
      <c r="N136" s="143"/>
      <c r="O136" s="15"/>
      <c r="P136" s="15"/>
      <c r="Q136" s="28"/>
      <c r="R136" s="143"/>
      <c r="S136" s="143"/>
      <c r="T136" s="143"/>
      <c r="U136" s="143"/>
      <c r="V136" s="143"/>
      <c r="W136" s="143"/>
      <c r="X136" s="143"/>
    </row>
    <row r="137" spans="1:24" ht="29.25" customHeight="1" x14ac:dyDescent="0.25">
      <c r="A137" s="55"/>
      <c r="B137" s="55"/>
      <c r="C137" s="14" t="s">
        <v>327</v>
      </c>
      <c r="D137" s="14" t="s">
        <v>821</v>
      </c>
      <c r="E137" s="14" t="s">
        <v>821</v>
      </c>
      <c r="F137" s="14">
        <v>4263</v>
      </c>
      <c r="G137" s="14" t="s">
        <v>599</v>
      </c>
      <c r="H137" s="14" t="s">
        <v>820</v>
      </c>
      <c r="I137" s="14" t="s">
        <v>327</v>
      </c>
      <c r="J137" s="14">
        <v>1</v>
      </c>
      <c r="K137" s="13"/>
      <c r="L137" s="18"/>
      <c r="M137" s="143"/>
      <c r="N137" s="143"/>
      <c r="O137" s="13"/>
      <c r="P137" s="13"/>
      <c r="Q137" s="28"/>
      <c r="R137" s="143"/>
      <c r="S137" s="143"/>
      <c r="T137" s="143"/>
      <c r="U137" s="143"/>
      <c r="V137" s="143"/>
      <c r="W137" s="143"/>
      <c r="X137" s="143"/>
    </row>
    <row r="138" spans="1:24" ht="29.25" customHeight="1" x14ac:dyDescent="0.25">
      <c r="A138" s="55"/>
      <c r="B138" s="55"/>
      <c r="C138" s="14" t="s">
        <v>328</v>
      </c>
      <c r="D138" s="14" t="s">
        <v>822</v>
      </c>
      <c r="E138" s="14" t="s">
        <v>822</v>
      </c>
      <c r="F138" s="14">
        <v>4580</v>
      </c>
      <c r="G138" s="14" t="s">
        <v>599</v>
      </c>
      <c r="H138" s="14" t="s">
        <v>820</v>
      </c>
      <c r="I138" s="14" t="s">
        <v>328</v>
      </c>
      <c r="J138" s="14">
        <v>1</v>
      </c>
      <c r="K138" s="15"/>
      <c r="L138" s="19"/>
      <c r="M138" s="143"/>
      <c r="N138" s="143"/>
      <c r="O138" s="15"/>
      <c r="P138" s="15"/>
      <c r="Q138" s="28"/>
      <c r="R138" s="143"/>
      <c r="S138" s="143"/>
      <c r="T138" s="143"/>
      <c r="U138" s="143"/>
      <c r="V138" s="143"/>
      <c r="W138" s="143"/>
      <c r="X138" s="143"/>
    </row>
    <row r="139" spans="1:24" ht="29.25" customHeight="1" x14ac:dyDescent="0.25">
      <c r="A139" s="55"/>
      <c r="B139" s="55"/>
      <c r="C139" s="14" t="s">
        <v>329</v>
      </c>
      <c r="D139" s="14" t="s">
        <v>823</v>
      </c>
      <c r="E139" s="14" t="s">
        <v>823</v>
      </c>
      <c r="F139" s="14">
        <v>5794</v>
      </c>
      <c r="G139" s="14" t="s">
        <v>115</v>
      </c>
      <c r="H139" s="14" t="s">
        <v>820</v>
      </c>
      <c r="I139" s="14" t="s">
        <v>329</v>
      </c>
      <c r="J139" s="14">
        <v>1</v>
      </c>
      <c r="K139" s="13"/>
      <c r="L139" s="18"/>
      <c r="M139" s="143"/>
      <c r="N139" s="143"/>
      <c r="O139" s="13"/>
      <c r="P139" s="13"/>
      <c r="Q139" s="28"/>
      <c r="R139" s="143"/>
      <c r="S139" s="143"/>
      <c r="T139" s="143"/>
      <c r="U139" s="143"/>
      <c r="V139" s="143"/>
      <c r="W139" s="143"/>
      <c r="X139" s="143"/>
    </row>
    <row r="140" spans="1:24" ht="29.25" customHeight="1" x14ac:dyDescent="0.25">
      <c r="A140" s="55"/>
      <c r="B140" s="55"/>
      <c r="C140" s="14" t="s">
        <v>330</v>
      </c>
      <c r="D140" s="14" t="s">
        <v>824</v>
      </c>
      <c r="E140" s="14" t="s">
        <v>824</v>
      </c>
      <c r="F140" s="14">
        <v>5805</v>
      </c>
      <c r="G140" s="14" t="s">
        <v>111</v>
      </c>
      <c r="H140" s="14" t="s">
        <v>820</v>
      </c>
      <c r="I140" s="14" t="s">
        <v>330</v>
      </c>
      <c r="J140" s="14">
        <v>1</v>
      </c>
      <c r="K140" s="15"/>
      <c r="L140" s="19"/>
      <c r="M140" s="143"/>
      <c r="N140" s="143"/>
      <c r="O140" s="15"/>
      <c r="P140" s="15"/>
      <c r="Q140" s="28"/>
      <c r="R140" s="143"/>
      <c r="S140" s="143"/>
      <c r="T140" s="143"/>
      <c r="U140" s="143"/>
      <c r="V140" s="143"/>
      <c r="W140" s="143"/>
      <c r="X140" s="143"/>
    </row>
    <row r="141" spans="1:24" ht="29.25" customHeight="1" x14ac:dyDescent="0.25">
      <c r="A141" s="55"/>
      <c r="B141" s="55"/>
      <c r="C141" s="14" t="s">
        <v>331</v>
      </c>
      <c r="D141" s="14" t="s">
        <v>825</v>
      </c>
      <c r="E141" s="14" t="s">
        <v>825</v>
      </c>
      <c r="F141" s="14">
        <v>2801</v>
      </c>
      <c r="G141" s="14" t="s">
        <v>115</v>
      </c>
      <c r="H141" s="14" t="s">
        <v>820</v>
      </c>
      <c r="I141" s="14" t="s">
        <v>331</v>
      </c>
      <c r="J141" s="14">
        <v>1</v>
      </c>
      <c r="K141" s="13"/>
      <c r="L141" s="18"/>
      <c r="M141" s="143"/>
      <c r="N141" s="143"/>
      <c r="O141" s="13"/>
      <c r="P141" s="13"/>
      <c r="Q141" s="28"/>
      <c r="R141" s="143"/>
      <c r="S141" s="143"/>
      <c r="T141" s="143"/>
      <c r="U141" s="143"/>
      <c r="V141" s="143"/>
      <c r="W141" s="143"/>
      <c r="X141" s="143"/>
    </row>
    <row r="142" spans="1:24" ht="29.25" customHeight="1" x14ac:dyDescent="0.25">
      <c r="A142" s="55"/>
      <c r="B142" s="55"/>
      <c r="C142" s="14" t="s">
        <v>332</v>
      </c>
      <c r="D142" s="14" t="s">
        <v>826</v>
      </c>
      <c r="E142" s="14" t="s">
        <v>826</v>
      </c>
      <c r="F142" s="14">
        <v>7480</v>
      </c>
      <c r="G142" s="14" t="s">
        <v>111</v>
      </c>
      <c r="H142" s="14" t="s">
        <v>820</v>
      </c>
      <c r="I142" s="14" t="s">
        <v>332</v>
      </c>
      <c r="J142" s="14">
        <v>1</v>
      </c>
      <c r="K142" s="15"/>
      <c r="L142" s="19"/>
      <c r="M142" s="143"/>
      <c r="N142" s="143"/>
      <c r="O142" s="15"/>
      <c r="P142" s="15"/>
      <c r="Q142" s="28"/>
      <c r="R142" s="143"/>
      <c r="S142" s="143"/>
      <c r="T142" s="143"/>
      <c r="U142" s="143"/>
      <c r="V142" s="143"/>
      <c r="W142" s="143"/>
      <c r="X142" s="143"/>
    </row>
    <row r="143" spans="1:24" ht="29.25" customHeight="1" x14ac:dyDescent="0.25">
      <c r="A143" s="55"/>
      <c r="B143" s="55"/>
      <c r="C143" s="14" t="s">
        <v>333</v>
      </c>
      <c r="D143" s="14" t="s">
        <v>827</v>
      </c>
      <c r="E143" s="14" t="s">
        <v>827</v>
      </c>
      <c r="F143" s="14">
        <v>3699</v>
      </c>
      <c r="G143" s="14" t="s">
        <v>115</v>
      </c>
      <c r="H143" s="14" t="s">
        <v>820</v>
      </c>
      <c r="I143" s="14" t="s">
        <v>333</v>
      </c>
      <c r="J143" s="14">
        <v>1</v>
      </c>
      <c r="K143" s="13"/>
      <c r="L143" s="18"/>
      <c r="M143" s="143"/>
      <c r="N143" s="143"/>
      <c r="O143" s="13"/>
      <c r="P143" s="13"/>
      <c r="Q143" s="28"/>
      <c r="R143" s="143"/>
      <c r="S143" s="143"/>
      <c r="T143" s="143"/>
      <c r="U143" s="143"/>
      <c r="V143" s="143"/>
      <c r="W143" s="143"/>
      <c r="X143" s="143"/>
    </row>
    <row r="144" spans="1:24" ht="29.25" customHeight="1" x14ac:dyDescent="0.25">
      <c r="A144" s="55"/>
      <c r="B144" s="55"/>
      <c r="C144" s="14" t="s">
        <v>334</v>
      </c>
      <c r="D144" s="14" t="s">
        <v>828</v>
      </c>
      <c r="E144" s="14" t="s">
        <v>828</v>
      </c>
      <c r="F144" s="14">
        <v>7201</v>
      </c>
      <c r="G144" s="14" t="s">
        <v>599</v>
      </c>
      <c r="H144" s="14" t="s">
        <v>820</v>
      </c>
      <c r="I144" s="14" t="s">
        <v>334</v>
      </c>
      <c r="J144" s="14">
        <v>1</v>
      </c>
      <c r="K144" s="15"/>
      <c r="L144" s="19"/>
      <c r="M144" s="143"/>
      <c r="N144" s="143"/>
      <c r="O144" s="15"/>
      <c r="P144" s="15"/>
      <c r="Q144" s="28"/>
      <c r="R144" s="143"/>
      <c r="S144" s="143"/>
      <c r="T144" s="143"/>
      <c r="U144" s="143"/>
      <c r="V144" s="143"/>
      <c r="W144" s="143"/>
      <c r="X144" s="143"/>
    </row>
    <row r="145" spans="1:24" ht="29.25" customHeight="1" x14ac:dyDescent="0.25">
      <c r="A145" s="55"/>
      <c r="B145" s="55"/>
      <c r="C145" s="14" t="s">
        <v>335</v>
      </c>
      <c r="D145" s="14" t="s">
        <v>829</v>
      </c>
      <c r="E145" s="14" t="s">
        <v>830</v>
      </c>
      <c r="F145" s="14">
        <v>6270</v>
      </c>
      <c r="G145" s="14" t="s">
        <v>599</v>
      </c>
      <c r="H145" s="14" t="s">
        <v>820</v>
      </c>
      <c r="I145" s="14" t="s">
        <v>335</v>
      </c>
      <c r="J145" s="14">
        <v>3</v>
      </c>
      <c r="K145" s="13"/>
      <c r="L145" s="18"/>
      <c r="M145" s="143"/>
      <c r="N145" s="143"/>
      <c r="O145" s="13"/>
      <c r="P145" s="13"/>
      <c r="Q145" s="28"/>
      <c r="R145" s="143"/>
      <c r="S145" s="143"/>
      <c r="T145" s="143"/>
      <c r="U145" s="143"/>
      <c r="V145" s="143"/>
      <c r="W145" s="143"/>
      <c r="X145" s="143"/>
    </row>
    <row r="146" spans="1:24" ht="29.25" customHeight="1" x14ac:dyDescent="0.25">
      <c r="A146" s="55"/>
      <c r="B146" s="55"/>
      <c r="C146" s="14" t="s">
        <v>336</v>
      </c>
      <c r="D146" s="14" t="s">
        <v>831</v>
      </c>
      <c r="E146" s="14" t="s">
        <v>831</v>
      </c>
      <c r="F146" s="14">
        <v>4180</v>
      </c>
      <c r="G146" s="14" t="s">
        <v>115</v>
      </c>
      <c r="H146" s="14" t="s">
        <v>820</v>
      </c>
      <c r="I146" s="14" t="s">
        <v>336</v>
      </c>
      <c r="J146" s="14">
        <v>1</v>
      </c>
      <c r="K146" s="15"/>
      <c r="L146" s="19"/>
      <c r="M146" s="143"/>
      <c r="N146" s="143"/>
      <c r="O146" s="15"/>
      <c r="P146" s="15"/>
      <c r="Q146" s="28"/>
      <c r="R146" s="143"/>
      <c r="S146" s="143"/>
      <c r="T146" s="143"/>
      <c r="U146" s="143"/>
      <c r="V146" s="143"/>
      <c r="W146" s="143"/>
      <c r="X146" s="143"/>
    </row>
    <row r="147" spans="1:24" ht="29.25" customHeight="1" x14ac:dyDescent="0.25">
      <c r="A147" s="55"/>
      <c r="B147" s="55"/>
      <c r="C147" s="14" t="s">
        <v>337</v>
      </c>
      <c r="D147" s="14" t="s">
        <v>832</v>
      </c>
      <c r="E147" s="14" t="s">
        <v>832</v>
      </c>
      <c r="F147" s="14">
        <v>7285</v>
      </c>
      <c r="G147" s="14" t="s">
        <v>599</v>
      </c>
      <c r="H147" s="14" t="s">
        <v>820</v>
      </c>
      <c r="I147" s="14" t="s">
        <v>337</v>
      </c>
      <c r="J147" s="14">
        <v>1</v>
      </c>
      <c r="K147" s="13"/>
      <c r="L147" s="18"/>
      <c r="M147" s="143"/>
      <c r="N147" s="143"/>
      <c r="O147" s="13"/>
      <c r="P147" s="13"/>
      <c r="Q147" s="28"/>
      <c r="R147" s="143"/>
      <c r="S147" s="143"/>
      <c r="T147" s="143"/>
      <c r="U147" s="143"/>
      <c r="V147" s="143"/>
      <c r="W147" s="143"/>
      <c r="X147" s="143"/>
    </row>
    <row r="148" spans="1:24" ht="29.25" customHeight="1" x14ac:dyDescent="0.25">
      <c r="A148" s="55"/>
      <c r="B148" s="55"/>
      <c r="C148" s="14" t="s">
        <v>338</v>
      </c>
      <c r="D148" s="14" t="s">
        <v>833</v>
      </c>
      <c r="E148" s="14" t="s">
        <v>833</v>
      </c>
      <c r="F148" s="14">
        <v>4980</v>
      </c>
      <c r="G148" s="14" t="s">
        <v>115</v>
      </c>
      <c r="H148" s="14" t="s">
        <v>820</v>
      </c>
      <c r="I148" s="14" t="s">
        <v>338</v>
      </c>
      <c r="J148" s="14">
        <v>1</v>
      </c>
      <c r="K148" s="15"/>
      <c r="L148" s="19"/>
      <c r="M148" s="143"/>
      <c r="N148" s="143"/>
      <c r="O148" s="15"/>
      <c r="P148" s="15"/>
      <c r="Q148" s="28"/>
      <c r="R148" s="143"/>
      <c r="S148" s="143"/>
      <c r="T148" s="143"/>
      <c r="U148" s="143"/>
      <c r="V148" s="143"/>
      <c r="W148" s="143"/>
      <c r="X148" s="143"/>
    </row>
    <row r="149" spans="1:24" ht="29.25" customHeight="1" x14ac:dyDescent="0.25">
      <c r="A149" s="55"/>
      <c r="B149" s="55"/>
      <c r="C149" s="14" t="s">
        <v>339</v>
      </c>
      <c r="D149" s="14" t="s">
        <v>834</v>
      </c>
      <c r="E149" s="14" t="s">
        <v>834</v>
      </c>
      <c r="F149" s="14">
        <v>7614</v>
      </c>
      <c r="G149" s="14" t="s">
        <v>599</v>
      </c>
      <c r="H149" s="14" t="s">
        <v>820</v>
      </c>
      <c r="I149" s="14" t="s">
        <v>339</v>
      </c>
      <c r="J149" s="14">
        <v>1</v>
      </c>
      <c r="K149" s="13"/>
      <c r="L149" s="18"/>
      <c r="M149" s="143"/>
      <c r="N149" s="143"/>
      <c r="O149" s="13"/>
      <c r="P149" s="13"/>
      <c r="Q149" s="28"/>
      <c r="R149" s="143"/>
      <c r="S149" s="143"/>
      <c r="T149" s="143"/>
      <c r="U149" s="143"/>
      <c r="V149" s="143"/>
      <c r="W149" s="143"/>
      <c r="X149" s="143"/>
    </row>
    <row r="150" spans="1:24" ht="29.25" customHeight="1" x14ac:dyDescent="0.25">
      <c r="A150" s="55"/>
      <c r="B150" s="55"/>
      <c r="C150" s="14" t="s">
        <v>340</v>
      </c>
      <c r="D150" s="14" t="s">
        <v>835</v>
      </c>
      <c r="E150" s="14" t="s">
        <v>835</v>
      </c>
      <c r="F150" s="14">
        <v>5575</v>
      </c>
      <c r="G150" s="14" t="s">
        <v>115</v>
      </c>
      <c r="H150" s="14" t="s">
        <v>820</v>
      </c>
      <c r="I150" s="14" t="s">
        <v>340</v>
      </c>
      <c r="J150" s="14">
        <v>1</v>
      </c>
      <c r="K150" s="15"/>
      <c r="L150" s="19"/>
      <c r="M150" s="143"/>
      <c r="N150" s="143"/>
      <c r="O150" s="15"/>
      <c r="P150" s="15"/>
      <c r="Q150" s="28"/>
      <c r="R150" s="143"/>
      <c r="S150" s="143"/>
      <c r="T150" s="143"/>
      <c r="U150" s="143"/>
      <c r="V150" s="143"/>
      <c r="W150" s="143"/>
      <c r="X150" s="143"/>
    </row>
    <row r="151" spans="1:24" ht="29.25" customHeight="1" x14ac:dyDescent="0.25">
      <c r="A151" s="55"/>
      <c r="B151" s="55"/>
      <c r="C151" s="14" t="s">
        <v>341</v>
      </c>
      <c r="D151" s="14" t="s">
        <v>836</v>
      </c>
      <c r="E151" s="14" t="s">
        <v>837</v>
      </c>
      <c r="F151" s="14">
        <v>4566</v>
      </c>
      <c r="G151" s="14" t="s">
        <v>115</v>
      </c>
      <c r="H151" s="14" t="s">
        <v>820</v>
      </c>
      <c r="I151" s="14" t="s">
        <v>341</v>
      </c>
      <c r="J151" s="14">
        <v>4</v>
      </c>
      <c r="K151" s="13"/>
      <c r="L151" s="18"/>
      <c r="M151" s="143"/>
      <c r="N151" s="143"/>
      <c r="O151" s="13"/>
      <c r="P151" s="13"/>
      <c r="Q151" s="28"/>
      <c r="R151" s="143"/>
      <c r="S151" s="143"/>
      <c r="T151" s="143"/>
      <c r="U151" s="143"/>
      <c r="V151" s="143"/>
      <c r="W151" s="143"/>
      <c r="X151" s="143"/>
    </row>
    <row r="152" spans="1:24" ht="29.25" customHeight="1" x14ac:dyDescent="0.25">
      <c r="A152" s="55"/>
      <c r="B152" s="55"/>
      <c r="C152" s="14" t="s">
        <v>342</v>
      </c>
      <c r="D152" s="14" t="s">
        <v>838</v>
      </c>
      <c r="E152" s="14" t="s">
        <v>839</v>
      </c>
      <c r="F152" s="14">
        <v>4421</v>
      </c>
      <c r="G152" s="14" t="s">
        <v>115</v>
      </c>
      <c r="H152" s="14" t="s">
        <v>820</v>
      </c>
      <c r="I152" s="14" t="s">
        <v>342</v>
      </c>
      <c r="J152" s="14">
        <v>2</v>
      </c>
      <c r="K152" s="15"/>
      <c r="L152" s="19"/>
      <c r="M152" s="143"/>
      <c r="N152" s="143"/>
      <c r="O152" s="15"/>
      <c r="P152" s="15"/>
      <c r="Q152" s="28"/>
      <c r="R152" s="143"/>
      <c r="S152" s="143"/>
      <c r="T152" s="143"/>
      <c r="U152" s="143"/>
      <c r="V152" s="143"/>
      <c r="W152" s="143"/>
      <c r="X152" s="143"/>
    </row>
    <row r="153" spans="1:24" ht="29.25" customHeight="1" x14ac:dyDescent="0.25">
      <c r="A153" s="55"/>
      <c r="B153" s="55"/>
      <c r="C153" s="14" t="s">
        <v>343</v>
      </c>
      <c r="D153" s="14" t="s">
        <v>840</v>
      </c>
      <c r="E153" s="14" t="s">
        <v>840</v>
      </c>
      <c r="F153" s="14">
        <v>4850</v>
      </c>
      <c r="G153" s="14" t="s">
        <v>115</v>
      </c>
      <c r="H153" s="14" t="s">
        <v>820</v>
      </c>
      <c r="I153" s="14" t="s">
        <v>343</v>
      </c>
      <c r="J153" s="14">
        <v>1</v>
      </c>
      <c r="K153" s="13"/>
      <c r="L153" s="18"/>
      <c r="M153" s="143"/>
      <c r="N153" s="143"/>
      <c r="O153" s="13"/>
      <c r="P153" s="13"/>
      <c r="Q153" s="28"/>
      <c r="R153" s="143"/>
      <c r="S153" s="143"/>
      <c r="T153" s="143"/>
      <c r="U153" s="143"/>
      <c r="V153" s="143"/>
      <c r="W153" s="143"/>
      <c r="X153" s="143"/>
    </row>
    <row r="154" spans="1:24" ht="29.25" customHeight="1" x14ac:dyDescent="0.25">
      <c r="A154" s="55"/>
      <c r="B154" s="55"/>
      <c r="C154" s="14" t="s">
        <v>344</v>
      </c>
      <c r="D154" s="14" t="s">
        <v>841</v>
      </c>
      <c r="E154" s="14" t="s">
        <v>841</v>
      </c>
      <c r="F154" s="14">
        <v>7430</v>
      </c>
      <c r="G154" s="14" t="s">
        <v>599</v>
      </c>
      <c r="H154" s="14" t="s">
        <v>820</v>
      </c>
      <c r="I154" s="14" t="s">
        <v>344</v>
      </c>
      <c r="J154" s="14">
        <v>1</v>
      </c>
      <c r="K154" s="15"/>
      <c r="L154" s="19"/>
      <c r="M154" s="143"/>
      <c r="N154" s="143"/>
      <c r="O154" s="15"/>
      <c r="P154" s="15"/>
      <c r="Q154" s="28"/>
      <c r="R154" s="143"/>
      <c r="S154" s="143"/>
      <c r="T154" s="143"/>
      <c r="U154" s="143"/>
      <c r="V154" s="143"/>
      <c r="W154" s="143"/>
      <c r="X154" s="143"/>
    </row>
    <row r="155" spans="1:24" ht="29.25" customHeight="1" x14ac:dyDescent="0.25">
      <c r="A155" s="55"/>
      <c r="B155" s="55"/>
      <c r="C155" s="14" t="s">
        <v>842</v>
      </c>
      <c r="D155" s="14" t="s">
        <v>843</v>
      </c>
      <c r="E155" s="14" t="s">
        <v>844</v>
      </c>
      <c r="F155" s="14">
        <v>7575</v>
      </c>
      <c r="G155" s="14" t="s">
        <v>599</v>
      </c>
      <c r="H155" s="14" t="s">
        <v>820</v>
      </c>
      <c r="I155" s="14" t="s">
        <v>842</v>
      </c>
      <c r="J155" s="14">
        <v>3</v>
      </c>
      <c r="K155" s="13"/>
      <c r="L155" s="18"/>
      <c r="M155" s="143"/>
      <c r="N155" s="143"/>
      <c r="O155" s="13"/>
      <c r="P155" s="13"/>
      <c r="Q155" s="28"/>
      <c r="R155" s="143"/>
      <c r="S155" s="143"/>
      <c r="T155" s="143"/>
      <c r="U155" s="143"/>
      <c r="V155" s="143"/>
      <c r="W155" s="143"/>
      <c r="X155" s="143"/>
    </row>
    <row r="156" spans="1:24" ht="29.25" customHeight="1" x14ac:dyDescent="0.25">
      <c r="A156" s="55"/>
      <c r="B156" s="55"/>
      <c r="C156" s="14" t="s">
        <v>845</v>
      </c>
      <c r="D156" s="14" t="s">
        <v>846</v>
      </c>
      <c r="E156" s="14" t="s">
        <v>847</v>
      </c>
      <c r="F156" s="14">
        <v>2935</v>
      </c>
      <c r="G156" s="14" t="s">
        <v>115</v>
      </c>
      <c r="H156" s="14" t="s">
        <v>820</v>
      </c>
      <c r="I156" s="14" t="s">
        <v>845</v>
      </c>
      <c r="J156" s="14">
        <v>2</v>
      </c>
      <c r="K156" s="15"/>
      <c r="L156" s="19"/>
      <c r="M156" s="143"/>
      <c r="N156" s="143"/>
      <c r="O156" s="15"/>
      <c r="P156" s="15"/>
      <c r="Q156" s="28"/>
      <c r="R156" s="143"/>
      <c r="S156" s="143"/>
      <c r="T156" s="143"/>
      <c r="U156" s="143"/>
      <c r="V156" s="143"/>
      <c r="W156" s="143"/>
      <c r="X156" s="143"/>
    </row>
    <row r="157" spans="1:24" ht="29.25" customHeight="1" x14ac:dyDescent="0.25">
      <c r="A157" s="55"/>
      <c r="B157" s="55"/>
      <c r="C157" s="14" t="s">
        <v>848</v>
      </c>
      <c r="D157" s="14" t="s">
        <v>849</v>
      </c>
      <c r="E157" s="14" t="s">
        <v>849</v>
      </c>
      <c r="F157" s="14">
        <v>8380</v>
      </c>
      <c r="G157" s="14" t="s">
        <v>111</v>
      </c>
      <c r="H157" s="14" t="s">
        <v>820</v>
      </c>
      <c r="I157" s="14" t="s">
        <v>848</v>
      </c>
      <c r="J157" s="14">
        <v>1</v>
      </c>
      <c r="K157" s="13"/>
      <c r="L157" s="18"/>
      <c r="M157" s="143"/>
      <c r="N157" s="143"/>
      <c r="O157" s="13"/>
      <c r="P157" s="13"/>
      <c r="Q157" s="28"/>
      <c r="R157" s="143"/>
      <c r="S157" s="143"/>
      <c r="T157" s="143"/>
      <c r="U157" s="143"/>
      <c r="V157" s="143"/>
      <c r="W157" s="143"/>
      <c r="X157" s="143"/>
    </row>
    <row r="158" spans="1:24" ht="29.25" customHeight="1" x14ac:dyDescent="0.25">
      <c r="A158" s="55"/>
      <c r="B158" s="55"/>
      <c r="C158" s="14" t="s">
        <v>850</v>
      </c>
      <c r="D158" s="14" t="s">
        <v>851</v>
      </c>
      <c r="E158" s="14" t="s">
        <v>851</v>
      </c>
      <c r="F158" s="14">
        <v>6750</v>
      </c>
      <c r="G158" s="14" t="s">
        <v>111</v>
      </c>
      <c r="H158" s="14" t="s">
        <v>820</v>
      </c>
      <c r="I158" s="14" t="s">
        <v>850</v>
      </c>
      <c r="J158" s="14">
        <v>1</v>
      </c>
      <c r="K158" s="15"/>
      <c r="L158" s="19"/>
      <c r="M158" s="143"/>
      <c r="N158" s="143"/>
      <c r="O158" s="15"/>
      <c r="P158" s="15"/>
      <c r="Q158" s="28"/>
      <c r="R158" s="143"/>
      <c r="S158" s="143"/>
      <c r="T158" s="143"/>
      <c r="U158" s="143"/>
      <c r="V158" s="143"/>
      <c r="W158" s="143"/>
      <c r="X158" s="143"/>
    </row>
    <row r="159" spans="1:24" ht="29.25" customHeight="1" x14ac:dyDescent="0.25">
      <c r="A159" s="55"/>
      <c r="B159" s="55"/>
      <c r="C159" s="14" t="s">
        <v>852</v>
      </c>
      <c r="D159" s="14" t="s">
        <v>853</v>
      </c>
      <c r="E159" s="14" t="s">
        <v>853</v>
      </c>
      <c r="F159" s="14">
        <v>7195</v>
      </c>
      <c r="G159" s="14" t="s">
        <v>115</v>
      </c>
      <c r="H159" s="14" t="s">
        <v>820</v>
      </c>
      <c r="I159" s="14" t="s">
        <v>852</v>
      </c>
      <c r="J159" s="14">
        <v>1</v>
      </c>
      <c r="K159" s="13"/>
      <c r="L159" s="18"/>
      <c r="M159" s="143"/>
      <c r="N159" s="143"/>
      <c r="O159" s="13"/>
      <c r="P159" s="13"/>
      <c r="Q159" s="28"/>
      <c r="R159" s="143"/>
      <c r="S159" s="143"/>
      <c r="T159" s="143"/>
      <c r="U159" s="143"/>
      <c r="V159" s="143"/>
      <c r="W159" s="143"/>
      <c r="X159" s="143"/>
    </row>
    <row r="160" spans="1:24" ht="29.25" customHeight="1" x14ac:dyDescent="0.25">
      <c r="A160" s="55"/>
      <c r="B160" s="55"/>
      <c r="C160" s="14" t="s">
        <v>854</v>
      </c>
      <c r="D160" s="14" t="s">
        <v>855</v>
      </c>
      <c r="E160" s="14" t="s">
        <v>856</v>
      </c>
      <c r="F160" s="14">
        <v>7340</v>
      </c>
      <c r="G160" s="14" t="s">
        <v>599</v>
      </c>
      <c r="H160" s="14" t="s">
        <v>820</v>
      </c>
      <c r="I160" s="14" t="s">
        <v>854</v>
      </c>
      <c r="J160" s="14">
        <v>8</v>
      </c>
      <c r="K160" s="15"/>
      <c r="L160" s="19"/>
      <c r="M160" s="143"/>
      <c r="N160" s="143"/>
      <c r="O160" s="15"/>
      <c r="P160" s="15"/>
      <c r="Q160" s="28"/>
      <c r="R160" s="143"/>
      <c r="S160" s="143"/>
      <c r="T160" s="143"/>
      <c r="U160" s="143"/>
      <c r="V160" s="143"/>
      <c r="W160" s="143"/>
      <c r="X160" s="143"/>
    </row>
    <row r="161" spans="1:24" ht="29.25" customHeight="1" x14ac:dyDescent="0.25">
      <c r="A161" s="55"/>
      <c r="B161" s="55"/>
      <c r="C161" s="14" t="s">
        <v>857</v>
      </c>
      <c r="D161" s="14" t="s">
        <v>858</v>
      </c>
      <c r="E161" s="14" t="s">
        <v>858</v>
      </c>
      <c r="F161" s="14">
        <v>5050</v>
      </c>
      <c r="G161" s="14" t="s">
        <v>115</v>
      </c>
      <c r="H161" s="14" t="s">
        <v>820</v>
      </c>
      <c r="I161" s="14" t="s">
        <v>857</v>
      </c>
      <c r="J161" s="14">
        <v>1</v>
      </c>
      <c r="K161" s="13"/>
      <c r="L161" s="18"/>
      <c r="M161" s="143"/>
      <c r="N161" s="143"/>
      <c r="O161" s="13"/>
      <c r="P161" s="13"/>
      <c r="Q161" s="28"/>
      <c r="R161" s="143"/>
      <c r="S161" s="143"/>
      <c r="T161" s="143"/>
      <c r="U161" s="143"/>
      <c r="V161" s="143"/>
      <c r="W161" s="143"/>
      <c r="X161" s="143"/>
    </row>
    <row r="162" spans="1:24" ht="29.25" customHeight="1" x14ac:dyDescent="0.25">
      <c r="A162" s="55"/>
      <c r="B162" s="55"/>
      <c r="C162" s="14" t="s">
        <v>859</v>
      </c>
      <c r="D162" s="14" t="s">
        <v>860</v>
      </c>
      <c r="E162" s="14" t="s">
        <v>860</v>
      </c>
      <c r="F162" s="14">
        <v>5295</v>
      </c>
      <c r="G162" s="14" t="s">
        <v>115</v>
      </c>
      <c r="H162" s="14" t="s">
        <v>820</v>
      </c>
      <c r="I162" s="14" t="s">
        <v>859</v>
      </c>
      <c r="J162" s="14">
        <v>1</v>
      </c>
      <c r="K162" s="15"/>
      <c r="L162" s="19"/>
      <c r="M162" s="143"/>
      <c r="N162" s="143"/>
      <c r="O162" s="15"/>
      <c r="P162" s="15"/>
      <c r="Q162" s="28"/>
      <c r="R162" s="143"/>
      <c r="S162" s="143"/>
      <c r="T162" s="143"/>
      <c r="U162" s="143"/>
      <c r="V162" s="143"/>
      <c r="W162" s="143"/>
      <c r="X162" s="143"/>
    </row>
    <row r="163" spans="1:24" ht="29.25" customHeight="1" x14ac:dyDescent="0.25">
      <c r="A163" s="55"/>
      <c r="B163" s="55"/>
      <c r="C163" s="14" t="s">
        <v>861</v>
      </c>
      <c r="D163" s="14" t="s">
        <v>862</v>
      </c>
      <c r="E163" s="14" t="s">
        <v>863</v>
      </c>
      <c r="F163" s="14">
        <v>520</v>
      </c>
      <c r="G163" s="14" t="s">
        <v>599</v>
      </c>
      <c r="H163" s="14" t="s">
        <v>820</v>
      </c>
      <c r="I163" s="14" t="s">
        <v>861</v>
      </c>
      <c r="J163" s="14">
        <v>4</v>
      </c>
      <c r="K163" s="13"/>
      <c r="L163" s="18"/>
      <c r="M163" s="143"/>
      <c r="N163" s="143"/>
      <c r="O163" s="13"/>
      <c r="P163" s="13"/>
      <c r="Q163" s="28"/>
      <c r="R163" s="143"/>
      <c r="S163" s="143"/>
      <c r="T163" s="143"/>
      <c r="U163" s="143"/>
      <c r="V163" s="143"/>
      <c r="W163" s="143"/>
      <c r="X163" s="143"/>
    </row>
    <row r="164" spans="1:24" ht="29.25" customHeight="1" x14ac:dyDescent="0.25">
      <c r="A164" s="55"/>
      <c r="B164" s="55"/>
      <c r="C164" s="14" t="s">
        <v>864</v>
      </c>
      <c r="D164" s="14" t="s">
        <v>865</v>
      </c>
      <c r="E164" s="14" t="s">
        <v>866</v>
      </c>
      <c r="F164" s="14">
        <v>800</v>
      </c>
      <c r="G164" s="14" t="s">
        <v>118</v>
      </c>
      <c r="H164" s="14" t="s">
        <v>230</v>
      </c>
      <c r="I164" s="14" t="s">
        <v>864</v>
      </c>
      <c r="J164" s="14">
        <v>10</v>
      </c>
      <c r="K164" s="15"/>
      <c r="L164" s="19"/>
      <c r="M164" s="143"/>
      <c r="N164" s="143"/>
      <c r="O164" s="15"/>
      <c r="P164" s="15"/>
      <c r="Q164" s="28"/>
      <c r="R164" s="143"/>
      <c r="S164" s="143"/>
      <c r="T164" s="143"/>
      <c r="U164" s="143"/>
      <c r="V164" s="143"/>
      <c r="W164" s="143"/>
      <c r="X164" s="143"/>
    </row>
    <row r="165" spans="1:24" ht="29.25" customHeight="1" x14ac:dyDescent="0.25">
      <c r="A165" s="55"/>
      <c r="B165" s="55"/>
      <c r="C165" s="14" t="s">
        <v>231</v>
      </c>
      <c r="D165" s="14" t="s">
        <v>867</v>
      </c>
      <c r="E165" s="14" t="s">
        <v>868</v>
      </c>
      <c r="F165" s="14">
        <v>490</v>
      </c>
      <c r="G165" s="14" t="s">
        <v>118</v>
      </c>
      <c r="H165" s="14" t="s">
        <v>230</v>
      </c>
      <c r="I165" s="14" t="s">
        <v>231</v>
      </c>
      <c r="J165" s="14">
        <v>6</v>
      </c>
      <c r="K165" s="13"/>
      <c r="L165" s="18"/>
      <c r="M165" s="143"/>
      <c r="N165" s="143"/>
      <c r="O165" s="13"/>
      <c r="P165" s="13"/>
      <c r="Q165" s="28"/>
      <c r="R165" s="143"/>
      <c r="S165" s="143"/>
      <c r="T165" s="143"/>
      <c r="U165" s="143"/>
      <c r="V165" s="143"/>
      <c r="W165" s="143"/>
      <c r="X165" s="143"/>
    </row>
    <row r="166" spans="1:24" ht="29.25" customHeight="1" x14ac:dyDescent="0.25">
      <c r="A166" s="55"/>
      <c r="B166" s="55"/>
      <c r="C166" s="14" t="s">
        <v>232</v>
      </c>
      <c r="D166" s="14" t="s">
        <v>869</v>
      </c>
      <c r="E166" s="14" t="s">
        <v>870</v>
      </c>
      <c r="F166" s="14">
        <v>450</v>
      </c>
      <c r="G166" s="14" t="s">
        <v>118</v>
      </c>
      <c r="H166" s="14" t="s">
        <v>230</v>
      </c>
      <c r="I166" s="14" t="s">
        <v>232</v>
      </c>
      <c r="J166" s="14">
        <v>23</v>
      </c>
      <c r="K166" s="15"/>
      <c r="L166" s="19"/>
      <c r="M166" s="143"/>
      <c r="N166" s="143"/>
      <c r="O166" s="15"/>
      <c r="P166" s="15"/>
      <c r="Q166" s="28"/>
      <c r="R166" s="143"/>
      <c r="S166" s="143"/>
      <c r="T166" s="143"/>
      <c r="U166" s="143"/>
      <c r="V166" s="143"/>
      <c r="W166" s="143"/>
      <c r="X166" s="143"/>
    </row>
    <row r="167" spans="1:24" ht="29.25" customHeight="1" x14ac:dyDescent="0.25">
      <c r="A167" s="55"/>
      <c r="B167" s="55"/>
      <c r="C167" s="14" t="s">
        <v>233</v>
      </c>
      <c r="D167" s="14" t="s">
        <v>871</v>
      </c>
      <c r="E167" s="14" t="s">
        <v>872</v>
      </c>
      <c r="F167" s="14">
        <v>710</v>
      </c>
      <c r="G167" s="14" t="s">
        <v>118</v>
      </c>
      <c r="H167" s="14" t="s">
        <v>230</v>
      </c>
      <c r="I167" s="14" t="s">
        <v>233</v>
      </c>
      <c r="J167" s="14">
        <v>6</v>
      </c>
      <c r="K167" s="13"/>
      <c r="L167" s="18"/>
      <c r="M167" s="143"/>
      <c r="N167" s="143"/>
      <c r="O167" s="13"/>
      <c r="P167" s="13"/>
      <c r="Q167" s="28"/>
      <c r="R167" s="143"/>
      <c r="S167" s="143"/>
      <c r="T167" s="143"/>
      <c r="U167" s="143"/>
      <c r="V167" s="143"/>
      <c r="W167" s="143"/>
      <c r="X167" s="143"/>
    </row>
    <row r="168" spans="1:24" ht="29.25" customHeight="1" x14ac:dyDescent="0.25">
      <c r="A168" s="55"/>
      <c r="B168" s="55"/>
      <c r="C168" s="14" t="s">
        <v>234</v>
      </c>
      <c r="D168" s="14" t="s">
        <v>873</v>
      </c>
      <c r="E168" s="14" t="s">
        <v>873</v>
      </c>
      <c r="F168" s="14">
        <v>740</v>
      </c>
      <c r="G168" s="14" t="s">
        <v>118</v>
      </c>
      <c r="H168" s="14" t="s">
        <v>230</v>
      </c>
      <c r="I168" s="14" t="s">
        <v>234</v>
      </c>
      <c r="J168" s="14">
        <v>1</v>
      </c>
      <c r="K168" s="15"/>
      <c r="L168" s="19"/>
      <c r="M168" s="143"/>
      <c r="N168" s="143"/>
      <c r="O168" s="15"/>
      <c r="P168" s="15"/>
      <c r="Q168" s="28"/>
      <c r="R168" s="143"/>
      <c r="S168" s="143"/>
      <c r="T168" s="143"/>
      <c r="U168" s="143"/>
      <c r="V168" s="143"/>
      <c r="W168" s="143"/>
      <c r="X168" s="143"/>
    </row>
    <row r="169" spans="1:24" ht="29.25" customHeight="1" x14ac:dyDescent="0.25">
      <c r="A169" s="55"/>
      <c r="B169" s="55"/>
      <c r="C169" s="14" t="s">
        <v>235</v>
      </c>
      <c r="D169" s="14" t="s">
        <v>874</v>
      </c>
      <c r="E169" s="14" t="s">
        <v>875</v>
      </c>
      <c r="F169" s="14">
        <v>600</v>
      </c>
      <c r="G169" s="14" t="s">
        <v>118</v>
      </c>
      <c r="H169" s="14" t="s">
        <v>230</v>
      </c>
      <c r="I169" s="14" t="s">
        <v>235</v>
      </c>
      <c r="J169" s="14">
        <v>3</v>
      </c>
      <c r="K169" s="13"/>
      <c r="L169" s="18"/>
      <c r="M169" s="143"/>
      <c r="N169" s="143"/>
      <c r="O169" s="13"/>
      <c r="P169" s="13"/>
      <c r="Q169" s="28"/>
      <c r="R169" s="143"/>
      <c r="S169" s="143"/>
      <c r="T169" s="143"/>
      <c r="U169" s="143"/>
      <c r="V169" s="143"/>
      <c r="W169" s="143"/>
      <c r="X169" s="143"/>
    </row>
    <row r="170" spans="1:24" ht="29.25" customHeight="1" x14ac:dyDescent="0.25">
      <c r="A170" s="55"/>
      <c r="B170" s="55"/>
      <c r="C170" s="14" t="s">
        <v>236</v>
      </c>
      <c r="D170" s="14" t="s">
        <v>876</v>
      </c>
      <c r="E170" s="14" t="s">
        <v>877</v>
      </c>
      <c r="F170" s="14">
        <v>550</v>
      </c>
      <c r="G170" s="14" t="s">
        <v>118</v>
      </c>
      <c r="H170" s="14" t="s">
        <v>230</v>
      </c>
      <c r="I170" s="14" t="s">
        <v>236</v>
      </c>
      <c r="J170" s="14">
        <v>4</v>
      </c>
      <c r="K170" s="15"/>
      <c r="L170" s="19"/>
      <c r="M170" s="143"/>
      <c r="N170" s="143"/>
      <c r="O170" s="15"/>
      <c r="P170" s="15"/>
      <c r="Q170" s="28"/>
      <c r="R170" s="143"/>
      <c r="S170" s="143"/>
      <c r="T170" s="143"/>
      <c r="U170" s="143"/>
      <c r="V170" s="143"/>
      <c r="W170" s="143"/>
      <c r="X170" s="143"/>
    </row>
    <row r="171" spans="1:24" ht="29.25" customHeight="1" x14ac:dyDescent="0.25">
      <c r="A171" s="55"/>
      <c r="B171" s="55"/>
      <c r="C171" s="14" t="s">
        <v>878</v>
      </c>
      <c r="D171" s="14" t="s">
        <v>879</v>
      </c>
      <c r="E171" s="14" t="s">
        <v>880</v>
      </c>
      <c r="F171" s="14">
        <v>660</v>
      </c>
      <c r="G171" s="14" t="s">
        <v>118</v>
      </c>
      <c r="H171" s="14" t="s">
        <v>230</v>
      </c>
      <c r="I171" s="14" t="s">
        <v>878</v>
      </c>
      <c r="J171" s="14">
        <v>4</v>
      </c>
      <c r="K171" s="13"/>
      <c r="L171" s="18"/>
      <c r="M171" s="143"/>
      <c r="N171" s="143"/>
      <c r="O171" s="13"/>
      <c r="P171" s="13"/>
      <c r="Q171" s="28"/>
      <c r="R171" s="143"/>
      <c r="S171" s="143"/>
      <c r="T171" s="143"/>
      <c r="U171" s="143"/>
      <c r="V171" s="143"/>
      <c r="W171" s="143"/>
      <c r="X171" s="143"/>
    </row>
    <row r="172" spans="1:24" ht="29.25" customHeight="1" x14ac:dyDescent="0.25">
      <c r="A172" s="55"/>
      <c r="B172" s="55"/>
      <c r="C172" s="14" t="s">
        <v>881</v>
      </c>
      <c r="D172" s="14" t="s">
        <v>867</v>
      </c>
      <c r="E172" s="14" t="s">
        <v>882</v>
      </c>
      <c r="F172" s="14">
        <v>490</v>
      </c>
      <c r="G172" s="14" t="s">
        <v>118</v>
      </c>
      <c r="H172" s="14" t="s">
        <v>230</v>
      </c>
      <c r="I172" s="14" t="s">
        <v>881</v>
      </c>
      <c r="J172" s="14">
        <v>2</v>
      </c>
      <c r="K172" s="15"/>
      <c r="L172" s="19"/>
      <c r="M172" s="143"/>
      <c r="N172" s="143"/>
      <c r="O172" s="15"/>
      <c r="P172" s="15"/>
      <c r="Q172" s="28"/>
      <c r="R172" s="143"/>
      <c r="S172" s="143"/>
      <c r="T172" s="143"/>
      <c r="U172" s="143"/>
      <c r="V172" s="143"/>
      <c r="W172" s="143"/>
      <c r="X172" s="143"/>
    </row>
    <row r="173" spans="1:24" ht="29.25" customHeight="1" x14ac:dyDescent="0.25">
      <c r="A173" s="55"/>
      <c r="B173" s="55"/>
      <c r="C173" s="14" t="s">
        <v>883</v>
      </c>
      <c r="D173" s="14" t="s">
        <v>884</v>
      </c>
      <c r="E173" s="14" t="s">
        <v>885</v>
      </c>
      <c r="F173" s="14">
        <v>700</v>
      </c>
      <c r="G173" s="14" t="s">
        <v>118</v>
      </c>
      <c r="H173" s="14" t="s">
        <v>230</v>
      </c>
      <c r="I173" s="14" t="s">
        <v>883</v>
      </c>
      <c r="J173" s="14">
        <v>2</v>
      </c>
      <c r="K173" s="13"/>
      <c r="L173" s="18"/>
      <c r="M173" s="143"/>
      <c r="N173" s="143"/>
      <c r="O173" s="13"/>
      <c r="P173" s="13"/>
      <c r="Q173" s="28"/>
      <c r="R173" s="143"/>
      <c r="S173" s="143"/>
      <c r="T173" s="143"/>
      <c r="U173" s="143"/>
      <c r="V173" s="143"/>
      <c r="W173" s="143"/>
      <c r="X173" s="143"/>
    </row>
    <row r="174" spans="1:24" ht="29.25" customHeight="1" x14ac:dyDescent="0.25">
      <c r="A174" s="55"/>
      <c r="B174" s="55"/>
      <c r="C174" s="14" t="s">
        <v>886</v>
      </c>
      <c r="D174" s="14" t="s">
        <v>887</v>
      </c>
      <c r="E174" s="14" t="s">
        <v>888</v>
      </c>
      <c r="F174" s="14">
        <v>440</v>
      </c>
      <c r="G174" s="14" t="s">
        <v>118</v>
      </c>
      <c r="H174" s="14" t="s">
        <v>230</v>
      </c>
      <c r="I174" s="14" t="s">
        <v>886</v>
      </c>
      <c r="J174" s="14">
        <v>2</v>
      </c>
      <c r="K174" s="15"/>
      <c r="L174" s="19"/>
      <c r="M174" s="143"/>
      <c r="N174" s="143"/>
      <c r="O174" s="15"/>
      <c r="P174" s="15"/>
      <c r="Q174" s="28"/>
      <c r="R174" s="143"/>
      <c r="S174" s="143"/>
      <c r="T174" s="143"/>
      <c r="U174" s="143"/>
      <c r="V174" s="143"/>
      <c r="W174" s="143"/>
      <c r="X174" s="143"/>
    </row>
    <row r="175" spans="1:24" ht="29.25" customHeight="1" x14ac:dyDescent="0.25">
      <c r="A175" s="55"/>
      <c r="B175" s="55"/>
      <c r="C175" s="14" t="s">
        <v>238</v>
      </c>
      <c r="D175" s="14" t="s">
        <v>889</v>
      </c>
      <c r="E175" s="14" t="s">
        <v>889</v>
      </c>
      <c r="F175" s="14">
        <v>7822</v>
      </c>
      <c r="G175" s="14" t="s">
        <v>752</v>
      </c>
      <c r="H175" s="14" t="s">
        <v>240</v>
      </c>
      <c r="I175" s="14" t="s">
        <v>238</v>
      </c>
      <c r="J175" s="14">
        <v>1</v>
      </c>
      <c r="K175" s="13"/>
      <c r="L175" s="18"/>
      <c r="M175" s="143"/>
      <c r="N175" s="143"/>
      <c r="O175" s="13"/>
      <c r="P175" s="13"/>
      <c r="Q175" s="28"/>
      <c r="R175" s="143"/>
      <c r="S175" s="143"/>
      <c r="T175" s="143"/>
      <c r="U175" s="143"/>
      <c r="V175" s="143"/>
      <c r="W175" s="143"/>
      <c r="X175" s="143"/>
    </row>
    <row r="176" spans="1:24" ht="29.25" customHeight="1" x14ac:dyDescent="0.25">
      <c r="A176" s="55"/>
      <c r="B176" s="55"/>
      <c r="C176" s="14" t="s">
        <v>241</v>
      </c>
      <c r="D176" s="14" t="s">
        <v>890</v>
      </c>
      <c r="E176" s="14" t="s">
        <v>890</v>
      </c>
      <c r="F176" s="14">
        <v>12000</v>
      </c>
      <c r="G176" s="14" t="s">
        <v>752</v>
      </c>
      <c r="H176" s="14" t="s">
        <v>240</v>
      </c>
      <c r="I176" s="14" t="s">
        <v>241</v>
      </c>
      <c r="J176" s="14">
        <v>1</v>
      </c>
      <c r="K176" s="15"/>
      <c r="L176" s="19"/>
      <c r="M176" s="143"/>
      <c r="N176" s="143"/>
      <c r="O176" s="15"/>
      <c r="P176" s="15"/>
      <c r="Q176" s="28"/>
      <c r="R176" s="143"/>
      <c r="S176" s="143"/>
      <c r="T176" s="143"/>
      <c r="U176" s="143"/>
      <c r="V176" s="143"/>
      <c r="W176" s="143"/>
      <c r="X176" s="143"/>
    </row>
    <row r="177" spans="1:24" ht="29.25" customHeight="1" x14ac:dyDescent="0.25">
      <c r="A177" s="55"/>
      <c r="B177" s="55"/>
      <c r="C177" s="14" t="s">
        <v>243</v>
      </c>
      <c r="D177" s="14" t="s">
        <v>891</v>
      </c>
      <c r="E177" s="14" t="s">
        <v>891</v>
      </c>
      <c r="F177" s="14">
        <v>4004</v>
      </c>
      <c r="G177" s="14" t="s">
        <v>752</v>
      </c>
      <c r="H177" s="14" t="s">
        <v>240</v>
      </c>
      <c r="I177" s="14" t="s">
        <v>243</v>
      </c>
      <c r="J177" s="14">
        <v>1</v>
      </c>
      <c r="K177" s="13"/>
      <c r="L177" s="18"/>
      <c r="M177" s="143"/>
      <c r="N177" s="143"/>
      <c r="O177" s="13"/>
      <c r="P177" s="13"/>
      <c r="Q177" s="28"/>
      <c r="R177" s="143"/>
      <c r="S177" s="143"/>
      <c r="T177" s="143"/>
      <c r="U177" s="143"/>
      <c r="V177" s="143"/>
      <c r="W177" s="143"/>
      <c r="X177" s="143"/>
    </row>
    <row r="178" spans="1:24" ht="29.25" customHeight="1" x14ac:dyDescent="0.25">
      <c r="A178" s="55"/>
      <c r="B178" s="55"/>
      <c r="C178" s="14" t="s">
        <v>244</v>
      </c>
      <c r="D178" s="14" t="s">
        <v>892</v>
      </c>
      <c r="E178" s="14" t="s">
        <v>892</v>
      </c>
      <c r="F178" s="14">
        <v>7014</v>
      </c>
      <c r="G178" s="14" t="s">
        <v>893</v>
      </c>
      <c r="H178" s="14" t="s">
        <v>240</v>
      </c>
      <c r="I178" s="14" t="s">
        <v>244</v>
      </c>
      <c r="J178" s="14">
        <v>1</v>
      </c>
      <c r="K178" s="15"/>
      <c r="L178" s="19"/>
      <c r="M178" s="143"/>
      <c r="N178" s="143"/>
      <c r="O178" s="15"/>
      <c r="P178" s="15"/>
      <c r="Q178" s="28"/>
      <c r="R178" s="143"/>
      <c r="S178" s="143"/>
      <c r="T178" s="143"/>
      <c r="U178" s="143"/>
      <c r="V178" s="143"/>
      <c r="W178" s="143"/>
      <c r="X178" s="143"/>
    </row>
    <row r="179" spans="1:24" ht="29.25" customHeight="1" x14ac:dyDescent="0.25">
      <c r="A179" s="55"/>
      <c r="B179" s="55"/>
      <c r="C179" s="14" t="s">
        <v>245</v>
      </c>
      <c r="D179" s="14" t="s">
        <v>894</v>
      </c>
      <c r="E179" s="14" t="s">
        <v>894</v>
      </c>
      <c r="F179" s="14">
        <v>12000</v>
      </c>
      <c r="G179" s="14" t="s">
        <v>893</v>
      </c>
      <c r="H179" s="14" t="s">
        <v>240</v>
      </c>
      <c r="I179" s="14" t="s">
        <v>245</v>
      </c>
      <c r="J179" s="14">
        <v>1</v>
      </c>
      <c r="K179" s="13"/>
      <c r="L179" s="18"/>
      <c r="M179" s="143"/>
      <c r="N179" s="143"/>
      <c r="O179" s="13"/>
      <c r="P179" s="13"/>
      <c r="Q179" s="28"/>
      <c r="R179" s="143"/>
      <c r="S179" s="143"/>
      <c r="T179" s="143"/>
      <c r="U179" s="143"/>
      <c r="V179" s="143"/>
      <c r="W179" s="143"/>
      <c r="X179" s="143"/>
    </row>
    <row r="180" spans="1:24" ht="29.25" customHeight="1" x14ac:dyDescent="0.25">
      <c r="A180" s="55"/>
      <c r="B180" s="55"/>
      <c r="C180" s="14" t="s">
        <v>247</v>
      </c>
      <c r="D180" s="14" t="s">
        <v>895</v>
      </c>
      <c r="E180" s="14" t="s">
        <v>895</v>
      </c>
      <c r="F180" s="14">
        <v>3684</v>
      </c>
      <c r="G180" s="14" t="s">
        <v>893</v>
      </c>
      <c r="H180" s="14" t="s">
        <v>240</v>
      </c>
      <c r="I180" s="14" t="s">
        <v>247</v>
      </c>
      <c r="J180" s="14">
        <v>1</v>
      </c>
      <c r="K180" s="15"/>
      <c r="L180" s="19"/>
      <c r="M180" s="143"/>
      <c r="N180" s="143"/>
      <c r="O180" s="15"/>
      <c r="P180" s="15"/>
      <c r="Q180" s="28"/>
      <c r="R180" s="143"/>
      <c r="S180" s="143"/>
      <c r="T180" s="143"/>
      <c r="U180" s="143"/>
      <c r="V180" s="143"/>
      <c r="W180" s="143"/>
      <c r="X180" s="143"/>
    </row>
    <row r="181" spans="1:24" ht="29.25" customHeight="1" x14ac:dyDescent="0.25">
      <c r="A181" s="55"/>
      <c r="B181" s="55"/>
      <c r="C181" s="14" t="s">
        <v>248</v>
      </c>
      <c r="D181" s="14" t="s">
        <v>896</v>
      </c>
      <c r="E181" s="14" t="s">
        <v>896</v>
      </c>
      <c r="F181" s="14">
        <v>9140</v>
      </c>
      <c r="G181" s="14" t="s">
        <v>714</v>
      </c>
      <c r="H181" s="14" t="s">
        <v>240</v>
      </c>
      <c r="I181" s="14" t="s">
        <v>248</v>
      </c>
      <c r="J181" s="14">
        <v>1</v>
      </c>
      <c r="K181" s="13"/>
      <c r="L181" s="18"/>
      <c r="M181" s="143"/>
      <c r="N181" s="143"/>
      <c r="O181" s="13"/>
      <c r="P181" s="13"/>
      <c r="Q181" s="28"/>
      <c r="R181" s="143"/>
      <c r="S181" s="143"/>
      <c r="T181" s="143"/>
      <c r="U181" s="143"/>
      <c r="V181" s="143"/>
      <c r="W181" s="143"/>
      <c r="X181" s="143"/>
    </row>
    <row r="182" spans="1:24" ht="29.25" customHeight="1" x14ac:dyDescent="0.25">
      <c r="A182" s="55"/>
      <c r="B182" s="55"/>
      <c r="C182" s="14" t="s">
        <v>250</v>
      </c>
      <c r="D182" s="14" t="s">
        <v>897</v>
      </c>
      <c r="E182" s="14" t="s">
        <v>897</v>
      </c>
      <c r="F182" s="14">
        <v>4135</v>
      </c>
      <c r="G182" s="14" t="s">
        <v>752</v>
      </c>
      <c r="H182" s="14" t="s">
        <v>240</v>
      </c>
      <c r="I182" s="14" t="s">
        <v>250</v>
      </c>
      <c r="J182" s="14">
        <v>1</v>
      </c>
      <c r="K182" s="15"/>
      <c r="L182" s="19"/>
      <c r="M182" s="143"/>
      <c r="N182" s="143"/>
      <c r="O182" s="15"/>
      <c r="P182" s="15"/>
      <c r="Q182" s="28"/>
      <c r="R182" s="143"/>
      <c r="S182" s="143"/>
      <c r="T182" s="143"/>
      <c r="U182" s="143"/>
      <c r="V182" s="143"/>
      <c r="W182" s="143"/>
      <c r="X182" s="143"/>
    </row>
    <row r="183" spans="1:24" ht="29.25" customHeight="1" x14ac:dyDescent="0.25">
      <c r="A183" s="55"/>
      <c r="B183" s="55"/>
      <c r="C183" s="14" t="s">
        <v>251</v>
      </c>
      <c r="D183" s="14" t="s">
        <v>898</v>
      </c>
      <c r="E183" s="14" t="s">
        <v>898</v>
      </c>
      <c r="F183" s="14">
        <v>6042</v>
      </c>
      <c r="G183" s="14" t="s">
        <v>893</v>
      </c>
      <c r="H183" s="14" t="s">
        <v>240</v>
      </c>
      <c r="I183" s="14" t="s">
        <v>251</v>
      </c>
      <c r="J183" s="14">
        <v>1</v>
      </c>
      <c r="K183" s="13"/>
      <c r="L183" s="18"/>
      <c r="M183" s="143"/>
      <c r="N183" s="143"/>
      <c r="O183" s="13"/>
      <c r="P183" s="13"/>
      <c r="Q183" s="28"/>
      <c r="R183" s="143"/>
      <c r="S183" s="143"/>
      <c r="T183" s="143"/>
      <c r="U183" s="143"/>
      <c r="V183" s="143"/>
      <c r="W183" s="143"/>
      <c r="X183" s="143"/>
    </row>
    <row r="184" spans="1:24" ht="29.25" customHeight="1" x14ac:dyDescent="0.25">
      <c r="A184" s="55"/>
      <c r="B184" s="55"/>
      <c r="C184" s="14" t="s">
        <v>252</v>
      </c>
      <c r="D184" s="14" t="s">
        <v>899</v>
      </c>
      <c r="E184" s="14" t="s">
        <v>899</v>
      </c>
      <c r="F184" s="14">
        <v>12000</v>
      </c>
      <c r="G184" s="14" t="s">
        <v>806</v>
      </c>
      <c r="H184" s="14" t="s">
        <v>240</v>
      </c>
      <c r="I184" s="14" t="s">
        <v>252</v>
      </c>
      <c r="J184" s="14">
        <v>1</v>
      </c>
      <c r="K184" s="15"/>
      <c r="L184" s="19"/>
      <c r="M184" s="143"/>
      <c r="N184" s="143"/>
      <c r="O184" s="15"/>
      <c r="P184" s="15"/>
      <c r="Q184" s="28"/>
      <c r="R184" s="143"/>
      <c r="S184" s="143"/>
      <c r="T184" s="143"/>
      <c r="U184" s="143"/>
      <c r="V184" s="143"/>
      <c r="W184" s="143"/>
      <c r="X184" s="143"/>
    </row>
    <row r="185" spans="1:24" ht="29.25" customHeight="1" x14ac:dyDescent="0.25">
      <c r="A185" s="55"/>
      <c r="B185" s="55"/>
      <c r="C185" s="14" t="s">
        <v>253</v>
      </c>
      <c r="D185" s="14" t="s">
        <v>900</v>
      </c>
      <c r="E185" s="14" t="s">
        <v>900</v>
      </c>
      <c r="F185" s="14">
        <v>3536</v>
      </c>
      <c r="G185" s="14" t="s">
        <v>893</v>
      </c>
      <c r="H185" s="14" t="s">
        <v>240</v>
      </c>
      <c r="I185" s="14" t="s">
        <v>253</v>
      </c>
      <c r="J185" s="14">
        <v>1</v>
      </c>
      <c r="K185" s="13"/>
      <c r="L185" s="18"/>
      <c r="M185" s="143"/>
      <c r="N185" s="143"/>
      <c r="O185" s="13"/>
      <c r="P185" s="13"/>
      <c r="Q185" s="28"/>
      <c r="R185" s="143"/>
      <c r="S185" s="143"/>
      <c r="T185" s="143"/>
      <c r="U185" s="143"/>
      <c r="V185" s="143"/>
      <c r="W185" s="143"/>
      <c r="X185" s="143"/>
    </row>
    <row r="186" spans="1:24" ht="29.25" customHeight="1" x14ac:dyDescent="0.25">
      <c r="A186" s="55"/>
      <c r="B186" s="55"/>
      <c r="C186" s="14" t="s">
        <v>254</v>
      </c>
      <c r="D186" s="14" t="s">
        <v>901</v>
      </c>
      <c r="E186" s="14" t="s">
        <v>901</v>
      </c>
      <c r="F186" s="14">
        <v>12000</v>
      </c>
      <c r="G186" s="14" t="s">
        <v>893</v>
      </c>
      <c r="H186" s="14" t="s">
        <v>240</v>
      </c>
      <c r="I186" s="14" t="s">
        <v>254</v>
      </c>
      <c r="J186" s="14">
        <v>1</v>
      </c>
      <c r="K186" s="15"/>
      <c r="L186" s="19"/>
      <c r="M186" s="143"/>
      <c r="N186" s="143"/>
      <c r="O186" s="15"/>
      <c r="P186" s="15"/>
      <c r="Q186" s="28"/>
      <c r="R186" s="143"/>
      <c r="S186" s="143"/>
      <c r="T186" s="143"/>
      <c r="U186" s="143"/>
      <c r="V186" s="143"/>
      <c r="W186" s="143"/>
      <c r="X186" s="143"/>
    </row>
    <row r="187" spans="1:24" ht="29.25" customHeight="1" x14ac:dyDescent="0.25">
      <c r="A187" s="55"/>
      <c r="B187" s="55"/>
      <c r="C187" s="14" t="s">
        <v>255</v>
      </c>
      <c r="D187" s="14" t="s">
        <v>902</v>
      </c>
      <c r="E187" s="14" t="s">
        <v>902</v>
      </c>
      <c r="F187" s="14">
        <v>1920</v>
      </c>
      <c r="G187" s="14" t="s">
        <v>893</v>
      </c>
      <c r="H187" s="14" t="s">
        <v>240</v>
      </c>
      <c r="I187" s="14" t="s">
        <v>255</v>
      </c>
      <c r="J187" s="14">
        <v>1</v>
      </c>
      <c r="K187" s="13"/>
      <c r="L187" s="18"/>
      <c r="M187" s="143"/>
      <c r="N187" s="143"/>
      <c r="O187" s="13"/>
      <c r="P187" s="13"/>
      <c r="Q187" s="28"/>
      <c r="R187" s="143"/>
      <c r="S187" s="143"/>
      <c r="T187" s="143"/>
      <c r="U187" s="143"/>
      <c r="V187" s="143"/>
      <c r="W187" s="143"/>
      <c r="X187" s="143"/>
    </row>
    <row r="188" spans="1:24" ht="29.25" customHeight="1" x14ac:dyDescent="0.25">
      <c r="A188" s="55"/>
      <c r="B188" s="55"/>
      <c r="C188" s="14" t="s">
        <v>256</v>
      </c>
      <c r="D188" s="14" t="s">
        <v>903</v>
      </c>
      <c r="E188" s="14" t="s">
        <v>903</v>
      </c>
      <c r="F188" s="14">
        <v>6270</v>
      </c>
      <c r="G188" s="14" t="s">
        <v>714</v>
      </c>
      <c r="H188" s="14" t="s">
        <v>240</v>
      </c>
      <c r="I188" s="14" t="s">
        <v>256</v>
      </c>
      <c r="J188" s="14">
        <v>1</v>
      </c>
      <c r="K188" s="15"/>
      <c r="L188" s="19"/>
      <c r="M188" s="143"/>
      <c r="N188" s="143"/>
      <c r="O188" s="15"/>
      <c r="P188" s="15"/>
      <c r="Q188" s="28"/>
      <c r="R188" s="143"/>
      <c r="S188" s="143"/>
      <c r="T188" s="143"/>
      <c r="U188" s="143"/>
      <c r="V188" s="143"/>
      <c r="W188" s="143"/>
      <c r="X188" s="143"/>
    </row>
    <row r="189" spans="1:24" ht="29.25" customHeight="1" x14ac:dyDescent="0.25">
      <c r="A189" s="55"/>
      <c r="B189" s="55"/>
      <c r="C189" s="14" t="s">
        <v>257</v>
      </c>
      <c r="D189" s="14" t="s">
        <v>904</v>
      </c>
      <c r="E189" s="14" t="s">
        <v>904</v>
      </c>
      <c r="F189" s="14">
        <v>7430</v>
      </c>
      <c r="G189" s="14" t="s">
        <v>714</v>
      </c>
      <c r="H189" s="14" t="s">
        <v>240</v>
      </c>
      <c r="I189" s="14" t="s">
        <v>257</v>
      </c>
      <c r="J189" s="14">
        <v>1</v>
      </c>
      <c r="K189" s="13"/>
      <c r="L189" s="18"/>
      <c r="M189" s="143"/>
      <c r="N189" s="143"/>
      <c r="O189" s="13"/>
      <c r="P189" s="13"/>
      <c r="Q189" s="28"/>
      <c r="R189" s="143"/>
      <c r="S189" s="143"/>
      <c r="T189" s="143"/>
      <c r="U189" s="143"/>
      <c r="V189" s="143"/>
      <c r="W189" s="143"/>
      <c r="X189" s="143"/>
    </row>
    <row r="190" spans="1:24" ht="29.25" customHeight="1" x14ac:dyDescent="0.25">
      <c r="A190" s="55"/>
      <c r="B190" s="55"/>
      <c r="C190" s="14" t="s">
        <v>258</v>
      </c>
      <c r="D190" s="14" t="s">
        <v>905</v>
      </c>
      <c r="E190" s="14" t="s">
        <v>905</v>
      </c>
      <c r="F190" s="14">
        <v>1354</v>
      </c>
      <c r="G190" s="14" t="s">
        <v>893</v>
      </c>
      <c r="H190" s="14" t="s">
        <v>240</v>
      </c>
      <c r="I190" s="14" t="s">
        <v>258</v>
      </c>
      <c r="J190" s="14">
        <v>1</v>
      </c>
      <c r="K190" s="15"/>
      <c r="L190" s="19"/>
      <c r="M190" s="143"/>
      <c r="N190" s="143"/>
      <c r="O190" s="15"/>
      <c r="P190" s="15"/>
      <c r="Q190" s="28"/>
      <c r="R190" s="143"/>
      <c r="S190" s="143"/>
      <c r="T190" s="143"/>
      <c r="U190" s="143"/>
      <c r="V190" s="143"/>
      <c r="W190" s="143"/>
      <c r="X190" s="143"/>
    </row>
    <row r="191" spans="1:24" ht="29.25" customHeight="1" x14ac:dyDescent="0.25">
      <c r="A191" s="55"/>
      <c r="B191" s="55"/>
      <c r="C191" s="14" t="s">
        <v>259</v>
      </c>
      <c r="D191" s="14" t="s">
        <v>906</v>
      </c>
      <c r="E191" s="14" t="s">
        <v>906</v>
      </c>
      <c r="F191" s="14">
        <v>11500</v>
      </c>
      <c r="G191" s="14" t="s">
        <v>799</v>
      </c>
      <c r="H191" s="14" t="s">
        <v>240</v>
      </c>
      <c r="I191" s="14" t="s">
        <v>259</v>
      </c>
      <c r="J191" s="14">
        <v>1</v>
      </c>
      <c r="K191" s="13"/>
      <c r="L191" s="18"/>
      <c r="M191" s="143"/>
      <c r="N191" s="143"/>
      <c r="O191" s="13"/>
      <c r="P191" s="13"/>
      <c r="Q191" s="28"/>
      <c r="R191" s="143"/>
      <c r="S191" s="143"/>
      <c r="T191" s="143"/>
      <c r="U191" s="143"/>
      <c r="V191" s="143"/>
      <c r="W191" s="143"/>
      <c r="X191" s="143"/>
    </row>
    <row r="192" spans="1:24" ht="29.25" customHeight="1" x14ac:dyDescent="0.25">
      <c r="A192" s="55"/>
      <c r="B192" s="55"/>
      <c r="C192" s="14" t="s">
        <v>260</v>
      </c>
      <c r="D192" s="14" t="s">
        <v>907</v>
      </c>
      <c r="E192" s="14" t="s">
        <v>907</v>
      </c>
      <c r="F192" s="14">
        <v>10833</v>
      </c>
      <c r="G192" s="14" t="s">
        <v>799</v>
      </c>
      <c r="H192" s="14" t="s">
        <v>240</v>
      </c>
      <c r="I192" s="14" t="s">
        <v>260</v>
      </c>
      <c r="J192" s="14">
        <v>1</v>
      </c>
      <c r="K192" s="15"/>
      <c r="L192" s="19"/>
      <c r="M192" s="143"/>
      <c r="N192" s="143"/>
      <c r="O192" s="15"/>
      <c r="P192" s="15"/>
      <c r="Q192" s="28"/>
      <c r="R192" s="143"/>
      <c r="S192" s="143"/>
      <c r="T192" s="143"/>
      <c r="U192" s="143"/>
      <c r="V192" s="143"/>
      <c r="W192" s="143"/>
      <c r="X192" s="143"/>
    </row>
    <row r="193" spans="1:24" ht="29.25" customHeight="1" x14ac:dyDescent="0.25">
      <c r="A193" s="55"/>
      <c r="B193" s="55"/>
      <c r="C193" s="14" t="s">
        <v>261</v>
      </c>
      <c r="D193" s="14" t="s">
        <v>908</v>
      </c>
      <c r="E193" s="14" t="s">
        <v>908</v>
      </c>
      <c r="F193" s="14">
        <v>11500</v>
      </c>
      <c r="G193" s="14" t="s">
        <v>799</v>
      </c>
      <c r="H193" s="14" t="s">
        <v>240</v>
      </c>
      <c r="I193" s="14" t="s">
        <v>261</v>
      </c>
      <c r="J193" s="14">
        <v>1</v>
      </c>
      <c r="K193" s="13"/>
      <c r="L193" s="18"/>
      <c r="M193" s="143"/>
      <c r="N193" s="143"/>
      <c r="O193" s="13"/>
      <c r="P193" s="13"/>
      <c r="Q193" s="28"/>
      <c r="R193" s="143"/>
      <c r="S193" s="143"/>
      <c r="T193" s="143"/>
      <c r="U193" s="143"/>
      <c r="V193" s="143"/>
      <c r="W193" s="143"/>
      <c r="X193" s="143"/>
    </row>
    <row r="194" spans="1:24" ht="29.25" customHeight="1" x14ac:dyDescent="0.25">
      <c r="A194" s="55"/>
      <c r="B194" s="55"/>
      <c r="C194" s="14" t="s">
        <v>262</v>
      </c>
      <c r="D194" s="14" t="s">
        <v>909</v>
      </c>
      <c r="E194" s="14" t="s">
        <v>909</v>
      </c>
      <c r="F194" s="14">
        <v>13328</v>
      </c>
      <c r="G194" s="14" t="s">
        <v>893</v>
      </c>
      <c r="H194" s="14" t="s">
        <v>240</v>
      </c>
      <c r="I194" s="14" t="s">
        <v>262</v>
      </c>
      <c r="J194" s="14">
        <v>1</v>
      </c>
      <c r="K194" s="15"/>
      <c r="L194" s="19"/>
      <c r="M194" s="143"/>
      <c r="N194" s="143"/>
      <c r="O194" s="15"/>
      <c r="P194" s="15"/>
      <c r="Q194" s="28"/>
      <c r="R194" s="143"/>
      <c r="S194" s="143"/>
      <c r="T194" s="143"/>
      <c r="U194" s="143"/>
      <c r="V194" s="143"/>
      <c r="W194" s="143"/>
      <c r="X194" s="143"/>
    </row>
    <row r="195" spans="1:24" ht="29.25" customHeight="1" x14ac:dyDescent="0.25">
      <c r="A195" s="55"/>
      <c r="B195" s="55"/>
      <c r="C195" s="14" t="s">
        <v>263</v>
      </c>
      <c r="D195" s="14" t="s">
        <v>910</v>
      </c>
      <c r="E195" s="14" t="s">
        <v>910</v>
      </c>
      <c r="F195" s="14">
        <v>5430</v>
      </c>
      <c r="G195" s="14" t="s">
        <v>714</v>
      </c>
      <c r="H195" s="14" t="s">
        <v>240</v>
      </c>
      <c r="I195" s="14" t="s">
        <v>263</v>
      </c>
      <c r="J195" s="14">
        <v>1</v>
      </c>
      <c r="K195" s="13"/>
      <c r="L195" s="18"/>
      <c r="M195" s="143"/>
      <c r="N195" s="143"/>
      <c r="O195" s="13"/>
      <c r="P195" s="13"/>
      <c r="Q195" s="28"/>
      <c r="R195" s="143"/>
      <c r="S195" s="143"/>
      <c r="T195" s="143"/>
      <c r="U195" s="143"/>
      <c r="V195" s="143"/>
      <c r="W195" s="143"/>
      <c r="X195" s="143"/>
    </row>
    <row r="196" spans="1:24" ht="29.25" customHeight="1" x14ac:dyDescent="0.25">
      <c r="A196" s="55"/>
      <c r="B196" s="55"/>
      <c r="C196" s="14" t="s">
        <v>264</v>
      </c>
      <c r="D196" s="14" t="s">
        <v>911</v>
      </c>
      <c r="E196" s="14" t="s">
        <v>911</v>
      </c>
      <c r="F196" s="14">
        <v>10255</v>
      </c>
      <c r="G196" s="14" t="s">
        <v>912</v>
      </c>
      <c r="H196" s="14" t="s">
        <v>240</v>
      </c>
      <c r="I196" s="14" t="s">
        <v>264</v>
      </c>
      <c r="J196" s="14">
        <v>1</v>
      </c>
      <c r="K196" s="15"/>
      <c r="L196" s="19"/>
      <c r="M196" s="143"/>
      <c r="N196" s="143"/>
      <c r="O196" s="15"/>
      <c r="P196" s="15"/>
      <c r="Q196" s="28"/>
      <c r="R196" s="143"/>
      <c r="S196" s="143"/>
      <c r="T196" s="143"/>
      <c r="U196" s="143"/>
      <c r="V196" s="143"/>
      <c r="W196" s="143"/>
      <c r="X196" s="143"/>
    </row>
    <row r="197" spans="1:24" ht="29.25" customHeight="1" x14ac:dyDescent="0.25">
      <c r="A197" s="55"/>
      <c r="B197" s="55"/>
      <c r="C197" s="14" t="s">
        <v>913</v>
      </c>
      <c r="D197" s="14" t="s">
        <v>914</v>
      </c>
      <c r="E197" s="14" t="s">
        <v>914</v>
      </c>
      <c r="F197" s="14">
        <v>10772</v>
      </c>
      <c r="G197" s="14" t="s">
        <v>912</v>
      </c>
      <c r="H197" s="14" t="s">
        <v>240</v>
      </c>
      <c r="I197" s="14" t="s">
        <v>913</v>
      </c>
      <c r="J197" s="14">
        <v>1</v>
      </c>
      <c r="K197" s="13"/>
      <c r="L197" s="18"/>
      <c r="M197" s="143"/>
      <c r="N197" s="143"/>
      <c r="O197" s="13"/>
      <c r="P197" s="13"/>
      <c r="Q197" s="28"/>
      <c r="R197" s="143"/>
      <c r="S197" s="143"/>
      <c r="T197" s="143"/>
      <c r="U197" s="143"/>
      <c r="V197" s="143"/>
      <c r="W197" s="143"/>
      <c r="X197" s="143"/>
    </row>
    <row r="198" spans="1:24" ht="29.25" customHeight="1" x14ac:dyDescent="0.25">
      <c r="A198" s="55"/>
      <c r="B198" s="55"/>
      <c r="C198" s="14" t="s">
        <v>915</v>
      </c>
      <c r="D198" s="14" t="s">
        <v>916</v>
      </c>
      <c r="E198" s="14" t="s">
        <v>916</v>
      </c>
      <c r="F198" s="14">
        <v>10747</v>
      </c>
      <c r="G198" s="14" t="s">
        <v>912</v>
      </c>
      <c r="H198" s="14" t="s">
        <v>240</v>
      </c>
      <c r="I198" s="14" t="s">
        <v>915</v>
      </c>
      <c r="J198" s="14">
        <v>1</v>
      </c>
      <c r="K198" s="15"/>
      <c r="L198" s="19"/>
      <c r="M198" s="143"/>
      <c r="N198" s="143"/>
      <c r="O198" s="15"/>
      <c r="P198" s="15"/>
      <c r="Q198" s="28"/>
      <c r="R198" s="143"/>
      <c r="S198" s="143"/>
      <c r="T198" s="143"/>
      <c r="U198" s="143"/>
      <c r="V198" s="143"/>
      <c r="W198" s="143"/>
      <c r="X198" s="143"/>
    </row>
    <row r="199" spans="1:24" ht="29.25" customHeight="1" x14ac:dyDescent="0.25">
      <c r="A199" s="55"/>
      <c r="B199" s="55"/>
      <c r="C199" s="14" t="s">
        <v>917</v>
      </c>
      <c r="D199" s="14" t="s">
        <v>918</v>
      </c>
      <c r="E199" s="14" t="s">
        <v>918</v>
      </c>
      <c r="F199" s="14">
        <v>9641</v>
      </c>
      <c r="G199" s="14" t="s">
        <v>912</v>
      </c>
      <c r="H199" s="14" t="s">
        <v>240</v>
      </c>
      <c r="I199" s="14" t="s">
        <v>917</v>
      </c>
      <c r="J199" s="14">
        <v>1</v>
      </c>
      <c r="K199" s="13"/>
      <c r="L199" s="18"/>
      <c r="M199" s="143"/>
      <c r="N199" s="143"/>
      <c r="O199" s="13"/>
      <c r="P199" s="13"/>
      <c r="Q199" s="28"/>
      <c r="R199" s="143"/>
      <c r="S199" s="143"/>
      <c r="T199" s="143"/>
      <c r="U199" s="143"/>
      <c r="V199" s="143"/>
      <c r="W199" s="143"/>
      <c r="X199" s="143"/>
    </row>
    <row r="200" spans="1:24" ht="29.25" customHeight="1" x14ac:dyDescent="0.25">
      <c r="A200" s="55"/>
      <c r="B200" s="55"/>
      <c r="C200" s="14" t="s">
        <v>919</v>
      </c>
      <c r="D200" s="14" t="s">
        <v>920</v>
      </c>
      <c r="E200" s="14" t="s">
        <v>920</v>
      </c>
      <c r="F200" s="14">
        <v>12010</v>
      </c>
      <c r="G200" s="14" t="s">
        <v>921</v>
      </c>
      <c r="H200" s="14" t="s">
        <v>240</v>
      </c>
      <c r="I200" s="14" t="s">
        <v>919</v>
      </c>
      <c r="J200" s="14">
        <v>1</v>
      </c>
      <c r="K200" s="15"/>
      <c r="L200" s="19"/>
      <c r="M200" s="143"/>
      <c r="N200" s="143"/>
      <c r="O200" s="15"/>
      <c r="P200" s="15"/>
      <c r="Q200" s="28"/>
      <c r="R200" s="143"/>
      <c r="S200" s="143"/>
      <c r="T200" s="143"/>
      <c r="U200" s="143"/>
      <c r="V200" s="143"/>
      <c r="W200" s="143"/>
      <c r="X200" s="143"/>
    </row>
    <row r="201" spans="1:24" ht="29.25" customHeight="1" x14ac:dyDescent="0.25">
      <c r="A201" s="55"/>
      <c r="B201" s="55"/>
      <c r="C201" s="14" t="s">
        <v>922</v>
      </c>
      <c r="D201" s="14" t="s">
        <v>923</v>
      </c>
      <c r="E201" s="14" t="s">
        <v>923</v>
      </c>
      <c r="F201" s="14">
        <v>7370</v>
      </c>
      <c r="G201" s="14" t="s">
        <v>921</v>
      </c>
      <c r="H201" s="14" t="s">
        <v>240</v>
      </c>
      <c r="I201" s="14" t="s">
        <v>922</v>
      </c>
      <c r="J201" s="14">
        <v>1</v>
      </c>
      <c r="K201" s="13"/>
      <c r="L201" s="18"/>
      <c r="M201" s="143"/>
      <c r="N201" s="143"/>
      <c r="O201" s="13"/>
      <c r="P201" s="13"/>
      <c r="Q201" s="28"/>
      <c r="R201" s="143"/>
      <c r="S201" s="143"/>
      <c r="T201" s="143"/>
      <c r="U201" s="143"/>
      <c r="V201" s="143"/>
      <c r="W201" s="143"/>
      <c r="X201" s="143"/>
    </row>
    <row r="202" spans="1:24" ht="29.25" customHeight="1" x14ac:dyDescent="0.25">
      <c r="A202" s="55"/>
      <c r="B202" s="55"/>
      <c r="C202" s="14" t="s">
        <v>924</v>
      </c>
      <c r="D202" s="14" t="s">
        <v>925</v>
      </c>
      <c r="E202" s="14" t="s">
        <v>925</v>
      </c>
      <c r="F202" s="14">
        <v>12000</v>
      </c>
      <c r="G202" s="14" t="s">
        <v>921</v>
      </c>
      <c r="H202" s="14" t="s">
        <v>240</v>
      </c>
      <c r="I202" s="14" t="s">
        <v>924</v>
      </c>
      <c r="J202" s="14">
        <v>1</v>
      </c>
      <c r="K202" s="15"/>
      <c r="L202" s="19"/>
      <c r="M202" s="143"/>
      <c r="N202" s="143"/>
      <c r="O202" s="15"/>
      <c r="P202" s="15"/>
      <c r="Q202" s="28"/>
      <c r="R202" s="143"/>
      <c r="S202" s="143"/>
      <c r="T202" s="143"/>
      <c r="U202" s="143"/>
      <c r="V202" s="143"/>
      <c r="W202" s="143"/>
      <c r="X202" s="143"/>
    </row>
    <row r="203" spans="1:24" ht="29.25" customHeight="1" x14ac:dyDescent="0.25">
      <c r="A203" s="55"/>
      <c r="B203" s="55"/>
      <c r="C203" s="14" t="s">
        <v>926</v>
      </c>
      <c r="D203" s="14" t="s">
        <v>927</v>
      </c>
      <c r="E203" s="14" t="s">
        <v>927</v>
      </c>
      <c r="F203" s="14">
        <v>12000</v>
      </c>
      <c r="G203" s="14" t="s">
        <v>921</v>
      </c>
      <c r="H203" s="14" t="s">
        <v>240</v>
      </c>
      <c r="I203" s="14" t="s">
        <v>926</v>
      </c>
      <c r="J203" s="14">
        <v>1</v>
      </c>
      <c r="K203" s="13"/>
      <c r="L203" s="18"/>
      <c r="M203" s="143"/>
      <c r="N203" s="143"/>
      <c r="O203" s="13"/>
      <c r="P203" s="13"/>
      <c r="Q203" s="28"/>
      <c r="R203" s="143"/>
      <c r="S203" s="143"/>
      <c r="T203" s="143"/>
      <c r="U203" s="143"/>
      <c r="V203" s="143"/>
      <c r="W203" s="143"/>
      <c r="X203" s="143"/>
    </row>
    <row r="204" spans="1:24" ht="29.25" customHeight="1" x14ac:dyDescent="0.25">
      <c r="A204" s="55"/>
      <c r="B204" s="55"/>
      <c r="C204" s="14" t="s">
        <v>928</v>
      </c>
      <c r="D204" s="14" t="s">
        <v>929</v>
      </c>
      <c r="E204" s="14" t="s">
        <v>929</v>
      </c>
      <c r="F204" s="14">
        <v>13464</v>
      </c>
      <c r="G204" s="14" t="s">
        <v>893</v>
      </c>
      <c r="H204" s="14" t="s">
        <v>240</v>
      </c>
      <c r="I204" s="14" t="s">
        <v>928</v>
      </c>
      <c r="J204" s="14">
        <v>1</v>
      </c>
      <c r="K204" s="15"/>
      <c r="L204" s="19"/>
      <c r="M204" s="143"/>
      <c r="N204" s="143"/>
      <c r="O204" s="15"/>
      <c r="P204" s="15"/>
      <c r="Q204" s="28"/>
      <c r="R204" s="143"/>
      <c r="S204" s="143"/>
      <c r="T204" s="143"/>
      <c r="U204" s="143"/>
      <c r="V204" s="143"/>
      <c r="W204" s="143"/>
      <c r="X204" s="143"/>
    </row>
    <row r="205" spans="1:24" ht="29.25" customHeight="1" x14ac:dyDescent="0.25">
      <c r="A205" s="55"/>
      <c r="B205" s="55"/>
      <c r="C205" s="14" t="s">
        <v>930</v>
      </c>
      <c r="D205" s="14" t="s">
        <v>931</v>
      </c>
      <c r="E205" s="14" t="s">
        <v>931</v>
      </c>
      <c r="F205" s="14">
        <v>4852</v>
      </c>
      <c r="G205" s="14" t="s">
        <v>752</v>
      </c>
      <c r="H205" s="14" t="s">
        <v>240</v>
      </c>
      <c r="I205" s="14" t="s">
        <v>930</v>
      </c>
      <c r="J205" s="14">
        <v>1</v>
      </c>
      <c r="K205" s="13"/>
      <c r="L205" s="18"/>
      <c r="M205" s="143"/>
      <c r="N205" s="143"/>
      <c r="O205" s="13"/>
      <c r="P205" s="13"/>
      <c r="Q205" s="28"/>
      <c r="R205" s="143"/>
      <c r="S205" s="143"/>
      <c r="T205" s="143"/>
      <c r="U205" s="143"/>
      <c r="V205" s="143"/>
      <c r="W205" s="143"/>
      <c r="X205" s="143"/>
    </row>
    <row r="206" spans="1:24" ht="29.25" customHeight="1" x14ac:dyDescent="0.25">
      <c r="A206" s="55"/>
      <c r="B206" s="55"/>
      <c r="C206" s="14" t="s">
        <v>932</v>
      </c>
      <c r="D206" s="14" t="s">
        <v>933</v>
      </c>
      <c r="E206" s="14" t="s">
        <v>933</v>
      </c>
      <c r="F206" s="14">
        <v>7031</v>
      </c>
      <c r="G206" s="14" t="s">
        <v>893</v>
      </c>
      <c r="H206" s="14" t="s">
        <v>240</v>
      </c>
      <c r="I206" s="14" t="s">
        <v>932</v>
      </c>
      <c r="J206" s="14">
        <v>1</v>
      </c>
      <c r="K206" s="15"/>
      <c r="L206" s="19"/>
      <c r="M206" s="143"/>
      <c r="N206" s="143"/>
      <c r="O206" s="15"/>
      <c r="P206" s="15"/>
      <c r="Q206" s="28"/>
      <c r="R206" s="143"/>
      <c r="S206" s="143"/>
      <c r="T206" s="143"/>
      <c r="U206" s="143"/>
      <c r="V206" s="143"/>
      <c r="W206" s="143"/>
      <c r="X206" s="143"/>
    </row>
    <row r="207" spans="1:24" ht="29.25" customHeight="1" x14ac:dyDescent="0.25">
      <c r="A207" s="55"/>
      <c r="B207" s="55"/>
      <c r="C207" s="14" t="s">
        <v>934</v>
      </c>
      <c r="D207" s="14" t="s">
        <v>935</v>
      </c>
      <c r="E207" s="14" t="s">
        <v>935</v>
      </c>
      <c r="F207" s="14">
        <v>12000</v>
      </c>
      <c r="G207" s="14" t="s">
        <v>799</v>
      </c>
      <c r="H207" s="14" t="s">
        <v>240</v>
      </c>
      <c r="I207" s="14" t="s">
        <v>934</v>
      </c>
      <c r="J207" s="14">
        <v>1</v>
      </c>
      <c r="K207" s="13"/>
      <c r="L207" s="18"/>
      <c r="M207" s="143"/>
      <c r="N207" s="143"/>
      <c r="O207" s="13"/>
      <c r="P207" s="13"/>
      <c r="Q207" s="28"/>
      <c r="R207" s="143"/>
      <c r="S207" s="143"/>
      <c r="T207" s="143"/>
      <c r="U207" s="143"/>
      <c r="V207" s="143"/>
      <c r="W207" s="143"/>
      <c r="X207" s="143"/>
    </row>
    <row r="208" spans="1:24" ht="29.25" customHeight="1" x14ac:dyDescent="0.25">
      <c r="A208" s="55"/>
      <c r="B208" s="55"/>
      <c r="C208" s="14" t="s">
        <v>936</v>
      </c>
      <c r="D208" s="14" t="s">
        <v>937</v>
      </c>
      <c r="E208" s="14" t="s">
        <v>937</v>
      </c>
      <c r="F208" s="14">
        <v>8131</v>
      </c>
      <c r="G208" s="14" t="s">
        <v>893</v>
      </c>
      <c r="H208" s="14" t="s">
        <v>240</v>
      </c>
      <c r="I208" s="14" t="s">
        <v>936</v>
      </c>
      <c r="J208" s="14">
        <v>1</v>
      </c>
      <c r="K208" s="15"/>
      <c r="L208" s="19"/>
      <c r="M208" s="143"/>
      <c r="N208" s="143"/>
      <c r="O208" s="15"/>
      <c r="P208" s="15"/>
      <c r="Q208" s="28"/>
      <c r="R208" s="143"/>
      <c r="S208" s="143"/>
      <c r="T208" s="143"/>
      <c r="U208" s="143"/>
      <c r="V208" s="143"/>
      <c r="W208" s="143"/>
      <c r="X208" s="143"/>
    </row>
    <row r="209" spans="1:24" ht="29.25" customHeight="1" x14ac:dyDescent="0.25">
      <c r="A209" s="55"/>
      <c r="B209" s="55"/>
      <c r="C209" s="14" t="s">
        <v>938</v>
      </c>
      <c r="D209" s="14" t="s">
        <v>939</v>
      </c>
      <c r="E209" s="14" t="s">
        <v>939</v>
      </c>
      <c r="F209" s="14">
        <v>13487</v>
      </c>
      <c r="G209" s="14" t="s">
        <v>752</v>
      </c>
      <c r="H209" s="14" t="s">
        <v>240</v>
      </c>
      <c r="I209" s="14" t="s">
        <v>938</v>
      </c>
      <c r="J209" s="14">
        <v>1</v>
      </c>
      <c r="K209" s="13"/>
      <c r="L209" s="18"/>
      <c r="M209" s="143"/>
      <c r="N209" s="143"/>
      <c r="O209" s="13"/>
      <c r="P209" s="13"/>
      <c r="Q209" s="28"/>
      <c r="R209" s="143"/>
      <c r="S209" s="143"/>
      <c r="T209" s="143"/>
      <c r="U209" s="143"/>
      <c r="V209" s="143"/>
      <c r="W209" s="143"/>
      <c r="X209" s="143"/>
    </row>
    <row r="210" spans="1:24" ht="29.25" customHeight="1" x14ac:dyDescent="0.25">
      <c r="A210" s="55"/>
      <c r="B210" s="55"/>
      <c r="C210" s="14" t="s">
        <v>940</v>
      </c>
      <c r="D210" s="14" t="s">
        <v>941</v>
      </c>
      <c r="E210" s="14" t="s">
        <v>941</v>
      </c>
      <c r="F210" s="14">
        <v>3170</v>
      </c>
      <c r="G210" s="14" t="s">
        <v>752</v>
      </c>
      <c r="H210" s="14" t="s">
        <v>240</v>
      </c>
      <c r="I210" s="14" t="s">
        <v>940</v>
      </c>
      <c r="J210" s="14">
        <v>1</v>
      </c>
      <c r="K210" s="15"/>
      <c r="L210" s="19"/>
      <c r="M210" s="143"/>
      <c r="N210" s="143"/>
      <c r="O210" s="15"/>
      <c r="P210" s="15"/>
      <c r="Q210" s="28"/>
      <c r="R210" s="143"/>
      <c r="S210" s="143"/>
      <c r="T210" s="143"/>
      <c r="U210" s="143"/>
      <c r="V210" s="143"/>
      <c r="W210" s="143"/>
      <c r="X210" s="143"/>
    </row>
    <row r="211" spans="1:24" ht="29.25" customHeight="1" x14ac:dyDescent="0.25">
      <c r="A211" s="55"/>
      <c r="B211" s="55"/>
      <c r="C211" s="14" t="s">
        <v>942</v>
      </c>
      <c r="D211" s="14" t="s">
        <v>943</v>
      </c>
      <c r="E211" s="14" t="s">
        <v>943</v>
      </c>
      <c r="F211" s="14">
        <v>12000</v>
      </c>
      <c r="G211" s="14" t="s">
        <v>752</v>
      </c>
      <c r="H211" s="14" t="s">
        <v>240</v>
      </c>
      <c r="I211" s="14" t="s">
        <v>942</v>
      </c>
      <c r="J211" s="14">
        <v>1</v>
      </c>
      <c r="K211" s="13"/>
      <c r="L211" s="18"/>
      <c r="M211" s="143"/>
      <c r="N211" s="143"/>
      <c r="O211" s="13"/>
      <c r="P211" s="13"/>
      <c r="Q211" s="28"/>
      <c r="R211" s="143"/>
      <c r="S211" s="143"/>
      <c r="T211" s="143"/>
      <c r="U211" s="143"/>
      <c r="V211" s="143"/>
      <c r="W211" s="143"/>
      <c r="X211" s="143"/>
    </row>
    <row r="212" spans="1:24" ht="29.25" customHeight="1" x14ac:dyDescent="0.25">
      <c r="A212" s="55"/>
      <c r="B212" s="55"/>
      <c r="C212" s="14" t="s">
        <v>944</v>
      </c>
      <c r="D212" s="14" t="s">
        <v>890</v>
      </c>
      <c r="E212" s="14" t="s">
        <v>890</v>
      </c>
      <c r="F212" s="14">
        <v>12000</v>
      </c>
      <c r="G212" s="14" t="s">
        <v>752</v>
      </c>
      <c r="H212" s="14" t="s">
        <v>240</v>
      </c>
      <c r="I212" s="14" t="s">
        <v>944</v>
      </c>
      <c r="J212" s="14">
        <v>1</v>
      </c>
      <c r="K212" s="15"/>
      <c r="L212" s="19"/>
      <c r="M212" s="143"/>
      <c r="N212" s="143"/>
      <c r="O212" s="15"/>
      <c r="P212" s="15"/>
      <c r="Q212" s="28"/>
      <c r="R212" s="143"/>
      <c r="S212" s="143"/>
      <c r="T212" s="143"/>
      <c r="U212" s="143"/>
      <c r="V212" s="143"/>
      <c r="W212" s="143"/>
      <c r="X212" s="143"/>
    </row>
    <row r="213" spans="1:24" ht="15.75" customHeight="1" x14ac:dyDescent="0.25">
      <c r="A213" s="55"/>
      <c r="B213" s="55"/>
      <c r="C213" s="14" t="s">
        <v>945</v>
      </c>
      <c r="D213" s="14" t="s">
        <v>946</v>
      </c>
      <c r="E213" s="14" t="s">
        <v>946</v>
      </c>
      <c r="F213" s="14">
        <v>535</v>
      </c>
      <c r="G213" s="14" t="s">
        <v>749</v>
      </c>
      <c r="H213" s="14" t="s">
        <v>202</v>
      </c>
      <c r="I213" s="14" t="s">
        <v>945</v>
      </c>
      <c r="J213" s="14">
        <v>1</v>
      </c>
      <c r="K213" s="13"/>
      <c r="L213" s="18"/>
      <c r="M213" s="143"/>
      <c r="N213" s="143"/>
      <c r="O213" s="13"/>
      <c r="P213" s="13"/>
      <c r="Q213" s="28"/>
      <c r="R213" s="143"/>
      <c r="S213" s="143"/>
      <c r="T213" s="143"/>
      <c r="U213" s="143"/>
      <c r="V213" s="143"/>
      <c r="W213" s="143"/>
      <c r="X213" s="143"/>
    </row>
    <row r="214" spans="1:24" ht="15.75" customHeight="1" x14ac:dyDescent="0.25">
      <c r="A214" s="55"/>
      <c r="B214" s="55"/>
      <c r="C214" s="14" t="s">
        <v>947</v>
      </c>
      <c r="D214" s="14" t="s">
        <v>948</v>
      </c>
      <c r="E214" s="14" t="s">
        <v>949</v>
      </c>
      <c r="F214" s="14">
        <v>385</v>
      </c>
      <c r="G214" s="14" t="s">
        <v>950</v>
      </c>
      <c r="H214" s="14" t="s">
        <v>202</v>
      </c>
      <c r="I214" s="14" t="s">
        <v>947</v>
      </c>
      <c r="J214" s="14">
        <v>8</v>
      </c>
      <c r="K214" s="15"/>
      <c r="L214" s="19"/>
      <c r="M214" s="143"/>
      <c r="N214" s="143"/>
      <c r="O214" s="15"/>
      <c r="P214" s="15"/>
      <c r="Q214" s="28"/>
      <c r="R214" s="143"/>
      <c r="S214" s="143"/>
      <c r="T214" s="143"/>
      <c r="U214" s="143"/>
      <c r="V214" s="143"/>
      <c r="W214" s="143"/>
      <c r="X214" s="143"/>
    </row>
    <row r="215" spans="1:24" ht="15.75" customHeight="1" x14ac:dyDescent="0.25">
      <c r="A215" s="55"/>
      <c r="B215" s="55"/>
      <c r="C215" s="14" t="s">
        <v>951</v>
      </c>
      <c r="D215" s="14" t="s">
        <v>952</v>
      </c>
      <c r="E215" s="14" t="s">
        <v>953</v>
      </c>
      <c r="F215" s="14">
        <v>412</v>
      </c>
      <c r="G215" s="14" t="s">
        <v>714</v>
      </c>
      <c r="H215" s="14" t="s">
        <v>202</v>
      </c>
      <c r="I215" s="14" t="s">
        <v>951</v>
      </c>
      <c r="J215" s="14">
        <v>5</v>
      </c>
      <c r="K215" s="13"/>
      <c r="L215" s="18"/>
      <c r="M215" s="143"/>
      <c r="N215" s="143"/>
      <c r="O215" s="13"/>
      <c r="P215" s="13"/>
      <c r="Q215" s="28"/>
      <c r="R215" s="143"/>
      <c r="S215" s="143"/>
      <c r="T215" s="143"/>
      <c r="U215" s="143"/>
      <c r="V215" s="143"/>
      <c r="W215" s="143"/>
      <c r="X215" s="143"/>
    </row>
    <row r="216" spans="1:24" ht="15.75" customHeight="1" x14ac:dyDescent="0.25">
      <c r="A216" s="55"/>
      <c r="B216" s="55"/>
      <c r="C216" s="14" t="s">
        <v>954</v>
      </c>
      <c r="D216" s="14" t="s">
        <v>955</v>
      </c>
      <c r="E216" s="14" t="s">
        <v>955</v>
      </c>
      <c r="F216" s="14">
        <v>1128</v>
      </c>
      <c r="G216" s="14" t="s">
        <v>749</v>
      </c>
      <c r="H216" s="14" t="s">
        <v>202</v>
      </c>
      <c r="I216" s="14" t="s">
        <v>954</v>
      </c>
      <c r="J216" s="14">
        <v>1</v>
      </c>
      <c r="K216" s="15"/>
      <c r="L216" s="19"/>
      <c r="M216" s="143"/>
      <c r="N216" s="143"/>
      <c r="O216" s="15"/>
      <c r="P216" s="15"/>
      <c r="Q216" s="28"/>
      <c r="R216" s="143"/>
      <c r="S216" s="143"/>
      <c r="T216" s="143"/>
      <c r="U216" s="143"/>
      <c r="V216" s="143"/>
      <c r="W216" s="143"/>
      <c r="X216" s="143"/>
    </row>
    <row r="217" spans="1:24" ht="15.75" customHeight="1" x14ac:dyDescent="0.25">
      <c r="A217" s="55"/>
      <c r="B217" s="55"/>
      <c r="C217" s="14" t="s">
        <v>956</v>
      </c>
      <c r="D217" s="14" t="s">
        <v>957</v>
      </c>
      <c r="E217" s="14" t="s">
        <v>957</v>
      </c>
      <c r="F217" s="14">
        <v>981</v>
      </c>
      <c r="G217" s="14" t="s">
        <v>706</v>
      </c>
      <c r="H217" s="14" t="s">
        <v>202</v>
      </c>
      <c r="I217" s="14" t="s">
        <v>956</v>
      </c>
      <c r="J217" s="14">
        <v>1</v>
      </c>
      <c r="K217" s="13"/>
      <c r="L217" s="18"/>
      <c r="M217" s="143"/>
      <c r="N217" s="143"/>
      <c r="O217" s="13"/>
      <c r="P217" s="13"/>
      <c r="Q217" s="28"/>
      <c r="R217" s="143"/>
      <c r="S217" s="143"/>
      <c r="T217" s="143"/>
      <c r="U217" s="143"/>
      <c r="V217" s="143"/>
      <c r="W217" s="143"/>
      <c r="X217" s="143"/>
    </row>
    <row r="218" spans="1:24" ht="15.75" customHeight="1" x14ac:dyDescent="0.25">
      <c r="A218" s="55"/>
      <c r="B218" s="55"/>
      <c r="C218" s="14" t="s">
        <v>958</v>
      </c>
      <c r="D218" s="14" t="s">
        <v>959</v>
      </c>
      <c r="E218" s="14" t="s">
        <v>960</v>
      </c>
      <c r="F218" s="14">
        <v>236</v>
      </c>
      <c r="G218" s="14" t="s">
        <v>961</v>
      </c>
      <c r="H218" s="14" t="s">
        <v>962</v>
      </c>
      <c r="I218" s="14" t="s">
        <v>958</v>
      </c>
      <c r="J218" s="14">
        <v>8</v>
      </c>
      <c r="K218" s="15"/>
      <c r="L218" s="19"/>
      <c r="M218" s="143"/>
      <c r="N218" s="143"/>
      <c r="O218" s="15"/>
      <c r="P218" s="15"/>
      <c r="Q218" s="28"/>
      <c r="R218" s="143"/>
      <c r="S218" s="143"/>
      <c r="T218" s="143"/>
      <c r="U218" s="143"/>
      <c r="V218" s="143"/>
      <c r="W218" s="143"/>
      <c r="X218" s="143"/>
    </row>
    <row r="219" spans="1:24" ht="29.25" customHeight="1" x14ac:dyDescent="0.25">
      <c r="A219" s="55"/>
      <c r="B219" s="55"/>
      <c r="C219" s="14" t="s">
        <v>963</v>
      </c>
      <c r="D219" s="14" t="s">
        <v>964</v>
      </c>
      <c r="E219" s="14" t="s">
        <v>965</v>
      </c>
      <c r="F219" s="14">
        <v>15475</v>
      </c>
      <c r="G219" s="14" t="s">
        <v>966</v>
      </c>
      <c r="H219" s="14" t="s">
        <v>820</v>
      </c>
      <c r="I219" s="14" t="s">
        <v>963</v>
      </c>
      <c r="J219" s="14">
        <v>4</v>
      </c>
      <c r="K219" s="13"/>
      <c r="L219" s="18"/>
      <c r="M219" s="143"/>
      <c r="N219" s="143"/>
      <c r="O219" s="13"/>
      <c r="P219" s="13"/>
      <c r="Q219" s="28"/>
      <c r="R219" s="143"/>
      <c r="S219" s="143"/>
      <c r="T219" s="143"/>
      <c r="U219" s="143"/>
      <c r="V219" s="143"/>
      <c r="W219" s="143"/>
      <c r="X219" s="143"/>
    </row>
    <row r="220" spans="1:24" ht="29.25" customHeight="1" x14ac:dyDescent="0.25">
      <c r="A220" s="55"/>
      <c r="B220" s="55"/>
      <c r="C220" s="14" t="s">
        <v>967</v>
      </c>
      <c r="D220" s="14" t="s">
        <v>968</v>
      </c>
      <c r="E220" s="14" t="s">
        <v>969</v>
      </c>
      <c r="F220" s="14">
        <v>14895</v>
      </c>
      <c r="G220" s="14" t="s">
        <v>966</v>
      </c>
      <c r="H220" s="14" t="s">
        <v>820</v>
      </c>
      <c r="I220" s="14" t="s">
        <v>967</v>
      </c>
      <c r="J220" s="14">
        <v>4</v>
      </c>
      <c r="K220" s="15"/>
      <c r="L220" s="19"/>
      <c r="M220" s="143"/>
      <c r="N220" s="143"/>
      <c r="O220" s="15"/>
      <c r="P220" s="15"/>
      <c r="Q220" s="28"/>
      <c r="R220" s="143"/>
      <c r="S220" s="143"/>
      <c r="T220" s="143"/>
      <c r="U220" s="143"/>
      <c r="V220" s="143"/>
      <c r="W220" s="143"/>
      <c r="X220" s="143"/>
    </row>
    <row r="221" spans="1:24" ht="29.25" customHeight="1" x14ac:dyDescent="0.25">
      <c r="A221" s="55"/>
      <c r="B221" s="55"/>
      <c r="C221" s="14" t="s">
        <v>970</v>
      </c>
      <c r="D221" s="14" t="s">
        <v>971</v>
      </c>
      <c r="E221" s="14" t="s">
        <v>972</v>
      </c>
      <c r="F221" s="14">
        <v>15175</v>
      </c>
      <c r="G221" s="14" t="s">
        <v>966</v>
      </c>
      <c r="H221" s="14" t="s">
        <v>820</v>
      </c>
      <c r="I221" s="14" t="s">
        <v>970</v>
      </c>
      <c r="J221" s="14">
        <v>4</v>
      </c>
      <c r="K221" s="13"/>
      <c r="L221" s="18"/>
      <c r="M221" s="143"/>
      <c r="N221" s="143"/>
      <c r="O221" s="13"/>
      <c r="P221" s="13"/>
      <c r="Q221" s="28"/>
      <c r="R221" s="143"/>
      <c r="S221" s="143"/>
      <c r="T221" s="143"/>
      <c r="U221" s="143"/>
      <c r="V221" s="143"/>
      <c r="W221" s="143"/>
      <c r="X221" s="143"/>
    </row>
    <row r="222" spans="1:24" ht="29.25" customHeight="1" x14ac:dyDescent="0.25">
      <c r="A222" s="55"/>
      <c r="B222" s="55"/>
      <c r="C222" s="14" t="s">
        <v>973</v>
      </c>
      <c r="D222" s="14" t="s">
        <v>974</v>
      </c>
      <c r="E222" s="14" t="s">
        <v>974</v>
      </c>
      <c r="F222" s="14">
        <v>5284</v>
      </c>
      <c r="G222" s="14" t="s">
        <v>912</v>
      </c>
      <c r="H222" s="14" t="s">
        <v>240</v>
      </c>
      <c r="I222" s="14" t="s">
        <v>973</v>
      </c>
      <c r="J222" s="14">
        <v>1</v>
      </c>
      <c r="K222" s="15"/>
      <c r="L222" s="19"/>
      <c r="M222" s="143"/>
      <c r="N222" s="143"/>
      <c r="O222" s="15"/>
      <c r="P222" s="15"/>
      <c r="Q222" s="28"/>
      <c r="R222" s="143"/>
      <c r="S222" s="143"/>
      <c r="T222" s="143"/>
      <c r="U222" s="143"/>
      <c r="V222" s="143"/>
      <c r="W222" s="143"/>
      <c r="X222" s="143"/>
    </row>
    <row r="223" spans="1:24" ht="29.25" customHeight="1" x14ac:dyDescent="0.25">
      <c r="A223" s="55"/>
      <c r="B223" s="55"/>
      <c r="C223" s="14" t="s">
        <v>975</v>
      </c>
      <c r="D223" s="14" t="s">
        <v>974</v>
      </c>
      <c r="E223" s="14" t="s">
        <v>976</v>
      </c>
      <c r="F223" s="14">
        <v>5284</v>
      </c>
      <c r="G223" s="14" t="s">
        <v>912</v>
      </c>
      <c r="H223" s="14" t="s">
        <v>240</v>
      </c>
      <c r="I223" s="14" t="s">
        <v>975</v>
      </c>
      <c r="J223" s="14">
        <v>8</v>
      </c>
      <c r="K223" s="13"/>
      <c r="L223" s="18"/>
      <c r="M223" s="143"/>
      <c r="N223" s="143"/>
      <c r="O223" s="13"/>
      <c r="P223" s="13"/>
      <c r="Q223" s="28"/>
      <c r="R223" s="143"/>
      <c r="S223" s="143"/>
      <c r="T223" s="143"/>
      <c r="U223" s="143"/>
      <c r="V223" s="143"/>
      <c r="W223" s="143"/>
      <c r="X223" s="143"/>
    </row>
    <row r="224" spans="1:24" ht="15.75" customHeight="1" x14ac:dyDescent="0.25">
      <c r="A224" s="55"/>
      <c r="B224" s="55"/>
      <c r="C224" s="14" t="s">
        <v>977</v>
      </c>
      <c r="D224" s="14" t="s">
        <v>978</v>
      </c>
      <c r="E224" s="14" t="s">
        <v>979</v>
      </c>
      <c r="F224" s="14">
        <v>125</v>
      </c>
      <c r="G224" s="14" t="s">
        <v>950</v>
      </c>
      <c r="H224" s="14" t="s">
        <v>202</v>
      </c>
      <c r="I224" s="14" t="s">
        <v>977</v>
      </c>
      <c r="J224" s="14">
        <v>5</v>
      </c>
      <c r="K224" s="15"/>
      <c r="L224" s="19"/>
      <c r="M224" s="143"/>
      <c r="N224" s="143"/>
      <c r="O224" s="15"/>
      <c r="P224" s="15"/>
      <c r="Q224" s="28"/>
      <c r="R224" s="143"/>
      <c r="S224" s="143"/>
      <c r="T224" s="143"/>
      <c r="U224" s="143"/>
      <c r="V224" s="143"/>
      <c r="W224" s="143"/>
      <c r="X224" s="143"/>
    </row>
    <row r="225" spans="1:24" ht="15.75" customHeight="1" x14ac:dyDescent="0.25">
      <c r="A225" s="55"/>
      <c r="B225" s="55"/>
      <c r="C225" s="14" t="s">
        <v>980</v>
      </c>
      <c r="D225" s="14" t="s">
        <v>981</v>
      </c>
      <c r="E225" s="14" t="s">
        <v>981</v>
      </c>
      <c r="F225" s="14">
        <v>177</v>
      </c>
      <c r="G225" s="14" t="s">
        <v>950</v>
      </c>
      <c r="H225" s="14" t="s">
        <v>202</v>
      </c>
      <c r="I225" s="14" t="s">
        <v>980</v>
      </c>
      <c r="J225" s="14">
        <v>1</v>
      </c>
      <c r="K225" s="13"/>
      <c r="L225" s="18"/>
      <c r="M225" s="143"/>
      <c r="N225" s="143"/>
      <c r="O225" s="13"/>
      <c r="P225" s="13"/>
      <c r="Q225" s="28"/>
      <c r="R225" s="143"/>
      <c r="S225" s="143"/>
      <c r="T225" s="143"/>
      <c r="U225" s="143"/>
      <c r="V225" s="143"/>
      <c r="W225" s="143"/>
      <c r="X225" s="143"/>
    </row>
    <row r="226" spans="1:24" ht="15.75" customHeight="1" x14ac:dyDescent="0.25">
      <c r="A226" s="55"/>
      <c r="B226" s="55"/>
      <c r="C226" s="14" t="s">
        <v>982</v>
      </c>
      <c r="D226" s="14" t="s">
        <v>978</v>
      </c>
      <c r="E226" s="14" t="s">
        <v>983</v>
      </c>
      <c r="F226" s="14">
        <v>125</v>
      </c>
      <c r="G226" s="14" t="s">
        <v>950</v>
      </c>
      <c r="H226" s="14" t="s">
        <v>202</v>
      </c>
      <c r="I226" s="14" t="s">
        <v>982</v>
      </c>
      <c r="J226" s="14">
        <v>6</v>
      </c>
      <c r="K226" s="15"/>
      <c r="L226" s="19"/>
      <c r="M226" s="143"/>
      <c r="N226" s="143"/>
      <c r="O226" s="15"/>
      <c r="P226" s="15"/>
      <c r="Q226" s="28"/>
      <c r="R226" s="143"/>
      <c r="S226" s="143"/>
      <c r="T226" s="143"/>
      <c r="U226" s="143"/>
      <c r="V226" s="143"/>
      <c r="W226" s="143"/>
      <c r="X226" s="143"/>
    </row>
    <row r="227" spans="1:24" ht="15.75" customHeight="1" x14ac:dyDescent="0.25">
      <c r="A227" s="55"/>
      <c r="B227" s="55"/>
      <c r="C227" s="14" t="s">
        <v>958</v>
      </c>
      <c r="D227" s="14" t="s">
        <v>959</v>
      </c>
      <c r="E227" s="14" t="s">
        <v>960</v>
      </c>
      <c r="F227" s="14">
        <v>236</v>
      </c>
      <c r="G227" s="14" t="s">
        <v>961</v>
      </c>
      <c r="H227" s="14" t="s">
        <v>962</v>
      </c>
      <c r="I227" s="14" t="s">
        <v>958</v>
      </c>
      <c r="J227" s="14">
        <v>8</v>
      </c>
      <c r="K227" s="13"/>
      <c r="L227" s="18"/>
      <c r="M227" s="143"/>
      <c r="N227" s="143"/>
      <c r="O227" s="13"/>
      <c r="P227" s="13"/>
      <c r="Q227" s="28"/>
      <c r="R227" s="143"/>
      <c r="S227" s="143"/>
      <c r="T227" s="143"/>
      <c r="U227" s="143"/>
      <c r="V227" s="143"/>
      <c r="W227" s="143"/>
      <c r="X227" s="143"/>
    </row>
    <row r="228" spans="1:24" ht="29.25" customHeight="1" x14ac:dyDescent="0.25">
      <c r="A228" s="55"/>
      <c r="B228" s="55"/>
      <c r="C228" s="14" t="s">
        <v>984</v>
      </c>
      <c r="D228" s="14" t="s">
        <v>985</v>
      </c>
      <c r="E228" s="14" t="s">
        <v>986</v>
      </c>
      <c r="F228" s="14">
        <v>12415</v>
      </c>
      <c r="G228" s="14" t="s">
        <v>966</v>
      </c>
      <c r="H228" s="14" t="s">
        <v>820</v>
      </c>
      <c r="I228" s="14" t="s">
        <v>984</v>
      </c>
      <c r="J228" s="14">
        <v>4</v>
      </c>
      <c r="K228" s="15"/>
      <c r="L228" s="19"/>
      <c r="M228" s="143"/>
      <c r="N228" s="143"/>
      <c r="O228" s="15"/>
      <c r="P228" s="15"/>
      <c r="Q228" s="28"/>
      <c r="R228" s="143"/>
      <c r="S228" s="143"/>
      <c r="T228" s="143"/>
      <c r="U228" s="143"/>
      <c r="V228" s="143"/>
      <c r="W228" s="143"/>
      <c r="X228" s="143"/>
    </row>
    <row r="229" spans="1:24" ht="29.25" customHeight="1" x14ac:dyDescent="0.25">
      <c r="A229" s="55"/>
      <c r="B229" s="55"/>
      <c r="C229" s="14" t="s">
        <v>987</v>
      </c>
      <c r="D229" s="14" t="s">
        <v>988</v>
      </c>
      <c r="E229" s="14" t="s">
        <v>989</v>
      </c>
      <c r="F229" s="14">
        <v>4200</v>
      </c>
      <c r="G229" s="14" t="s">
        <v>966</v>
      </c>
      <c r="H229" s="14" t="s">
        <v>820</v>
      </c>
      <c r="I229" s="14" t="s">
        <v>987</v>
      </c>
      <c r="J229" s="14">
        <v>4</v>
      </c>
      <c r="K229" s="13"/>
      <c r="L229" s="18"/>
      <c r="M229" s="143"/>
      <c r="N229" s="143"/>
      <c r="O229" s="13"/>
      <c r="P229" s="13"/>
      <c r="Q229" s="28"/>
      <c r="R229" s="143"/>
      <c r="S229" s="143"/>
      <c r="T229" s="143"/>
      <c r="U229" s="143"/>
      <c r="V229" s="143"/>
      <c r="W229" s="143"/>
      <c r="X229" s="143"/>
    </row>
    <row r="230" spans="1:24" ht="29.25" customHeight="1" x14ac:dyDescent="0.25">
      <c r="A230" s="55"/>
      <c r="B230" s="55"/>
      <c r="C230" s="14" t="s">
        <v>990</v>
      </c>
      <c r="D230" s="14" t="s">
        <v>991</v>
      </c>
      <c r="E230" s="14" t="s">
        <v>992</v>
      </c>
      <c r="F230" s="14">
        <v>9340</v>
      </c>
      <c r="G230" s="14" t="s">
        <v>966</v>
      </c>
      <c r="H230" s="14" t="s">
        <v>820</v>
      </c>
      <c r="I230" s="14" t="s">
        <v>990</v>
      </c>
      <c r="J230" s="14">
        <v>4</v>
      </c>
      <c r="K230" s="15"/>
      <c r="L230" s="19"/>
      <c r="M230" s="143"/>
      <c r="N230" s="143"/>
      <c r="O230" s="15"/>
      <c r="P230" s="15"/>
      <c r="Q230" s="28"/>
      <c r="R230" s="143"/>
      <c r="S230" s="143"/>
      <c r="T230" s="143"/>
      <c r="U230" s="143"/>
      <c r="V230" s="143"/>
      <c r="W230" s="143"/>
      <c r="X230" s="143"/>
    </row>
    <row r="231" spans="1:24" ht="29.25" customHeight="1" x14ac:dyDescent="0.25">
      <c r="A231" s="55"/>
      <c r="B231" s="55"/>
      <c r="C231" s="14" t="s">
        <v>993</v>
      </c>
      <c r="D231" s="14" t="s">
        <v>994</v>
      </c>
      <c r="E231" s="14" t="s">
        <v>995</v>
      </c>
      <c r="F231" s="14">
        <v>5864</v>
      </c>
      <c r="G231" s="14" t="s">
        <v>912</v>
      </c>
      <c r="H231" s="14" t="s">
        <v>240</v>
      </c>
      <c r="I231" s="14" t="s">
        <v>993</v>
      </c>
      <c r="J231" s="14">
        <v>6</v>
      </c>
      <c r="K231" s="13"/>
      <c r="L231" s="18"/>
      <c r="M231" s="143"/>
      <c r="N231" s="143"/>
      <c r="O231" s="13"/>
      <c r="P231" s="13"/>
      <c r="Q231" s="28"/>
      <c r="R231" s="143"/>
      <c r="S231" s="143"/>
      <c r="T231" s="143"/>
      <c r="U231" s="143"/>
      <c r="V231" s="143"/>
      <c r="W231" s="143"/>
      <c r="X231" s="143"/>
    </row>
    <row r="232" spans="1:24" ht="15.75" customHeight="1" x14ac:dyDescent="0.25">
      <c r="A232" s="55"/>
      <c r="B232" s="55"/>
      <c r="C232" s="14" t="s">
        <v>996</v>
      </c>
      <c r="D232" s="14" t="s">
        <v>997</v>
      </c>
      <c r="E232" s="14" t="s">
        <v>998</v>
      </c>
      <c r="F232" s="14">
        <v>504</v>
      </c>
      <c r="G232" s="14" t="s">
        <v>950</v>
      </c>
      <c r="H232" s="14" t="s">
        <v>202</v>
      </c>
      <c r="I232" s="14" t="s">
        <v>996</v>
      </c>
      <c r="J232" s="14">
        <v>2</v>
      </c>
      <c r="K232" s="15"/>
      <c r="L232" s="19"/>
      <c r="M232" s="143"/>
      <c r="N232" s="143"/>
      <c r="O232" s="15"/>
      <c r="P232" s="15"/>
      <c r="Q232" s="28"/>
      <c r="R232" s="143"/>
      <c r="S232" s="143"/>
      <c r="T232" s="143"/>
      <c r="U232" s="143"/>
      <c r="V232" s="143"/>
      <c r="W232" s="143"/>
      <c r="X232" s="143"/>
    </row>
    <row r="233" spans="1:24" ht="15.75" customHeight="1" x14ac:dyDescent="0.25">
      <c r="A233" s="55"/>
      <c r="B233" s="55"/>
      <c r="C233" s="14" t="s">
        <v>999</v>
      </c>
      <c r="D233" s="14" t="s">
        <v>1000</v>
      </c>
      <c r="E233" s="14" t="s">
        <v>1000</v>
      </c>
      <c r="F233" s="14">
        <v>457</v>
      </c>
      <c r="G233" s="14" t="s">
        <v>950</v>
      </c>
      <c r="H233" s="14" t="s">
        <v>202</v>
      </c>
      <c r="I233" s="14" t="s">
        <v>999</v>
      </c>
      <c r="J233" s="14">
        <v>1</v>
      </c>
      <c r="K233" s="13"/>
      <c r="L233" s="18"/>
      <c r="M233" s="143"/>
      <c r="N233" s="143"/>
      <c r="O233" s="13"/>
      <c r="P233" s="13"/>
      <c r="Q233" s="28"/>
      <c r="R233" s="143"/>
      <c r="S233" s="143"/>
      <c r="T233" s="143"/>
      <c r="U233" s="143"/>
      <c r="V233" s="143"/>
      <c r="W233" s="143"/>
      <c r="X233" s="143"/>
    </row>
    <row r="234" spans="1:24" ht="15.75" customHeight="1" x14ac:dyDescent="0.25">
      <c r="A234" s="55"/>
      <c r="B234" s="55"/>
      <c r="C234" s="14" t="s">
        <v>1001</v>
      </c>
      <c r="D234" s="14" t="s">
        <v>1002</v>
      </c>
      <c r="E234" s="14" t="s">
        <v>1002</v>
      </c>
      <c r="F234" s="14">
        <v>319</v>
      </c>
      <c r="G234" s="14" t="s">
        <v>950</v>
      </c>
      <c r="H234" s="14" t="s">
        <v>202</v>
      </c>
      <c r="I234" s="14" t="s">
        <v>1001</v>
      </c>
      <c r="J234" s="14">
        <v>1</v>
      </c>
      <c r="K234" s="15"/>
      <c r="L234" s="19"/>
      <c r="M234" s="143"/>
      <c r="N234" s="143"/>
      <c r="O234" s="15"/>
      <c r="P234" s="15"/>
      <c r="Q234" s="28"/>
      <c r="R234" s="143"/>
      <c r="S234" s="143"/>
      <c r="T234" s="143"/>
      <c r="U234" s="143"/>
      <c r="V234" s="143"/>
      <c r="W234" s="143"/>
      <c r="X234" s="143"/>
    </row>
    <row r="235" spans="1:24" ht="15.75" customHeight="1" x14ac:dyDescent="0.25">
      <c r="A235" s="55"/>
      <c r="B235" s="55"/>
      <c r="C235" s="14" t="s">
        <v>1003</v>
      </c>
      <c r="D235" s="14" t="s">
        <v>1004</v>
      </c>
      <c r="E235" s="14" t="s">
        <v>1004</v>
      </c>
      <c r="F235" s="14">
        <v>207</v>
      </c>
      <c r="G235" s="14" t="s">
        <v>706</v>
      </c>
      <c r="H235" s="14" t="s">
        <v>202</v>
      </c>
      <c r="I235" s="14" t="s">
        <v>1003</v>
      </c>
      <c r="J235" s="14">
        <v>1</v>
      </c>
      <c r="K235" s="13"/>
      <c r="L235" s="18"/>
      <c r="M235" s="143"/>
      <c r="N235" s="143"/>
      <c r="O235" s="13"/>
      <c r="P235" s="13"/>
      <c r="Q235" s="28"/>
      <c r="R235" s="143"/>
      <c r="S235" s="143"/>
      <c r="T235" s="143"/>
      <c r="U235" s="143"/>
      <c r="V235" s="143"/>
      <c r="W235" s="143"/>
      <c r="X235" s="143"/>
    </row>
    <row r="236" spans="1:24" ht="15.75" customHeight="1" x14ac:dyDescent="0.25">
      <c r="A236" s="55"/>
      <c r="B236" s="55"/>
      <c r="C236" s="14" t="s">
        <v>1005</v>
      </c>
      <c r="D236" s="14" t="s">
        <v>1006</v>
      </c>
      <c r="E236" s="14" t="s">
        <v>1006</v>
      </c>
      <c r="F236" s="14">
        <v>196</v>
      </c>
      <c r="G236" s="14" t="s">
        <v>950</v>
      </c>
      <c r="H236" s="14" t="s">
        <v>202</v>
      </c>
      <c r="I236" s="14" t="s">
        <v>1005</v>
      </c>
      <c r="J236" s="14">
        <v>1</v>
      </c>
      <c r="K236" s="15"/>
      <c r="L236" s="19"/>
      <c r="M236" s="143"/>
      <c r="N236" s="143"/>
      <c r="O236" s="15"/>
      <c r="P236" s="15"/>
      <c r="Q236" s="28"/>
      <c r="R236" s="143"/>
      <c r="S236" s="143"/>
      <c r="T236" s="143"/>
      <c r="U236" s="143"/>
      <c r="V236" s="143"/>
      <c r="W236" s="143"/>
      <c r="X236" s="143"/>
    </row>
    <row r="237" spans="1:24" ht="15.75" customHeight="1" x14ac:dyDescent="0.25">
      <c r="A237" s="55"/>
      <c r="B237" s="55"/>
      <c r="C237" s="14" t="s">
        <v>1007</v>
      </c>
      <c r="D237" s="14" t="s">
        <v>1008</v>
      </c>
      <c r="E237" s="14" t="s">
        <v>1008</v>
      </c>
      <c r="F237" s="14">
        <v>131</v>
      </c>
      <c r="G237" s="14" t="s">
        <v>950</v>
      </c>
      <c r="H237" s="14" t="s">
        <v>202</v>
      </c>
      <c r="I237" s="14" t="s">
        <v>1007</v>
      </c>
      <c r="J237" s="14">
        <v>1</v>
      </c>
      <c r="K237" s="13"/>
      <c r="L237" s="18"/>
      <c r="M237" s="143"/>
      <c r="N237" s="143"/>
      <c r="O237" s="13"/>
      <c r="P237" s="13"/>
      <c r="Q237" s="28"/>
      <c r="R237" s="143"/>
      <c r="S237" s="143"/>
      <c r="T237" s="143"/>
      <c r="U237" s="143"/>
      <c r="V237" s="143"/>
      <c r="W237" s="143"/>
      <c r="X237" s="143"/>
    </row>
    <row r="238" spans="1:24" ht="15.75" customHeight="1" x14ac:dyDescent="0.25">
      <c r="A238" s="55"/>
      <c r="B238" s="55"/>
      <c r="C238" s="14" t="s">
        <v>1009</v>
      </c>
      <c r="D238" s="14" t="s">
        <v>1010</v>
      </c>
      <c r="E238" s="14" t="s">
        <v>1011</v>
      </c>
      <c r="F238" s="14">
        <v>200</v>
      </c>
      <c r="G238" s="14" t="s">
        <v>1012</v>
      </c>
      <c r="H238" s="14" t="s">
        <v>215</v>
      </c>
      <c r="I238" s="14" t="s">
        <v>1009</v>
      </c>
      <c r="J238" s="14">
        <v>3</v>
      </c>
      <c r="K238" s="15"/>
      <c r="L238" s="19"/>
      <c r="M238" s="143"/>
      <c r="N238" s="143"/>
      <c r="O238" s="15"/>
      <c r="P238" s="15"/>
      <c r="Q238" s="28"/>
      <c r="R238" s="143"/>
      <c r="S238" s="143"/>
      <c r="T238" s="143"/>
      <c r="U238" s="143"/>
      <c r="V238" s="143"/>
      <c r="W238" s="143"/>
      <c r="X238" s="143"/>
    </row>
    <row r="239" spans="1:24" ht="15.75" customHeight="1" x14ac:dyDescent="0.25">
      <c r="A239" s="55"/>
      <c r="B239" s="55"/>
      <c r="C239" s="14" t="s">
        <v>1013</v>
      </c>
      <c r="D239" s="14" t="s">
        <v>1014</v>
      </c>
      <c r="E239" s="14" t="s">
        <v>1014</v>
      </c>
      <c r="F239" s="14">
        <v>313</v>
      </c>
      <c r="G239" s="14" t="s">
        <v>799</v>
      </c>
      <c r="H239" s="14" t="s">
        <v>215</v>
      </c>
      <c r="I239" s="14" t="s">
        <v>1013</v>
      </c>
      <c r="J239" s="14">
        <v>1</v>
      </c>
      <c r="K239" s="13"/>
      <c r="L239" s="18"/>
      <c r="M239" s="143"/>
      <c r="N239" s="143"/>
      <c r="O239" s="13"/>
      <c r="P239" s="13"/>
      <c r="Q239" s="28"/>
      <c r="R239" s="143"/>
      <c r="S239" s="143"/>
      <c r="T239" s="143"/>
      <c r="U239" s="143"/>
      <c r="V239" s="143"/>
      <c r="W239" s="143"/>
      <c r="X239" s="143"/>
    </row>
    <row r="240" spans="1:24" ht="15.75" customHeight="1" x14ac:dyDescent="0.25">
      <c r="A240" s="55"/>
      <c r="B240" s="55"/>
      <c r="C240" s="14" t="s">
        <v>1015</v>
      </c>
      <c r="D240" s="14" t="s">
        <v>1016</v>
      </c>
      <c r="E240" s="14" t="s">
        <v>1017</v>
      </c>
      <c r="F240" s="14">
        <v>123</v>
      </c>
      <c r="G240" s="14" t="s">
        <v>1018</v>
      </c>
      <c r="H240" s="14" t="s">
        <v>962</v>
      </c>
      <c r="I240" s="14" t="s">
        <v>1015</v>
      </c>
      <c r="J240" s="14">
        <v>14</v>
      </c>
      <c r="K240" s="15"/>
      <c r="L240" s="19"/>
      <c r="M240" s="143"/>
      <c r="N240" s="143"/>
      <c r="O240" s="15"/>
      <c r="P240" s="15"/>
      <c r="Q240" s="28"/>
      <c r="R240" s="143"/>
      <c r="S240" s="143"/>
      <c r="T240" s="143"/>
      <c r="U240" s="143"/>
      <c r="V240" s="143"/>
      <c r="W240" s="143"/>
      <c r="X240" s="143"/>
    </row>
    <row r="241" spans="1:24" ht="29.25" customHeight="1" x14ac:dyDescent="0.25">
      <c r="A241" s="55"/>
      <c r="B241" s="55"/>
      <c r="C241" s="14" t="s">
        <v>1019</v>
      </c>
      <c r="D241" s="14" t="s">
        <v>1020</v>
      </c>
      <c r="E241" s="14" t="s">
        <v>1021</v>
      </c>
      <c r="F241" s="14">
        <v>6035</v>
      </c>
      <c r="G241" s="14" t="s">
        <v>118</v>
      </c>
      <c r="H241" s="14" t="s">
        <v>820</v>
      </c>
      <c r="I241" s="14" t="s">
        <v>1019</v>
      </c>
      <c r="J241" s="14">
        <v>7</v>
      </c>
      <c r="K241" s="13"/>
      <c r="L241" s="18"/>
      <c r="M241" s="143"/>
      <c r="N241" s="143"/>
      <c r="O241" s="13"/>
      <c r="P241" s="13"/>
      <c r="Q241" s="28"/>
      <c r="R241" s="143"/>
      <c r="S241" s="143"/>
      <c r="T241" s="143"/>
      <c r="U241" s="143"/>
      <c r="V241" s="143"/>
      <c r="W241" s="143"/>
      <c r="X241" s="143"/>
    </row>
    <row r="242" spans="1:24" ht="29.25" customHeight="1" x14ac:dyDescent="0.25">
      <c r="A242" s="55"/>
      <c r="B242" s="55"/>
      <c r="C242" s="14" t="s">
        <v>1022</v>
      </c>
      <c r="D242" s="14" t="s">
        <v>1023</v>
      </c>
      <c r="E242" s="14" t="s">
        <v>1024</v>
      </c>
      <c r="F242" s="14">
        <v>8227</v>
      </c>
      <c r="G242" s="14" t="s">
        <v>118</v>
      </c>
      <c r="H242" s="14" t="s">
        <v>820</v>
      </c>
      <c r="I242" s="14" t="s">
        <v>1022</v>
      </c>
      <c r="J242" s="14">
        <v>4</v>
      </c>
      <c r="K242" s="15"/>
      <c r="L242" s="19"/>
      <c r="M242" s="143"/>
      <c r="N242" s="143"/>
      <c r="O242" s="15"/>
      <c r="P242" s="15"/>
      <c r="Q242" s="28"/>
      <c r="R242" s="143"/>
      <c r="S242" s="143"/>
      <c r="T242" s="143"/>
      <c r="U242" s="143"/>
      <c r="V242" s="143"/>
      <c r="W242" s="143"/>
      <c r="X242" s="143"/>
    </row>
    <row r="243" spans="1:24" ht="29.25" customHeight="1" x14ac:dyDescent="0.25">
      <c r="A243" s="55"/>
      <c r="B243" s="55"/>
      <c r="C243" s="14" t="s">
        <v>1025</v>
      </c>
      <c r="D243" s="14" t="s">
        <v>1026</v>
      </c>
      <c r="E243" s="14" t="s">
        <v>1027</v>
      </c>
      <c r="F243" s="14">
        <v>11642</v>
      </c>
      <c r="G243" s="14" t="s">
        <v>118</v>
      </c>
      <c r="H243" s="14" t="s">
        <v>820</v>
      </c>
      <c r="I243" s="14" t="s">
        <v>1025</v>
      </c>
      <c r="J243" s="14">
        <v>3</v>
      </c>
      <c r="K243" s="13"/>
      <c r="L243" s="18"/>
      <c r="M243" s="143"/>
      <c r="N243" s="143"/>
      <c r="O243" s="13"/>
      <c r="P243" s="13"/>
      <c r="Q243" s="28"/>
      <c r="R243" s="143"/>
      <c r="S243" s="143"/>
      <c r="T243" s="143"/>
      <c r="U243" s="143"/>
      <c r="V243" s="143"/>
      <c r="W243" s="143"/>
      <c r="X243" s="143"/>
    </row>
    <row r="244" spans="1:24" ht="29.25" customHeight="1" x14ac:dyDescent="0.25">
      <c r="A244" s="55"/>
      <c r="B244" s="55"/>
      <c r="C244" s="14" t="s">
        <v>1028</v>
      </c>
      <c r="D244" s="14" t="s">
        <v>1029</v>
      </c>
      <c r="E244" s="14" t="s">
        <v>1029</v>
      </c>
      <c r="F244" s="14">
        <v>12870</v>
      </c>
      <c r="G244" s="14" t="s">
        <v>752</v>
      </c>
      <c r="H244" s="14" t="s">
        <v>240</v>
      </c>
      <c r="I244" s="14" t="s">
        <v>1028</v>
      </c>
      <c r="J244" s="14">
        <v>1</v>
      </c>
      <c r="K244" s="15"/>
      <c r="L244" s="19"/>
      <c r="M244" s="143"/>
      <c r="N244" s="143"/>
      <c r="O244" s="15"/>
      <c r="P244" s="15"/>
      <c r="Q244" s="28"/>
      <c r="R244" s="143"/>
      <c r="S244" s="143"/>
      <c r="T244" s="143"/>
      <c r="U244" s="143"/>
      <c r="V244" s="143"/>
      <c r="W244" s="143"/>
      <c r="X244" s="143"/>
    </row>
    <row r="245" spans="1:24" ht="29.25" customHeight="1" x14ac:dyDescent="0.25">
      <c r="A245" s="55"/>
      <c r="B245" s="55"/>
      <c r="C245" s="14" t="s">
        <v>1030</v>
      </c>
      <c r="D245" s="14" t="s">
        <v>1029</v>
      </c>
      <c r="E245" s="14" t="s">
        <v>1029</v>
      </c>
      <c r="F245" s="14">
        <v>12870</v>
      </c>
      <c r="G245" s="14" t="s">
        <v>752</v>
      </c>
      <c r="H245" s="14" t="s">
        <v>240</v>
      </c>
      <c r="I245" s="14" t="s">
        <v>1030</v>
      </c>
      <c r="J245" s="14">
        <v>1</v>
      </c>
      <c r="K245" s="13"/>
      <c r="L245" s="18"/>
      <c r="M245" s="143"/>
      <c r="N245" s="143"/>
      <c r="O245" s="13"/>
      <c r="P245" s="13"/>
      <c r="Q245" s="28"/>
      <c r="R245" s="143"/>
      <c r="S245" s="143"/>
      <c r="T245" s="143"/>
      <c r="U245" s="143"/>
      <c r="V245" s="143"/>
      <c r="W245" s="143"/>
      <c r="X245" s="143"/>
    </row>
    <row r="246" spans="1:24" ht="29.25" customHeight="1" x14ac:dyDescent="0.25">
      <c r="A246" s="55"/>
      <c r="B246" s="55"/>
      <c r="C246" s="14" t="s">
        <v>1031</v>
      </c>
      <c r="D246" s="14" t="s">
        <v>1032</v>
      </c>
      <c r="E246" s="14" t="s">
        <v>1032</v>
      </c>
      <c r="F246" s="14">
        <v>12651</v>
      </c>
      <c r="G246" s="14" t="s">
        <v>752</v>
      </c>
      <c r="H246" s="14" t="s">
        <v>240</v>
      </c>
      <c r="I246" s="14" t="s">
        <v>1031</v>
      </c>
      <c r="J246" s="14">
        <v>1</v>
      </c>
      <c r="K246" s="15"/>
      <c r="L246" s="19"/>
      <c r="M246" s="143"/>
      <c r="N246" s="143"/>
      <c r="O246" s="15"/>
      <c r="P246" s="15"/>
      <c r="Q246" s="28"/>
      <c r="R246" s="143"/>
      <c r="S246" s="143"/>
      <c r="T246" s="143"/>
      <c r="U246" s="143"/>
      <c r="V246" s="143"/>
      <c r="W246" s="143"/>
      <c r="X246" s="143"/>
    </row>
    <row r="247" spans="1:24" ht="29.25" customHeight="1" x14ac:dyDescent="0.25">
      <c r="A247" s="55"/>
      <c r="B247" s="55"/>
      <c r="C247" s="14" t="s">
        <v>1033</v>
      </c>
      <c r="D247" s="14" t="s">
        <v>1034</v>
      </c>
      <c r="E247" s="14" t="s">
        <v>1034</v>
      </c>
      <c r="F247" s="14">
        <v>12914</v>
      </c>
      <c r="G247" s="14" t="s">
        <v>752</v>
      </c>
      <c r="H247" s="14" t="s">
        <v>240</v>
      </c>
      <c r="I247" s="14" t="s">
        <v>1033</v>
      </c>
      <c r="J247" s="14">
        <v>1</v>
      </c>
      <c r="K247" s="13"/>
      <c r="L247" s="18"/>
      <c r="M247" s="143"/>
      <c r="N247" s="143"/>
      <c r="O247" s="13"/>
      <c r="P247" s="13"/>
      <c r="Q247" s="28"/>
      <c r="R247" s="143"/>
      <c r="S247" s="143"/>
      <c r="T247" s="143"/>
      <c r="U247" s="143"/>
      <c r="V247" s="143"/>
      <c r="W247" s="143"/>
      <c r="X247" s="143"/>
    </row>
    <row r="248" spans="1:24" ht="29.25" customHeight="1" x14ac:dyDescent="0.25">
      <c r="A248" s="55"/>
      <c r="B248" s="55"/>
      <c r="C248" s="14" t="s">
        <v>1035</v>
      </c>
      <c r="D248" s="14" t="s">
        <v>1036</v>
      </c>
      <c r="E248" s="14" t="s">
        <v>1036</v>
      </c>
      <c r="F248" s="14">
        <v>4697</v>
      </c>
      <c r="G248" s="14" t="s">
        <v>752</v>
      </c>
      <c r="H248" s="14" t="s">
        <v>240</v>
      </c>
      <c r="I248" s="14" t="s">
        <v>1035</v>
      </c>
      <c r="J248" s="14">
        <v>1</v>
      </c>
      <c r="K248" s="15"/>
      <c r="L248" s="19"/>
      <c r="M248" s="143"/>
      <c r="N248" s="143"/>
      <c r="O248" s="15"/>
      <c r="P248" s="15"/>
      <c r="Q248" s="28"/>
      <c r="R248" s="143"/>
      <c r="S248" s="143"/>
      <c r="T248" s="143"/>
      <c r="U248" s="143"/>
      <c r="V248" s="143"/>
      <c r="W248" s="143"/>
      <c r="X248" s="143"/>
    </row>
    <row r="249" spans="1:24" ht="15.75" customHeight="1" x14ac:dyDescent="0.25">
      <c r="A249" s="55"/>
      <c r="B249" s="55"/>
      <c r="C249" s="14" t="s">
        <v>267</v>
      </c>
      <c r="D249" s="14" t="s">
        <v>663</v>
      </c>
      <c r="E249" s="14" t="s">
        <v>1037</v>
      </c>
      <c r="F249" s="14">
        <v>1577</v>
      </c>
      <c r="G249" s="14" t="s">
        <v>129</v>
      </c>
      <c r="H249" s="14" t="s">
        <v>1038</v>
      </c>
      <c r="I249" s="14" t="s">
        <v>267</v>
      </c>
      <c r="J249" s="14">
        <v>25</v>
      </c>
      <c r="K249" s="13"/>
      <c r="L249" s="18"/>
      <c r="M249" s="143"/>
      <c r="N249" s="143"/>
      <c r="O249" s="13"/>
      <c r="P249" s="13"/>
      <c r="Q249" s="28"/>
      <c r="R249" s="143"/>
      <c r="S249" s="143"/>
      <c r="T249" s="143"/>
      <c r="U249" s="143"/>
      <c r="V249" s="143"/>
      <c r="W249" s="143"/>
      <c r="X249" s="143"/>
    </row>
    <row r="250" spans="1:24" ht="15.75" customHeight="1" x14ac:dyDescent="0.25">
      <c r="A250" s="55"/>
      <c r="B250" s="55"/>
      <c r="C250" s="14" t="s">
        <v>1039</v>
      </c>
      <c r="D250" s="14" t="s">
        <v>1040</v>
      </c>
      <c r="E250" s="14" t="s">
        <v>1041</v>
      </c>
      <c r="F250" s="14">
        <v>180</v>
      </c>
      <c r="G250" s="14" t="s">
        <v>1042</v>
      </c>
      <c r="H250" s="14" t="s">
        <v>215</v>
      </c>
      <c r="I250" s="14" t="s">
        <v>1039</v>
      </c>
      <c r="J250" s="14">
        <v>19</v>
      </c>
      <c r="K250" s="15"/>
      <c r="L250" s="19"/>
      <c r="M250" s="143"/>
      <c r="N250" s="143"/>
      <c r="O250" s="15"/>
      <c r="P250" s="15"/>
      <c r="Q250" s="28"/>
      <c r="R250" s="143"/>
      <c r="S250" s="143"/>
      <c r="T250" s="143"/>
      <c r="U250" s="143"/>
      <c r="V250" s="143"/>
      <c r="W250" s="143"/>
      <c r="X250" s="143"/>
    </row>
    <row r="251" spans="1:24" ht="43.5" customHeight="1" x14ac:dyDescent="0.25">
      <c r="A251" s="55"/>
      <c r="B251" s="55"/>
      <c r="C251" s="14" t="s">
        <v>278</v>
      </c>
      <c r="D251" s="14" t="s">
        <v>1043</v>
      </c>
      <c r="E251" s="14" t="s">
        <v>1044</v>
      </c>
      <c r="F251" s="14">
        <v>7120</v>
      </c>
      <c r="G251" s="14" t="s">
        <v>966</v>
      </c>
      <c r="H251" s="14" t="s">
        <v>277</v>
      </c>
      <c r="I251" s="14" t="s">
        <v>278</v>
      </c>
      <c r="J251" s="14">
        <v>2</v>
      </c>
      <c r="K251" s="13"/>
      <c r="L251" s="18"/>
      <c r="M251" s="143"/>
      <c r="N251" s="143"/>
      <c r="O251" s="13"/>
      <c r="P251" s="13"/>
      <c r="Q251" s="28"/>
      <c r="R251" s="143"/>
      <c r="S251" s="143"/>
      <c r="T251" s="143"/>
      <c r="U251" s="143"/>
      <c r="V251" s="143"/>
      <c r="W251" s="143"/>
      <c r="X251" s="143"/>
    </row>
    <row r="252" spans="1:24" ht="43.5" customHeight="1" x14ac:dyDescent="0.25">
      <c r="A252" s="55"/>
      <c r="B252" s="55"/>
      <c r="C252" s="14" t="s">
        <v>280</v>
      </c>
      <c r="D252" s="14" t="s">
        <v>1045</v>
      </c>
      <c r="E252" s="14" t="s">
        <v>1046</v>
      </c>
      <c r="F252" s="14">
        <v>3567</v>
      </c>
      <c r="G252" s="14" t="s">
        <v>966</v>
      </c>
      <c r="H252" s="14" t="s">
        <v>277</v>
      </c>
      <c r="I252" s="14" t="s">
        <v>280</v>
      </c>
      <c r="J252" s="14">
        <v>2</v>
      </c>
      <c r="K252" s="15"/>
      <c r="L252" s="19"/>
      <c r="M252" s="143"/>
      <c r="N252" s="143"/>
      <c r="O252" s="15"/>
      <c r="P252" s="15"/>
      <c r="Q252" s="28"/>
      <c r="R252" s="143"/>
      <c r="S252" s="143"/>
      <c r="T252" s="143"/>
      <c r="U252" s="143"/>
      <c r="V252" s="143"/>
      <c r="W252" s="143"/>
      <c r="X252" s="143"/>
    </row>
    <row r="253" spans="1:24" ht="43.5" customHeight="1" x14ac:dyDescent="0.25">
      <c r="A253" s="55"/>
      <c r="B253" s="55"/>
      <c r="C253" s="14" t="s">
        <v>282</v>
      </c>
      <c r="D253" s="14" t="s">
        <v>1047</v>
      </c>
      <c r="E253" s="14" t="s">
        <v>1048</v>
      </c>
      <c r="F253" s="14">
        <v>5805</v>
      </c>
      <c r="G253" s="14" t="s">
        <v>966</v>
      </c>
      <c r="H253" s="14" t="s">
        <v>277</v>
      </c>
      <c r="I253" s="14" t="s">
        <v>282</v>
      </c>
      <c r="J253" s="14">
        <v>2</v>
      </c>
      <c r="K253" s="13"/>
      <c r="L253" s="18"/>
      <c r="M253" s="143"/>
      <c r="N253" s="143"/>
      <c r="O253" s="13"/>
      <c r="P253" s="13"/>
      <c r="Q253" s="28"/>
      <c r="R253" s="143"/>
      <c r="S253" s="143"/>
      <c r="T253" s="143"/>
      <c r="U253" s="143"/>
      <c r="V253" s="143"/>
      <c r="W253" s="143"/>
      <c r="X253" s="143"/>
    </row>
    <row r="254" spans="1:24" ht="43.5" customHeight="1" x14ac:dyDescent="0.25">
      <c r="A254" s="55"/>
      <c r="B254" s="55"/>
      <c r="C254" s="14" t="s">
        <v>283</v>
      </c>
      <c r="D254" s="14" t="s">
        <v>1049</v>
      </c>
      <c r="E254" s="14" t="s">
        <v>1050</v>
      </c>
      <c r="F254" s="14">
        <v>3860</v>
      </c>
      <c r="G254" s="14" t="s">
        <v>966</v>
      </c>
      <c r="H254" s="14" t="s">
        <v>277</v>
      </c>
      <c r="I254" s="14" t="s">
        <v>283</v>
      </c>
      <c r="J254" s="14">
        <v>2</v>
      </c>
      <c r="K254" s="15"/>
      <c r="L254" s="19"/>
      <c r="M254" s="143"/>
      <c r="N254" s="143"/>
      <c r="O254" s="15"/>
      <c r="P254" s="15"/>
      <c r="Q254" s="28"/>
      <c r="R254" s="143"/>
      <c r="S254" s="143"/>
      <c r="T254" s="143"/>
      <c r="U254" s="143"/>
      <c r="V254" s="143"/>
      <c r="W254" s="143"/>
      <c r="X254" s="143"/>
    </row>
    <row r="255" spans="1:24" ht="43.5" customHeight="1" x14ac:dyDescent="0.25">
      <c r="A255" s="55"/>
      <c r="B255" s="55"/>
      <c r="C255" s="14" t="s">
        <v>284</v>
      </c>
      <c r="D255" s="14" t="s">
        <v>1051</v>
      </c>
      <c r="E255" s="14" t="s">
        <v>1052</v>
      </c>
      <c r="F255" s="14">
        <v>4660</v>
      </c>
      <c r="G255" s="14" t="s">
        <v>966</v>
      </c>
      <c r="H255" s="14" t="s">
        <v>277</v>
      </c>
      <c r="I255" s="14" t="s">
        <v>284</v>
      </c>
      <c r="J255" s="14">
        <v>2</v>
      </c>
      <c r="K255" s="13"/>
      <c r="L255" s="18"/>
      <c r="M255" s="143"/>
      <c r="N255" s="143"/>
      <c r="O255" s="13"/>
      <c r="P255" s="13"/>
      <c r="Q255" s="28"/>
      <c r="R255" s="143"/>
      <c r="S255" s="143"/>
      <c r="T255" s="143"/>
      <c r="U255" s="143"/>
      <c r="V255" s="143"/>
      <c r="W255" s="143"/>
      <c r="X255" s="143"/>
    </row>
    <row r="256" spans="1:24" ht="43.5" customHeight="1" x14ac:dyDescent="0.25">
      <c r="A256" s="55"/>
      <c r="B256" s="55"/>
      <c r="C256" s="14" t="s">
        <v>285</v>
      </c>
      <c r="D256" s="14" t="s">
        <v>1053</v>
      </c>
      <c r="E256" s="14" t="s">
        <v>1054</v>
      </c>
      <c r="F256" s="14">
        <v>5255</v>
      </c>
      <c r="G256" s="14" t="s">
        <v>966</v>
      </c>
      <c r="H256" s="14" t="s">
        <v>277</v>
      </c>
      <c r="I256" s="14" t="s">
        <v>285</v>
      </c>
      <c r="J256" s="14">
        <v>2</v>
      </c>
      <c r="K256" s="15"/>
      <c r="L256" s="19"/>
      <c r="M256" s="143"/>
      <c r="N256" s="143"/>
      <c r="O256" s="15"/>
      <c r="P256" s="15"/>
      <c r="Q256" s="28"/>
      <c r="R256" s="143"/>
      <c r="S256" s="143"/>
      <c r="T256" s="143"/>
      <c r="U256" s="143"/>
      <c r="V256" s="143"/>
      <c r="W256" s="143"/>
      <c r="X256" s="143"/>
    </row>
    <row r="257" spans="1:24" ht="43.5" customHeight="1" x14ac:dyDescent="0.25">
      <c r="A257" s="55"/>
      <c r="B257" s="55"/>
      <c r="C257" s="14" t="s">
        <v>287</v>
      </c>
      <c r="D257" s="14" t="s">
        <v>1055</v>
      </c>
      <c r="E257" s="14" t="s">
        <v>1056</v>
      </c>
      <c r="F257" s="14">
        <v>4100</v>
      </c>
      <c r="G257" s="14" t="s">
        <v>966</v>
      </c>
      <c r="H257" s="14" t="s">
        <v>277</v>
      </c>
      <c r="I257" s="14" t="s">
        <v>287</v>
      </c>
      <c r="J257" s="14">
        <v>2</v>
      </c>
      <c r="K257" s="13"/>
      <c r="L257" s="18"/>
      <c r="M257" s="143"/>
      <c r="N257" s="143"/>
      <c r="O257" s="13"/>
      <c r="P257" s="13"/>
      <c r="Q257" s="28"/>
      <c r="R257" s="143"/>
      <c r="S257" s="143"/>
      <c r="T257" s="143"/>
      <c r="U257" s="143"/>
      <c r="V257" s="143"/>
      <c r="W257" s="143"/>
      <c r="X257" s="143"/>
    </row>
    <row r="258" spans="1:24" ht="43.5" customHeight="1" x14ac:dyDescent="0.25">
      <c r="A258" s="55"/>
      <c r="B258" s="55"/>
      <c r="C258" s="14" t="s">
        <v>289</v>
      </c>
      <c r="D258" s="14" t="s">
        <v>1057</v>
      </c>
      <c r="E258" s="14" t="s">
        <v>1058</v>
      </c>
      <c r="F258" s="14">
        <v>4530</v>
      </c>
      <c r="G258" s="14" t="s">
        <v>966</v>
      </c>
      <c r="H258" s="14" t="s">
        <v>277</v>
      </c>
      <c r="I258" s="14" t="s">
        <v>289</v>
      </c>
      <c r="J258" s="14">
        <v>2</v>
      </c>
      <c r="K258" s="15"/>
      <c r="L258" s="19"/>
      <c r="M258" s="143"/>
      <c r="N258" s="143"/>
      <c r="O258" s="15"/>
      <c r="P258" s="15"/>
      <c r="Q258" s="28"/>
      <c r="R258" s="143"/>
      <c r="S258" s="143"/>
      <c r="T258" s="143"/>
      <c r="U258" s="143"/>
      <c r="V258" s="143"/>
      <c r="W258" s="143"/>
      <c r="X258" s="143"/>
    </row>
    <row r="259" spans="1:24" ht="43.5" customHeight="1" x14ac:dyDescent="0.25">
      <c r="A259" s="55"/>
      <c r="B259" s="55"/>
      <c r="C259" s="14" t="s">
        <v>290</v>
      </c>
      <c r="D259" s="14" t="s">
        <v>1059</v>
      </c>
      <c r="E259" s="14" t="s">
        <v>1060</v>
      </c>
      <c r="F259" s="14">
        <v>6610</v>
      </c>
      <c r="G259" s="14" t="s">
        <v>966</v>
      </c>
      <c r="H259" s="14" t="s">
        <v>277</v>
      </c>
      <c r="I259" s="14" t="s">
        <v>290</v>
      </c>
      <c r="J259" s="14">
        <v>2</v>
      </c>
      <c r="K259" s="13"/>
      <c r="L259" s="18"/>
      <c r="M259" s="143"/>
      <c r="N259" s="143"/>
      <c r="O259" s="13"/>
      <c r="P259" s="13"/>
      <c r="Q259" s="28"/>
      <c r="R259" s="143"/>
      <c r="S259" s="143"/>
      <c r="T259" s="143"/>
      <c r="U259" s="143"/>
      <c r="V259" s="143"/>
      <c r="W259" s="143"/>
      <c r="X259" s="143"/>
    </row>
    <row r="260" spans="1:24" ht="43.5" customHeight="1" x14ac:dyDescent="0.25">
      <c r="A260" s="55"/>
      <c r="B260" s="55"/>
      <c r="C260" s="14" t="s">
        <v>291</v>
      </c>
      <c r="D260" s="14" t="s">
        <v>1061</v>
      </c>
      <c r="E260" s="14" t="s">
        <v>1062</v>
      </c>
      <c r="F260" s="14">
        <v>8060</v>
      </c>
      <c r="G260" s="14" t="s">
        <v>966</v>
      </c>
      <c r="H260" s="14" t="s">
        <v>277</v>
      </c>
      <c r="I260" s="14" t="s">
        <v>291</v>
      </c>
      <c r="J260" s="14">
        <v>2</v>
      </c>
      <c r="K260" s="15"/>
      <c r="L260" s="19"/>
      <c r="M260" s="143"/>
      <c r="N260" s="143"/>
      <c r="O260" s="15"/>
      <c r="P260" s="15"/>
      <c r="Q260" s="28"/>
      <c r="R260" s="143"/>
      <c r="S260" s="143"/>
      <c r="T260" s="143"/>
      <c r="U260" s="143"/>
      <c r="V260" s="143"/>
      <c r="W260" s="143"/>
      <c r="X260" s="143"/>
    </row>
    <row r="261" spans="1:24" ht="43.5" customHeight="1" x14ac:dyDescent="0.25">
      <c r="A261" s="55"/>
      <c r="B261" s="55"/>
      <c r="C261" s="14" t="s">
        <v>296</v>
      </c>
      <c r="D261" s="14" t="s">
        <v>1063</v>
      </c>
      <c r="E261" s="14" t="s">
        <v>1063</v>
      </c>
      <c r="F261" s="14">
        <v>3230</v>
      </c>
      <c r="G261" s="14" t="s">
        <v>122</v>
      </c>
      <c r="H261" s="14" t="s">
        <v>277</v>
      </c>
      <c r="I261" s="14" t="s">
        <v>296</v>
      </c>
      <c r="J261" s="14">
        <v>1</v>
      </c>
      <c r="K261" s="13"/>
      <c r="L261" s="18"/>
      <c r="M261" s="143"/>
      <c r="N261" s="143"/>
      <c r="O261" s="13"/>
      <c r="P261" s="13"/>
      <c r="Q261" s="28"/>
      <c r="R261" s="143"/>
      <c r="S261" s="143"/>
      <c r="T261" s="143"/>
      <c r="U261" s="143"/>
      <c r="V261" s="143"/>
      <c r="W261" s="143"/>
      <c r="X261" s="143"/>
    </row>
    <row r="262" spans="1:24" ht="43.5" customHeight="1" x14ac:dyDescent="0.25">
      <c r="A262" s="55"/>
      <c r="B262" s="55"/>
      <c r="C262" s="14" t="s">
        <v>297</v>
      </c>
      <c r="D262" s="14" t="s">
        <v>1064</v>
      </c>
      <c r="E262" s="14" t="s">
        <v>1065</v>
      </c>
      <c r="F262" s="14">
        <v>5485</v>
      </c>
      <c r="G262" s="14" t="s">
        <v>966</v>
      </c>
      <c r="H262" s="14" t="s">
        <v>277</v>
      </c>
      <c r="I262" s="14" t="s">
        <v>297</v>
      </c>
      <c r="J262" s="14">
        <v>2</v>
      </c>
      <c r="K262" s="15"/>
      <c r="L262" s="19"/>
      <c r="M262" s="143"/>
      <c r="N262" s="143"/>
      <c r="O262" s="15"/>
      <c r="P262" s="15"/>
      <c r="Q262" s="28"/>
      <c r="R262" s="143"/>
      <c r="S262" s="143"/>
      <c r="T262" s="143"/>
      <c r="U262" s="143"/>
      <c r="V262" s="143"/>
      <c r="W262" s="143"/>
      <c r="X262" s="143"/>
    </row>
    <row r="263" spans="1:24" ht="43.5" customHeight="1" x14ac:dyDescent="0.25">
      <c r="A263" s="55"/>
      <c r="B263" s="55"/>
      <c r="C263" s="14" t="s">
        <v>1066</v>
      </c>
      <c r="D263" s="14" t="s">
        <v>1067</v>
      </c>
      <c r="E263" s="14" t="s">
        <v>1068</v>
      </c>
      <c r="F263" s="14">
        <v>4525</v>
      </c>
      <c r="G263" s="14" t="s">
        <v>966</v>
      </c>
      <c r="H263" s="14" t="s">
        <v>277</v>
      </c>
      <c r="I263" s="14" t="s">
        <v>1066</v>
      </c>
      <c r="J263" s="14">
        <v>2</v>
      </c>
      <c r="K263" s="13"/>
      <c r="L263" s="18"/>
      <c r="M263" s="143"/>
      <c r="N263" s="143"/>
      <c r="O263" s="13"/>
      <c r="P263" s="13"/>
      <c r="Q263" s="28"/>
      <c r="R263" s="143"/>
      <c r="S263" s="143"/>
      <c r="T263" s="143"/>
      <c r="U263" s="143"/>
      <c r="V263" s="143"/>
      <c r="W263" s="143"/>
      <c r="X263" s="143"/>
    </row>
    <row r="264" spans="1:24" ht="43.5" customHeight="1" x14ac:dyDescent="0.25">
      <c r="A264" s="55"/>
      <c r="B264" s="55"/>
      <c r="C264" s="14" t="s">
        <v>1069</v>
      </c>
      <c r="D264" s="14" t="s">
        <v>1070</v>
      </c>
      <c r="E264" s="14" t="s">
        <v>1070</v>
      </c>
      <c r="F264" s="14">
        <v>3747</v>
      </c>
      <c r="G264" s="14" t="s">
        <v>966</v>
      </c>
      <c r="H264" s="14" t="s">
        <v>277</v>
      </c>
      <c r="I264" s="14" t="s">
        <v>1069</v>
      </c>
      <c r="J264" s="14">
        <v>1</v>
      </c>
      <c r="K264" s="15"/>
      <c r="L264" s="19"/>
      <c r="M264" s="143"/>
      <c r="N264" s="143"/>
      <c r="O264" s="15"/>
      <c r="P264" s="15"/>
      <c r="Q264" s="28"/>
      <c r="R264" s="143"/>
      <c r="S264" s="143"/>
      <c r="T264" s="143"/>
      <c r="U264" s="143"/>
      <c r="V264" s="143"/>
      <c r="W264" s="143"/>
      <c r="X264" s="143"/>
    </row>
    <row r="265" spans="1:24" ht="43.5" customHeight="1" x14ac:dyDescent="0.25">
      <c r="A265" s="55"/>
      <c r="B265" s="55"/>
      <c r="C265" s="14" t="s">
        <v>1071</v>
      </c>
      <c r="D265" s="14" t="s">
        <v>1072</v>
      </c>
      <c r="E265" s="14" t="s">
        <v>1073</v>
      </c>
      <c r="F265" s="14">
        <v>4585</v>
      </c>
      <c r="G265" s="14" t="s">
        <v>966</v>
      </c>
      <c r="H265" s="14" t="s">
        <v>277</v>
      </c>
      <c r="I265" s="14" t="s">
        <v>1071</v>
      </c>
      <c r="J265" s="14">
        <v>2</v>
      </c>
      <c r="K265" s="13"/>
      <c r="L265" s="18"/>
      <c r="M265" s="143"/>
      <c r="N265" s="143"/>
      <c r="O265" s="13"/>
      <c r="P265" s="13"/>
      <c r="Q265" s="28"/>
      <c r="R265" s="143"/>
      <c r="S265" s="143"/>
      <c r="T265" s="143"/>
      <c r="U265" s="143"/>
      <c r="V265" s="143"/>
      <c r="W265" s="143"/>
      <c r="X265" s="143"/>
    </row>
    <row r="266" spans="1:24" ht="43.5" customHeight="1" x14ac:dyDescent="0.25">
      <c r="A266" s="55"/>
      <c r="B266" s="55"/>
      <c r="C266" s="14" t="s">
        <v>1074</v>
      </c>
      <c r="D266" s="14" t="s">
        <v>1075</v>
      </c>
      <c r="E266" s="14" t="s">
        <v>1076</v>
      </c>
      <c r="F266" s="14">
        <v>4577</v>
      </c>
      <c r="G266" s="14" t="s">
        <v>966</v>
      </c>
      <c r="H266" s="14" t="s">
        <v>277</v>
      </c>
      <c r="I266" s="14" t="s">
        <v>1074</v>
      </c>
      <c r="J266" s="14">
        <v>2</v>
      </c>
      <c r="K266" s="15"/>
      <c r="L266" s="19"/>
      <c r="M266" s="143"/>
      <c r="N266" s="143"/>
      <c r="O266" s="15"/>
      <c r="P266" s="15"/>
      <c r="Q266" s="28"/>
      <c r="R266" s="143"/>
      <c r="S266" s="143"/>
      <c r="T266" s="143"/>
      <c r="U266" s="143"/>
      <c r="V266" s="143"/>
      <c r="W266" s="143"/>
      <c r="X266" s="143"/>
    </row>
    <row r="267" spans="1:24" ht="43.5" customHeight="1" x14ac:dyDescent="0.25">
      <c r="A267" s="55"/>
      <c r="B267" s="55"/>
      <c r="C267" s="14" t="s">
        <v>1077</v>
      </c>
      <c r="D267" s="14" t="s">
        <v>1078</v>
      </c>
      <c r="E267" s="14" t="s">
        <v>1079</v>
      </c>
      <c r="F267" s="14">
        <v>6492</v>
      </c>
      <c r="G267" s="14" t="s">
        <v>966</v>
      </c>
      <c r="H267" s="14" t="s">
        <v>277</v>
      </c>
      <c r="I267" s="14" t="s">
        <v>1077</v>
      </c>
      <c r="J267" s="14">
        <v>2</v>
      </c>
      <c r="K267" s="13"/>
      <c r="L267" s="18"/>
      <c r="M267" s="143"/>
      <c r="N267" s="143"/>
      <c r="O267" s="13"/>
      <c r="P267" s="13"/>
      <c r="Q267" s="28"/>
      <c r="R267" s="143"/>
      <c r="S267" s="143"/>
      <c r="T267" s="143"/>
      <c r="U267" s="143"/>
      <c r="V267" s="143"/>
      <c r="W267" s="143"/>
      <c r="X267" s="143"/>
    </row>
    <row r="268" spans="1:24" ht="43.5" customHeight="1" x14ac:dyDescent="0.25">
      <c r="A268" s="55"/>
      <c r="B268" s="55"/>
      <c r="C268" s="14" t="s">
        <v>1080</v>
      </c>
      <c r="D268" s="14" t="s">
        <v>1081</v>
      </c>
      <c r="E268" s="14" t="s">
        <v>1081</v>
      </c>
      <c r="F268" s="14">
        <v>3840</v>
      </c>
      <c r="G268" s="14" t="s">
        <v>966</v>
      </c>
      <c r="H268" s="14" t="s">
        <v>277</v>
      </c>
      <c r="I268" s="14" t="s">
        <v>1080</v>
      </c>
      <c r="J268" s="14">
        <v>1</v>
      </c>
      <c r="K268" s="15"/>
      <c r="L268" s="19"/>
      <c r="M268" s="143"/>
      <c r="N268" s="143"/>
      <c r="O268" s="15"/>
      <c r="P268" s="15"/>
      <c r="Q268" s="28"/>
      <c r="R268" s="143"/>
      <c r="S268" s="143"/>
      <c r="T268" s="143"/>
      <c r="U268" s="143"/>
      <c r="V268" s="143"/>
      <c r="W268" s="143"/>
      <c r="X268" s="143"/>
    </row>
    <row r="269" spans="1:24" ht="43.5" customHeight="1" x14ac:dyDescent="0.25">
      <c r="A269" s="55"/>
      <c r="B269" s="55"/>
      <c r="C269" s="14" t="s">
        <v>1082</v>
      </c>
      <c r="D269" s="14" t="s">
        <v>1081</v>
      </c>
      <c r="E269" s="14" t="s">
        <v>1081</v>
      </c>
      <c r="F269" s="14">
        <v>3840</v>
      </c>
      <c r="G269" s="14" t="s">
        <v>966</v>
      </c>
      <c r="H269" s="14" t="s">
        <v>277</v>
      </c>
      <c r="I269" s="14" t="s">
        <v>1082</v>
      </c>
      <c r="J269" s="14">
        <v>1</v>
      </c>
      <c r="K269" s="13"/>
      <c r="L269" s="18"/>
      <c r="M269" s="143"/>
      <c r="N269" s="143"/>
      <c r="O269" s="13"/>
      <c r="P269" s="13"/>
      <c r="Q269" s="28"/>
      <c r="R269" s="143"/>
      <c r="S269" s="143"/>
      <c r="T269" s="143"/>
      <c r="U269" s="143"/>
      <c r="V269" s="143"/>
      <c r="W269" s="143"/>
      <c r="X269" s="143"/>
    </row>
    <row r="270" spans="1:24" ht="43.5" customHeight="1" x14ac:dyDescent="0.25">
      <c r="A270" s="55"/>
      <c r="B270" s="55"/>
      <c r="C270" s="14" t="s">
        <v>1083</v>
      </c>
      <c r="D270" s="14" t="s">
        <v>1084</v>
      </c>
      <c r="E270" s="14" t="s">
        <v>1085</v>
      </c>
      <c r="F270" s="14">
        <v>2490</v>
      </c>
      <c r="G270" s="14" t="s">
        <v>122</v>
      </c>
      <c r="H270" s="14" t="s">
        <v>277</v>
      </c>
      <c r="I270" s="14" t="s">
        <v>1083</v>
      </c>
      <c r="J270" s="14">
        <v>2</v>
      </c>
      <c r="K270" s="15"/>
      <c r="L270" s="19"/>
      <c r="M270" s="143"/>
      <c r="N270" s="143"/>
      <c r="O270" s="15"/>
      <c r="P270" s="15"/>
      <c r="Q270" s="28"/>
      <c r="R270" s="143"/>
      <c r="S270" s="143"/>
      <c r="T270" s="143"/>
      <c r="U270" s="143"/>
      <c r="V270" s="143"/>
      <c r="W270" s="143"/>
      <c r="X270" s="143"/>
    </row>
    <row r="271" spans="1:24" ht="43.5" customHeight="1" x14ac:dyDescent="0.25">
      <c r="A271" s="55"/>
      <c r="B271" s="55"/>
      <c r="C271" s="14" t="s">
        <v>1086</v>
      </c>
      <c r="D271" s="14" t="s">
        <v>1087</v>
      </c>
      <c r="E271" s="14" t="s">
        <v>1087</v>
      </c>
      <c r="F271" s="14">
        <v>3880</v>
      </c>
      <c r="G271" s="14" t="s">
        <v>122</v>
      </c>
      <c r="H271" s="14" t="s">
        <v>277</v>
      </c>
      <c r="I271" s="14" t="s">
        <v>1086</v>
      </c>
      <c r="J271" s="14">
        <v>1</v>
      </c>
      <c r="K271" s="13"/>
      <c r="L271" s="18"/>
      <c r="M271" s="143"/>
      <c r="N271" s="143"/>
      <c r="O271" s="13"/>
      <c r="P271" s="13"/>
      <c r="Q271" s="28"/>
      <c r="R271" s="143"/>
      <c r="S271" s="143"/>
      <c r="T271" s="143"/>
      <c r="U271" s="143"/>
      <c r="V271" s="143"/>
      <c r="W271" s="143"/>
      <c r="X271" s="143"/>
    </row>
    <row r="272" spans="1:24" ht="43.5" customHeight="1" x14ac:dyDescent="0.25">
      <c r="A272" s="55"/>
      <c r="B272" s="55"/>
      <c r="C272" s="14" t="s">
        <v>1088</v>
      </c>
      <c r="D272" s="14" t="s">
        <v>1089</v>
      </c>
      <c r="E272" s="14" t="s">
        <v>1090</v>
      </c>
      <c r="F272" s="14">
        <v>4100</v>
      </c>
      <c r="G272" s="14" t="s">
        <v>122</v>
      </c>
      <c r="H272" s="14" t="s">
        <v>277</v>
      </c>
      <c r="I272" s="14" t="s">
        <v>1088</v>
      </c>
      <c r="J272" s="14">
        <v>2</v>
      </c>
      <c r="K272" s="15"/>
      <c r="L272" s="19"/>
      <c r="M272" s="143"/>
      <c r="N272" s="143"/>
      <c r="O272" s="15"/>
      <c r="P272" s="15"/>
      <c r="Q272" s="28"/>
      <c r="R272" s="143"/>
      <c r="S272" s="143"/>
      <c r="T272" s="143"/>
      <c r="U272" s="143"/>
      <c r="V272" s="143"/>
      <c r="W272" s="143"/>
      <c r="X272" s="143"/>
    </row>
    <row r="273" spans="1:24" ht="43.5" customHeight="1" x14ac:dyDescent="0.25">
      <c r="A273" s="55"/>
      <c r="B273" s="55"/>
      <c r="C273" s="14" t="s">
        <v>1091</v>
      </c>
      <c r="D273" s="14" t="s">
        <v>1092</v>
      </c>
      <c r="E273" s="14" t="s">
        <v>1092</v>
      </c>
      <c r="F273" s="14">
        <v>6840</v>
      </c>
      <c r="G273" s="14" t="s">
        <v>122</v>
      </c>
      <c r="H273" s="14" t="s">
        <v>277</v>
      </c>
      <c r="I273" s="14" t="s">
        <v>1091</v>
      </c>
      <c r="J273" s="14">
        <v>1</v>
      </c>
      <c r="K273" s="13"/>
      <c r="L273" s="18"/>
      <c r="M273" s="143"/>
      <c r="N273" s="143"/>
      <c r="O273" s="13"/>
      <c r="P273" s="13"/>
      <c r="Q273" s="28"/>
      <c r="R273" s="143"/>
      <c r="S273" s="143"/>
      <c r="T273" s="143"/>
      <c r="U273" s="143"/>
      <c r="V273" s="143"/>
      <c r="W273" s="143"/>
      <c r="X273" s="143"/>
    </row>
    <row r="274" spans="1:24" ht="43.5" customHeight="1" x14ac:dyDescent="0.25">
      <c r="A274" s="55"/>
      <c r="B274" s="55"/>
      <c r="C274" s="14" t="s">
        <v>1093</v>
      </c>
      <c r="D274" s="14" t="s">
        <v>1094</v>
      </c>
      <c r="E274" s="14" t="s">
        <v>1094</v>
      </c>
      <c r="F274" s="14">
        <v>7005</v>
      </c>
      <c r="G274" s="14" t="s">
        <v>122</v>
      </c>
      <c r="H274" s="14" t="s">
        <v>277</v>
      </c>
      <c r="I274" s="14" t="s">
        <v>1093</v>
      </c>
      <c r="J274" s="14">
        <v>1</v>
      </c>
      <c r="K274" s="15"/>
      <c r="L274" s="19"/>
      <c r="M274" s="143"/>
      <c r="N274" s="143"/>
      <c r="O274" s="15"/>
      <c r="P274" s="15"/>
      <c r="Q274" s="28"/>
      <c r="R274" s="143"/>
      <c r="S274" s="143"/>
      <c r="T274" s="143"/>
      <c r="U274" s="143"/>
      <c r="V274" s="143"/>
      <c r="W274" s="143"/>
      <c r="X274" s="143"/>
    </row>
    <row r="275" spans="1:24" ht="43.5" customHeight="1" x14ac:dyDescent="0.25">
      <c r="A275" s="55"/>
      <c r="B275" s="55"/>
      <c r="C275" s="14" t="s">
        <v>1095</v>
      </c>
      <c r="D275" s="14" t="s">
        <v>1096</v>
      </c>
      <c r="E275" s="14" t="s">
        <v>1096</v>
      </c>
      <c r="F275" s="14">
        <v>7149</v>
      </c>
      <c r="G275" s="14" t="s">
        <v>122</v>
      </c>
      <c r="H275" s="14" t="s">
        <v>277</v>
      </c>
      <c r="I275" s="14" t="s">
        <v>1095</v>
      </c>
      <c r="J275" s="14">
        <v>1</v>
      </c>
      <c r="K275" s="13"/>
      <c r="L275" s="18"/>
      <c r="M275" s="143"/>
      <c r="N275" s="143"/>
      <c r="O275" s="13"/>
      <c r="P275" s="13"/>
      <c r="Q275" s="28"/>
      <c r="R275" s="143"/>
      <c r="S275" s="143"/>
      <c r="T275" s="143"/>
      <c r="U275" s="143"/>
      <c r="V275" s="143"/>
      <c r="W275" s="143"/>
      <c r="X275" s="143"/>
    </row>
    <row r="276" spans="1:24" ht="43.5" customHeight="1" x14ac:dyDescent="0.25">
      <c r="A276" s="55"/>
      <c r="B276" s="55"/>
      <c r="C276" s="14" t="s">
        <v>1097</v>
      </c>
      <c r="D276" s="14" t="s">
        <v>1098</v>
      </c>
      <c r="E276" s="14" t="s">
        <v>1098</v>
      </c>
      <c r="F276" s="14">
        <v>6750</v>
      </c>
      <c r="G276" s="14" t="s">
        <v>122</v>
      </c>
      <c r="H276" s="14" t="s">
        <v>277</v>
      </c>
      <c r="I276" s="14" t="s">
        <v>1097</v>
      </c>
      <c r="J276" s="14">
        <v>1</v>
      </c>
      <c r="K276" s="15"/>
      <c r="L276" s="19"/>
      <c r="M276" s="143"/>
      <c r="N276" s="143"/>
      <c r="O276" s="15"/>
      <c r="P276" s="15"/>
      <c r="Q276" s="28"/>
      <c r="R276" s="143"/>
      <c r="S276" s="143"/>
      <c r="T276" s="143"/>
      <c r="U276" s="143"/>
      <c r="V276" s="143"/>
      <c r="W276" s="143"/>
      <c r="X276" s="143"/>
    </row>
    <row r="277" spans="1:24" ht="43.5" customHeight="1" x14ac:dyDescent="0.25">
      <c r="A277" s="55"/>
      <c r="B277" s="55"/>
      <c r="C277" s="14" t="s">
        <v>1099</v>
      </c>
      <c r="D277" s="14" t="s">
        <v>1100</v>
      </c>
      <c r="E277" s="14" t="s">
        <v>1100</v>
      </c>
      <c r="F277" s="14">
        <v>7110</v>
      </c>
      <c r="G277" s="14" t="s">
        <v>122</v>
      </c>
      <c r="H277" s="14" t="s">
        <v>277</v>
      </c>
      <c r="I277" s="14" t="s">
        <v>1099</v>
      </c>
      <c r="J277" s="14">
        <v>1</v>
      </c>
      <c r="K277" s="13"/>
      <c r="L277" s="18"/>
      <c r="M277" s="143"/>
      <c r="N277" s="143"/>
      <c r="O277" s="13"/>
      <c r="P277" s="13"/>
      <c r="Q277" s="28"/>
      <c r="R277" s="143"/>
      <c r="S277" s="143"/>
      <c r="T277" s="143"/>
      <c r="U277" s="143"/>
      <c r="V277" s="143"/>
      <c r="W277" s="143"/>
      <c r="X277" s="143"/>
    </row>
    <row r="278" spans="1:24" ht="43.5" customHeight="1" x14ac:dyDescent="0.25">
      <c r="A278" s="55"/>
      <c r="B278" s="55"/>
      <c r="C278" s="14" t="s">
        <v>1101</v>
      </c>
      <c r="D278" s="14" t="s">
        <v>1102</v>
      </c>
      <c r="E278" s="14" t="s">
        <v>1102</v>
      </c>
      <c r="F278" s="14">
        <v>3960</v>
      </c>
      <c r="G278" s="14" t="s">
        <v>122</v>
      </c>
      <c r="H278" s="14" t="s">
        <v>277</v>
      </c>
      <c r="I278" s="14" t="s">
        <v>1101</v>
      </c>
      <c r="J278" s="14">
        <v>1</v>
      </c>
      <c r="K278" s="15"/>
      <c r="L278" s="19"/>
      <c r="M278" s="143"/>
      <c r="N278" s="143"/>
      <c r="O278" s="15"/>
      <c r="P278" s="15"/>
      <c r="Q278" s="28"/>
      <c r="R278" s="143"/>
      <c r="S278" s="143"/>
      <c r="T278" s="143"/>
      <c r="U278" s="143"/>
      <c r="V278" s="143"/>
      <c r="W278" s="143"/>
      <c r="X278" s="143"/>
    </row>
    <row r="279" spans="1:24" ht="43.5" customHeight="1" x14ac:dyDescent="0.25">
      <c r="A279" s="55"/>
      <c r="B279" s="55"/>
      <c r="C279" s="14" t="s">
        <v>1103</v>
      </c>
      <c r="D279" s="14" t="s">
        <v>1104</v>
      </c>
      <c r="E279" s="14" t="s">
        <v>1104</v>
      </c>
      <c r="F279" s="14">
        <v>2470</v>
      </c>
      <c r="G279" s="14" t="s">
        <v>122</v>
      </c>
      <c r="H279" s="14" t="s">
        <v>277</v>
      </c>
      <c r="I279" s="14" t="s">
        <v>1103</v>
      </c>
      <c r="J279" s="14">
        <v>1</v>
      </c>
      <c r="K279" s="13"/>
      <c r="L279" s="18"/>
      <c r="M279" s="143"/>
      <c r="N279" s="143"/>
      <c r="O279" s="13"/>
      <c r="P279" s="13"/>
      <c r="Q279" s="28"/>
      <c r="R279" s="143"/>
      <c r="S279" s="143"/>
      <c r="T279" s="143"/>
      <c r="U279" s="143"/>
      <c r="V279" s="143"/>
      <c r="W279" s="143"/>
      <c r="X279" s="143"/>
    </row>
    <row r="280" spans="1:24" ht="43.5" customHeight="1" x14ac:dyDescent="0.25">
      <c r="A280" s="55"/>
      <c r="B280" s="55"/>
      <c r="C280" s="14" t="s">
        <v>1105</v>
      </c>
      <c r="D280" s="14" t="s">
        <v>1106</v>
      </c>
      <c r="E280" s="14" t="s">
        <v>1106</v>
      </c>
      <c r="F280" s="14">
        <v>2350</v>
      </c>
      <c r="G280" s="14" t="s">
        <v>122</v>
      </c>
      <c r="H280" s="14" t="s">
        <v>277</v>
      </c>
      <c r="I280" s="14" t="s">
        <v>1105</v>
      </c>
      <c r="J280" s="14">
        <v>1</v>
      </c>
      <c r="K280" s="15"/>
      <c r="L280" s="19"/>
      <c r="M280" s="143"/>
      <c r="N280" s="143"/>
      <c r="O280" s="15"/>
      <c r="P280" s="15"/>
      <c r="Q280" s="28"/>
      <c r="R280" s="143"/>
      <c r="S280" s="143"/>
      <c r="T280" s="143"/>
      <c r="U280" s="143"/>
      <c r="V280" s="143"/>
      <c r="W280" s="143"/>
      <c r="X280" s="143"/>
    </row>
    <row r="281" spans="1:24" ht="43.5" customHeight="1" x14ac:dyDescent="0.25">
      <c r="A281" s="55"/>
      <c r="B281" s="55"/>
      <c r="C281" s="14" t="s">
        <v>1107</v>
      </c>
      <c r="D281" s="14" t="s">
        <v>1108</v>
      </c>
      <c r="E281" s="14" t="s">
        <v>1108</v>
      </c>
      <c r="F281" s="14">
        <v>2690</v>
      </c>
      <c r="G281" s="14" t="s">
        <v>122</v>
      </c>
      <c r="H281" s="14" t="s">
        <v>277</v>
      </c>
      <c r="I281" s="14" t="s">
        <v>1107</v>
      </c>
      <c r="J281" s="14">
        <v>1</v>
      </c>
      <c r="K281" s="13"/>
      <c r="L281" s="18"/>
      <c r="M281" s="143"/>
      <c r="N281" s="143"/>
      <c r="O281" s="13"/>
      <c r="P281" s="13"/>
      <c r="Q281" s="28"/>
      <c r="R281" s="143"/>
      <c r="S281" s="143"/>
      <c r="T281" s="143"/>
      <c r="U281" s="143"/>
      <c r="V281" s="143"/>
      <c r="W281" s="143"/>
      <c r="X281" s="143"/>
    </row>
    <row r="282" spans="1:24" ht="43.5" customHeight="1" x14ac:dyDescent="0.25">
      <c r="A282" s="55"/>
      <c r="B282" s="55"/>
      <c r="C282" s="14" t="s">
        <v>1109</v>
      </c>
      <c r="D282" s="14" t="s">
        <v>1110</v>
      </c>
      <c r="E282" s="14" t="s">
        <v>1110</v>
      </c>
      <c r="F282" s="14">
        <v>6610</v>
      </c>
      <c r="G282" s="14" t="s">
        <v>122</v>
      </c>
      <c r="H282" s="14" t="s">
        <v>277</v>
      </c>
      <c r="I282" s="14" t="s">
        <v>1109</v>
      </c>
      <c r="J282" s="14">
        <v>1</v>
      </c>
      <c r="K282" s="15"/>
      <c r="L282" s="19"/>
      <c r="M282" s="143"/>
      <c r="N282" s="143"/>
      <c r="O282" s="15"/>
      <c r="P282" s="15"/>
      <c r="Q282" s="28"/>
      <c r="R282" s="143"/>
      <c r="S282" s="143"/>
      <c r="T282" s="143"/>
      <c r="U282" s="143"/>
      <c r="V282" s="143"/>
      <c r="W282" s="143"/>
      <c r="X282" s="143"/>
    </row>
    <row r="283" spans="1:24" ht="43.5" customHeight="1" x14ac:dyDescent="0.25">
      <c r="A283" s="55"/>
      <c r="B283" s="55"/>
      <c r="C283" s="14" t="s">
        <v>1111</v>
      </c>
      <c r="D283" s="14" t="s">
        <v>1112</v>
      </c>
      <c r="E283" s="14" t="s">
        <v>1112</v>
      </c>
      <c r="F283" s="14">
        <v>4970</v>
      </c>
      <c r="G283" s="14" t="s">
        <v>122</v>
      </c>
      <c r="H283" s="14" t="s">
        <v>277</v>
      </c>
      <c r="I283" s="14" t="s">
        <v>1111</v>
      </c>
      <c r="J283" s="14">
        <v>1</v>
      </c>
      <c r="K283" s="13"/>
      <c r="L283" s="18"/>
      <c r="M283" s="143"/>
      <c r="N283" s="143"/>
      <c r="O283" s="13"/>
      <c r="P283" s="13"/>
      <c r="Q283" s="28"/>
      <c r="R283" s="143"/>
      <c r="S283" s="143"/>
      <c r="T283" s="143"/>
      <c r="U283" s="143"/>
      <c r="V283" s="143"/>
      <c r="W283" s="143"/>
      <c r="X283" s="143"/>
    </row>
    <row r="284" spans="1:24" ht="43.5" customHeight="1" x14ac:dyDescent="0.25">
      <c r="A284" s="55"/>
      <c r="B284" s="55"/>
      <c r="C284" s="14" t="s">
        <v>1113</v>
      </c>
      <c r="D284" s="14" t="s">
        <v>1114</v>
      </c>
      <c r="E284" s="14" t="s">
        <v>1115</v>
      </c>
      <c r="F284" s="14">
        <v>7200</v>
      </c>
      <c r="G284" s="14" t="s">
        <v>122</v>
      </c>
      <c r="H284" s="14" t="s">
        <v>277</v>
      </c>
      <c r="I284" s="14" t="s">
        <v>1113</v>
      </c>
      <c r="J284" s="14">
        <v>9</v>
      </c>
      <c r="K284" s="15"/>
      <c r="L284" s="19"/>
      <c r="M284" s="143"/>
      <c r="N284" s="143"/>
      <c r="O284" s="15"/>
      <c r="P284" s="15"/>
      <c r="Q284" s="28"/>
      <c r="R284" s="143"/>
      <c r="S284" s="143"/>
      <c r="T284" s="143"/>
      <c r="U284" s="143"/>
      <c r="V284" s="143"/>
      <c r="W284" s="143"/>
      <c r="X284" s="143"/>
    </row>
    <row r="285" spans="1:24" ht="43.5" customHeight="1" x14ac:dyDescent="0.25">
      <c r="A285" s="55"/>
      <c r="B285" s="55"/>
      <c r="C285" s="14" t="s">
        <v>1116</v>
      </c>
      <c r="D285" s="14" t="s">
        <v>1117</v>
      </c>
      <c r="E285" s="14" t="s">
        <v>1118</v>
      </c>
      <c r="F285" s="14">
        <v>6875</v>
      </c>
      <c r="G285" s="14" t="s">
        <v>122</v>
      </c>
      <c r="H285" s="14" t="s">
        <v>277</v>
      </c>
      <c r="I285" s="14" t="s">
        <v>1116</v>
      </c>
      <c r="J285" s="14">
        <v>2</v>
      </c>
      <c r="K285" s="13"/>
      <c r="L285" s="18"/>
      <c r="M285" s="143"/>
      <c r="N285" s="143"/>
      <c r="O285" s="13"/>
      <c r="P285" s="13"/>
      <c r="Q285" s="28"/>
      <c r="R285" s="143"/>
      <c r="S285" s="143"/>
      <c r="T285" s="143"/>
      <c r="U285" s="143"/>
      <c r="V285" s="143"/>
      <c r="W285" s="143"/>
      <c r="X285" s="143"/>
    </row>
    <row r="286" spans="1:24" ht="43.5" customHeight="1" x14ac:dyDescent="0.25">
      <c r="A286" s="55"/>
      <c r="B286" s="55"/>
      <c r="C286" s="14" t="s">
        <v>1119</v>
      </c>
      <c r="D286" s="14" t="s">
        <v>1120</v>
      </c>
      <c r="E286" s="14" t="s">
        <v>1121</v>
      </c>
      <c r="F286" s="14">
        <v>6830</v>
      </c>
      <c r="G286" s="14" t="s">
        <v>122</v>
      </c>
      <c r="H286" s="14" t="s">
        <v>277</v>
      </c>
      <c r="I286" s="14" t="s">
        <v>1119</v>
      </c>
      <c r="J286" s="14">
        <v>2</v>
      </c>
      <c r="K286" s="15"/>
      <c r="L286" s="19"/>
      <c r="M286" s="143"/>
      <c r="N286" s="143"/>
      <c r="O286" s="15"/>
      <c r="P286" s="15"/>
      <c r="Q286" s="28"/>
      <c r="R286" s="143"/>
      <c r="S286" s="143"/>
      <c r="T286" s="143"/>
      <c r="U286" s="143"/>
      <c r="V286" s="143"/>
      <c r="W286" s="143"/>
      <c r="X286" s="143"/>
    </row>
    <row r="287" spans="1:24" ht="43.5" customHeight="1" x14ac:dyDescent="0.25">
      <c r="A287" s="55"/>
      <c r="B287" s="55"/>
      <c r="C287" s="14" t="s">
        <v>1122</v>
      </c>
      <c r="D287" s="14" t="s">
        <v>1123</v>
      </c>
      <c r="E287" s="14" t="s">
        <v>1124</v>
      </c>
      <c r="F287" s="14">
        <v>5790</v>
      </c>
      <c r="G287" s="14" t="s">
        <v>122</v>
      </c>
      <c r="H287" s="14" t="s">
        <v>277</v>
      </c>
      <c r="I287" s="14" t="s">
        <v>1122</v>
      </c>
      <c r="J287" s="14">
        <v>2</v>
      </c>
      <c r="K287" s="13"/>
      <c r="L287" s="18"/>
      <c r="M287" s="143"/>
      <c r="N287" s="143"/>
      <c r="O287" s="13"/>
      <c r="P287" s="13"/>
      <c r="Q287" s="28"/>
      <c r="R287" s="143"/>
      <c r="S287" s="143"/>
      <c r="T287" s="143"/>
      <c r="U287" s="143"/>
      <c r="V287" s="143"/>
      <c r="W287" s="143"/>
      <c r="X287" s="143"/>
    </row>
    <row r="288" spans="1:24" ht="43.5" customHeight="1" x14ac:dyDescent="0.25">
      <c r="A288" s="55"/>
      <c r="B288" s="55"/>
      <c r="C288" s="14" t="s">
        <v>1125</v>
      </c>
      <c r="D288" s="14" t="s">
        <v>1126</v>
      </c>
      <c r="E288" s="14" t="s">
        <v>1127</v>
      </c>
      <c r="F288" s="14">
        <v>4660</v>
      </c>
      <c r="G288" s="14" t="s">
        <v>122</v>
      </c>
      <c r="H288" s="14" t="s">
        <v>277</v>
      </c>
      <c r="I288" s="14" t="s">
        <v>1125</v>
      </c>
      <c r="J288" s="14">
        <v>5</v>
      </c>
      <c r="K288" s="15"/>
      <c r="L288" s="19"/>
      <c r="M288" s="143"/>
      <c r="N288" s="143"/>
      <c r="O288" s="15"/>
      <c r="P288" s="15"/>
      <c r="Q288" s="28"/>
      <c r="R288" s="143"/>
      <c r="S288" s="143"/>
      <c r="T288" s="143"/>
      <c r="U288" s="143"/>
      <c r="V288" s="143"/>
      <c r="W288" s="143"/>
      <c r="X288" s="143"/>
    </row>
    <row r="289" spans="1:24" ht="43.5" customHeight="1" x14ac:dyDescent="0.25">
      <c r="A289" s="55"/>
      <c r="B289" s="55"/>
      <c r="C289" s="14" t="s">
        <v>1128</v>
      </c>
      <c r="D289" s="14" t="s">
        <v>1129</v>
      </c>
      <c r="E289" s="14" t="s">
        <v>1130</v>
      </c>
      <c r="F289" s="14">
        <v>3870</v>
      </c>
      <c r="G289" s="14" t="s">
        <v>122</v>
      </c>
      <c r="H289" s="14" t="s">
        <v>277</v>
      </c>
      <c r="I289" s="14" t="s">
        <v>1128</v>
      </c>
      <c r="J289" s="14">
        <v>6</v>
      </c>
      <c r="K289" s="13"/>
      <c r="L289" s="18"/>
      <c r="M289" s="143"/>
      <c r="N289" s="143"/>
      <c r="O289" s="13"/>
      <c r="P289" s="13"/>
      <c r="Q289" s="28"/>
      <c r="R289" s="143"/>
      <c r="S289" s="143"/>
      <c r="T289" s="143"/>
      <c r="U289" s="143"/>
      <c r="V289" s="143"/>
      <c r="W289" s="143"/>
      <c r="X289" s="143"/>
    </row>
    <row r="290" spans="1:24" ht="43.5" customHeight="1" x14ac:dyDescent="0.25">
      <c r="A290" s="55"/>
      <c r="B290" s="55"/>
      <c r="C290" s="14" t="s">
        <v>1131</v>
      </c>
      <c r="D290" s="14" t="s">
        <v>1132</v>
      </c>
      <c r="E290" s="14" t="s">
        <v>1133</v>
      </c>
      <c r="F290" s="14">
        <v>4730</v>
      </c>
      <c r="G290" s="14" t="s">
        <v>122</v>
      </c>
      <c r="H290" s="14" t="s">
        <v>277</v>
      </c>
      <c r="I290" s="14" t="s">
        <v>1131</v>
      </c>
      <c r="J290" s="14">
        <v>3</v>
      </c>
      <c r="K290" s="15"/>
      <c r="L290" s="19"/>
      <c r="M290" s="143"/>
      <c r="N290" s="143"/>
      <c r="O290" s="15"/>
      <c r="P290" s="15"/>
      <c r="Q290" s="28"/>
      <c r="R290" s="143"/>
      <c r="S290" s="143"/>
      <c r="T290" s="143"/>
      <c r="U290" s="143"/>
      <c r="V290" s="143"/>
      <c r="W290" s="143"/>
      <c r="X290" s="143"/>
    </row>
    <row r="291" spans="1:24" ht="43.5" customHeight="1" x14ac:dyDescent="0.25">
      <c r="A291" s="55"/>
      <c r="B291" s="55"/>
      <c r="C291" s="14" t="s">
        <v>1134</v>
      </c>
      <c r="D291" s="14" t="s">
        <v>1135</v>
      </c>
      <c r="E291" s="14" t="s">
        <v>1135</v>
      </c>
      <c r="F291" s="14">
        <v>1940</v>
      </c>
      <c r="G291" s="14" t="s">
        <v>122</v>
      </c>
      <c r="H291" s="14" t="s">
        <v>277</v>
      </c>
      <c r="I291" s="14" t="s">
        <v>1134</v>
      </c>
      <c r="J291" s="14">
        <v>1</v>
      </c>
      <c r="K291" s="13"/>
      <c r="L291" s="18"/>
      <c r="M291" s="143"/>
      <c r="N291" s="143"/>
      <c r="O291" s="13"/>
      <c r="P291" s="13"/>
      <c r="Q291" s="28"/>
      <c r="R291" s="143"/>
      <c r="S291" s="143"/>
      <c r="T291" s="143"/>
      <c r="U291" s="143"/>
      <c r="V291" s="143"/>
      <c r="W291" s="143"/>
      <c r="X291" s="143"/>
    </row>
    <row r="292" spans="1:24" ht="43.5" customHeight="1" x14ac:dyDescent="0.25">
      <c r="A292" s="55"/>
      <c r="B292" s="55"/>
      <c r="C292" s="14" t="s">
        <v>1136</v>
      </c>
      <c r="D292" s="14" t="s">
        <v>1137</v>
      </c>
      <c r="E292" s="14" t="s">
        <v>1137</v>
      </c>
      <c r="F292" s="14">
        <v>4850</v>
      </c>
      <c r="G292" s="14" t="s">
        <v>122</v>
      </c>
      <c r="H292" s="14" t="s">
        <v>277</v>
      </c>
      <c r="I292" s="14" t="s">
        <v>1136</v>
      </c>
      <c r="J292" s="14">
        <v>1</v>
      </c>
      <c r="K292" s="15"/>
      <c r="L292" s="19"/>
      <c r="M292" s="143"/>
      <c r="N292" s="143"/>
      <c r="O292" s="15"/>
      <c r="P292" s="15"/>
      <c r="Q292" s="28"/>
      <c r="R292" s="143"/>
      <c r="S292" s="143"/>
      <c r="T292" s="143"/>
      <c r="U292" s="143"/>
      <c r="V292" s="143"/>
      <c r="W292" s="143"/>
      <c r="X292" s="143"/>
    </row>
    <row r="293" spans="1:24" ht="43.5" customHeight="1" x14ac:dyDescent="0.25">
      <c r="A293" s="55"/>
      <c r="B293" s="55"/>
      <c r="C293" s="14" t="s">
        <v>1138</v>
      </c>
      <c r="D293" s="14" t="s">
        <v>1139</v>
      </c>
      <c r="E293" s="14" t="s">
        <v>1140</v>
      </c>
      <c r="F293" s="14">
        <v>2910</v>
      </c>
      <c r="G293" s="14" t="s">
        <v>122</v>
      </c>
      <c r="H293" s="14" t="s">
        <v>277</v>
      </c>
      <c r="I293" s="14" t="s">
        <v>1138</v>
      </c>
      <c r="J293" s="14">
        <v>2</v>
      </c>
      <c r="K293" s="13"/>
      <c r="L293" s="18"/>
      <c r="M293" s="143"/>
      <c r="N293" s="143"/>
      <c r="O293" s="13"/>
      <c r="P293" s="13"/>
      <c r="Q293" s="28"/>
      <c r="R293" s="143"/>
      <c r="S293" s="143"/>
      <c r="T293" s="143"/>
      <c r="U293" s="143"/>
      <c r="V293" s="143"/>
      <c r="W293" s="143"/>
      <c r="X293" s="143"/>
    </row>
    <row r="294" spans="1:24" ht="43.5" customHeight="1" x14ac:dyDescent="0.25">
      <c r="A294" s="55"/>
      <c r="B294" s="55"/>
      <c r="C294" s="14" t="s">
        <v>1141</v>
      </c>
      <c r="D294" s="14" t="s">
        <v>1142</v>
      </c>
      <c r="E294" s="14" t="s">
        <v>1142</v>
      </c>
      <c r="F294" s="14">
        <v>5700</v>
      </c>
      <c r="G294" s="14" t="s">
        <v>122</v>
      </c>
      <c r="H294" s="14" t="s">
        <v>277</v>
      </c>
      <c r="I294" s="14" t="s">
        <v>1141</v>
      </c>
      <c r="J294" s="14">
        <v>1</v>
      </c>
      <c r="K294" s="15"/>
      <c r="L294" s="19"/>
      <c r="M294" s="143"/>
      <c r="N294" s="143"/>
      <c r="O294" s="15"/>
      <c r="P294" s="15"/>
      <c r="Q294" s="28"/>
      <c r="R294" s="143"/>
      <c r="S294" s="143"/>
      <c r="T294" s="143"/>
      <c r="U294" s="143"/>
      <c r="V294" s="143"/>
      <c r="W294" s="143"/>
      <c r="X294" s="143"/>
    </row>
    <row r="295" spans="1:24" ht="43.5" customHeight="1" x14ac:dyDescent="0.25">
      <c r="A295" s="55"/>
      <c r="B295" s="55"/>
      <c r="C295" s="14" t="s">
        <v>1143</v>
      </c>
      <c r="D295" s="14" t="s">
        <v>1144</v>
      </c>
      <c r="E295" s="14" t="s">
        <v>1144</v>
      </c>
      <c r="F295" s="14">
        <v>6820</v>
      </c>
      <c r="G295" s="14" t="s">
        <v>122</v>
      </c>
      <c r="H295" s="14" t="s">
        <v>277</v>
      </c>
      <c r="I295" s="14" t="s">
        <v>1143</v>
      </c>
      <c r="J295" s="14">
        <v>1</v>
      </c>
      <c r="K295" s="13"/>
      <c r="L295" s="18"/>
      <c r="M295" s="143"/>
      <c r="N295" s="143"/>
      <c r="O295" s="13"/>
      <c r="P295" s="13"/>
      <c r="Q295" s="28"/>
      <c r="R295" s="143"/>
      <c r="S295" s="143"/>
      <c r="T295" s="143"/>
      <c r="U295" s="143"/>
      <c r="V295" s="143"/>
      <c r="W295" s="143"/>
      <c r="X295" s="143"/>
    </row>
    <row r="296" spans="1:24" ht="43.5" customHeight="1" x14ac:dyDescent="0.25">
      <c r="A296" s="55"/>
      <c r="B296" s="55"/>
      <c r="C296" s="14" t="s">
        <v>1145</v>
      </c>
      <c r="D296" s="14" t="s">
        <v>1146</v>
      </c>
      <c r="E296" s="14" t="s">
        <v>1146</v>
      </c>
      <c r="F296" s="14">
        <v>6435</v>
      </c>
      <c r="G296" s="14" t="s">
        <v>122</v>
      </c>
      <c r="H296" s="14" t="s">
        <v>277</v>
      </c>
      <c r="I296" s="14" t="s">
        <v>1145</v>
      </c>
      <c r="J296" s="14">
        <v>1</v>
      </c>
      <c r="K296" s="15"/>
      <c r="L296" s="19"/>
      <c r="M296" s="143"/>
      <c r="N296" s="143"/>
      <c r="O296" s="15"/>
      <c r="P296" s="15"/>
      <c r="Q296" s="28"/>
      <c r="R296" s="143"/>
      <c r="S296" s="143"/>
      <c r="T296" s="143"/>
      <c r="U296" s="143"/>
      <c r="V296" s="143"/>
      <c r="W296" s="143"/>
      <c r="X296" s="143"/>
    </row>
    <row r="297" spans="1:24" ht="43.5" customHeight="1" x14ac:dyDescent="0.25">
      <c r="A297" s="55"/>
      <c r="B297" s="55"/>
      <c r="C297" s="14" t="s">
        <v>1147</v>
      </c>
      <c r="D297" s="14" t="s">
        <v>1148</v>
      </c>
      <c r="E297" s="14" t="s">
        <v>1148</v>
      </c>
      <c r="F297" s="14">
        <v>6720</v>
      </c>
      <c r="G297" s="14" t="s">
        <v>122</v>
      </c>
      <c r="H297" s="14" t="s">
        <v>277</v>
      </c>
      <c r="I297" s="14" t="s">
        <v>1147</v>
      </c>
      <c r="J297" s="14">
        <v>1</v>
      </c>
      <c r="K297" s="13"/>
      <c r="L297" s="18"/>
      <c r="M297" s="143"/>
      <c r="N297" s="143"/>
      <c r="O297" s="13"/>
      <c r="P297" s="13"/>
      <c r="Q297" s="28"/>
      <c r="R297" s="143"/>
      <c r="S297" s="143"/>
      <c r="T297" s="143"/>
      <c r="U297" s="143"/>
      <c r="V297" s="143"/>
      <c r="W297" s="143"/>
      <c r="X297" s="143"/>
    </row>
    <row r="298" spans="1:24" ht="43.5" customHeight="1" x14ac:dyDescent="0.25">
      <c r="A298" s="55"/>
      <c r="B298" s="55"/>
      <c r="C298" s="14" t="s">
        <v>1149</v>
      </c>
      <c r="D298" s="14" t="s">
        <v>1150</v>
      </c>
      <c r="E298" s="14" t="s">
        <v>1150</v>
      </c>
      <c r="F298" s="14">
        <v>4530</v>
      </c>
      <c r="G298" s="14" t="s">
        <v>122</v>
      </c>
      <c r="H298" s="14" t="s">
        <v>277</v>
      </c>
      <c r="I298" s="14" t="s">
        <v>1149</v>
      </c>
      <c r="J298" s="14">
        <v>1</v>
      </c>
      <c r="K298" s="15"/>
      <c r="L298" s="19"/>
      <c r="M298" s="143"/>
      <c r="N298" s="143"/>
      <c r="O298" s="15"/>
      <c r="P298" s="15"/>
      <c r="Q298" s="28"/>
      <c r="R298" s="143"/>
      <c r="S298" s="143"/>
      <c r="T298" s="143"/>
      <c r="U298" s="143"/>
      <c r="V298" s="143"/>
      <c r="W298" s="143"/>
      <c r="X298" s="143"/>
    </row>
    <row r="299" spans="1:24" ht="43.5" customHeight="1" x14ac:dyDescent="0.25">
      <c r="A299" s="55"/>
      <c r="B299" s="55"/>
      <c r="C299" s="14" t="s">
        <v>1151</v>
      </c>
      <c r="D299" s="14" t="s">
        <v>1152</v>
      </c>
      <c r="E299" s="14" t="s">
        <v>1152</v>
      </c>
      <c r="F299" s="14">
        <v>5510</v>
      </c>
      <c r="G299" s="14" t="s">
        <v>122</v>
      </c>
      <c r="H299" s="14" t="s">
        <v>277</v>
      </c>
      <c r="I299" s="14" t="s">
        <v>1151</v>
      </c>
      <c r="J299" s="14">
        <v>1</v>
      </c>
      <c r="K299" s="13"/>
      <c r="L299" s="18"/>
      <c r="M299" s="143"/>
      <c r="N299" s="143"/>
      <c r="O299" s="13"/>
      <c r="P299" s="13"/>
      <c r="Q299" s="28"/>
      <c r="R299" s="143"/>
      <c r="S299" s="143"/>
      <c r="T299" s="143"/>
      <c r="U299" s="143"/>
      <c r="V299" s="143"/>
      <c r="W299" s="143"/>
      <c r="X299" s="143"/>
    </row>
    <row r="300" spans="1:24" ht="43.5" customHeight="1" x14ac:dyDescent="0.25">
      <c r="A300" s="55"/>
      <c r="B300" s="55"/>
      <c r="C300" s="14" t="s">
        <v>1153</v>
      </c>
      <c r="D300" s="14" t="s">
        <v>1154</v>
      </c>
      <c r="E300" s="14" t="s">
        <v>1154</v>
      </c>
      <c r="F300" s="14">
        <v>6380</v>
      </c>
      <c r="G300" s="14" t="s">
        <v>122</v>
      </c>
      <c r="H300" s="14" t="s">
        <v>277</v>
      </c>
      <c r="I300" s="14" t="s">
        <v>1153</v>
      </c>
      <c r="J300" s="14">
        <v>1</v>
      </c>
      <c r="K300" s="15"/>
      <c r="L300" s="19"/>
      <c r="M300" s="143"/>
      <c r="N300" s="143"/>
      <c r="O300" s="15"/>
      <c r="P300" s="15"/>
      <c r="Q300" s="28"/>
      <c r="R300" s="143"/>
      <c r="S300" s="143"/>
      <c r="T300" s="143"/>
      <c r="U300" s="143"/>
      <c r="V300" s="143"/>
      <c r="W300" s="143"/>
      <c r="X300" s="143"/>
    </row>
    <row r="301" spans="1:24" ht="43.5" customHeight="1" x14ac:dyDescent="0.25">
      <c r="A301" s="55"/>
      <c r="B301" s="55"/>
      <c r="C301" s="14" t="s">
        <v>1155</v>
      </c>
      <c r="D301" s="14" t="s">
        <v>1070</v>
      </c>
      <c r="E301" s="14" t="s">
        <v>1070</v>
      </c>
      <c r="F301" s="14">
        <v>3747</v>
      </c>
      <c r="G301" s="14" t="s">
        <v>966</v>
      </c>
      <c r="H301" s="14" t="s">
        <v>277</v>
      </c>
      <c r="I301" s="14" t="s">
        <v>1155</v>
      </c>
      <c r="J301" s="14">
        <v>1</v>
      </c>
      <c r="K301" s="13"/>
      <c r="L301" s="18"/>
      <c r="M301" s="143"/>
      <c r="N301" s="143"/>
      <c r="O301" s="13"/>
      <c r="P301" s="13"/>
      <c r="Q301" s="28"/>
      <c r="R301" s="143"/>
      <c r="S301" s="143"/>
      <c r="T301" s="143"/>
      <c r="U301" s="143"/>
      <c r="V301" s="143"/>
      <c r="W301" s="143"/>
      <c r="X301" s="143"/>
    </row>
    <row r="302" spans="1:24" ht="15.75" customHeight="1" x14ac:dyDescent="0.25">
      <c r="A302" s="55"/>
      <c r="B302" s="55"/>
      <c r="C302" s="14" t="s">
        <v>267</v>
      </c>
      <c r="D302" s="14" t="s">
        <v>663</v>
      </c>
      <c r="E302" s="14" t="s">
        <v>1156</v>
      </c>
      <c r="F302" s="14">
        <v>1577</v>
      </c>
      <c r="G302" s="14" t="s">
        <v>129</v>
      </c>
      <c r="H302" s="14" t="s">
        <v>1038</v>
      </c>
      <c r="I302" s="14" t="s">
        <v>267</v>
      </c>
      <c r="J302" s="14">
        <v>14</v>
      </c>
      <c r="K302" s="15"/>
      <c r="L302" s="19"/>
      <c r="M302" s="143"/>
      <c r="N302" s="143"/>
      <c r="O302" s="15"/>
      <c r="P302" s="15"/>
      <c r="Q302" s="28"/>
      <c r="R302" s="143"/>
      <c r="S302" s="143"/>
      <c r="T302" s="143"/>
      <c r="U302" s="143"/>
      <c r="V302" s="143"/>
      <c r="W302" s="143"/>
      <c r="X302" s="143"/>
    </row>
    <row r="303" spans="1:24" ht="15.75" customHeight="1" x14ac:dyDescent="0.25">
      <c r="A303" s="55"/>
      <c r="B303" s="55"/>
      <c r="C303" s="14" t="s">
        <v>1039</v>
      </c>
      <c r="D303" s="14" t="s">
        <v>1040</v>
      </c>
      <c r="E303" s="14" t="s">
        <v>1157</v>
      </c>
      <c r="F303" s="14">
        <v>180</v>
      </c>
      <c r="G303" s="14" t="s">
        <v>1042</v>
      </c>
      <c r="H303" s="14" t="s">
        <v>215</v>
      </c>
      <c r="I303" s="14" t="s">
        <v>1039</v>
      </c>
      <c r="J303" s="14">
        <v>14</v>
      </c>
      <c r="K303" s="13"/>
      <c r="L303" s="18"/>
      <c r="M303" s="143"/>
      <c r="N303" s="143"/>
      <c r="O303" s="13"/>
      <c r="P303" s="13"/>
      <c r="Q303" s="28"/>
      <c r="R303" s="143"/>
      <c r="S303" s="143"/>
      <c r="T303" s="143"/>
      <c r="U303" s="143"/>
      <c r="V303" s="143"/>
      <c r="W303" s="143"/>
      <c r="X303" s="143"/>
    </row>
    <row r="304" spans="1:24" ht="43.5" customHeight="1" x14ac:dyDescent="0.25">
      <c r="A304" s="55"/>
      <c r="B304" s="55"/>
      <c r="C304" s="14" t="s">
        <v>283</v>
      </c>
      <c r="D304" s="14" t="s">
        <v>1049</v>
      </c>
      <c r="E304" s="14" t="s">
        <v>1050</v>
      </c>
      <c r="F304" s="14">
        <v>3860</v>
      </c>
      <c r="G304" s="14" t="s">
        <v>966</v>
      </c>
      <c r="H304" s="14" t="s">
        <v>277</v>
      </c>
      <c r="I304" s="14" t="s">
        <v>283</v>
      </c>
      <c r="J304" s="14">
        <v>2</v>
      </c>
      <c r="K304" s="15"/>
      <c r="L304" s="19"/>
      <c r="M304" s="143"/>
      <c r="N304" s="143"/>
      <c r="O304" s="15"/>
      <c r="P304" s="15"/>
      <c r="Q304" s="28"/>
      <c r="R304" s="143"/>
      <c r="S304" s="143"/>
      <c r="T304" s="143"/>
      <c r="U304" s="143"/>
      <c r="V304" s="143"/>
      <c r="W304" s="143"/>
      <c r="X304" s="143"/>
    </row>
    <row r="305" spans="1:24" ht="43.5" customHeight="1" x14ac:dyDescent="0.25">
      <c r="A305" s="55"/>
      <c r="B305" s="55"/>
      <c r="C305" s="14" t="s">
        <v>284</v>
      </c>
      <c r="D305" s="14" t="s">
        <v>1051</v>
      </c>
      <c r="E305" s="14" t="s">
        <v>1052</v>
      </c>
      <c r="F305" s="14">
        <v>4660</v>
      </c>
      <c r="G305" s="14" t="s">
        <v>966</v>
      </c>
      <c r="H305" s="14" t="s">
        <v>277</v>
      </c>
      <c r="I305" s="14" t="s">
        <v>284</v>
      </c>
      <c r="J305" s="14">
        <v>2</v>
      </c>
      <c r="K305" s="13"/>
      <c r="L305" s="18"/>
      <c r="M305" s="143"/>
      <c r="N305" s="143"/>
      <c r="O305" s="13"/>
      <c r="P305" s="13"/>
      <c r="Q305" s="28"/>
      <c r="R305" s="143"/>
      <c r="S305" s="143"/>
      <c r="T305" s="143"/>
      <c r="U305" s="143"/>
      <c r="V305" s="143"/>
      <c r="W305" s="143"/>
      <c r="X305" s="143"/>
    </row>
    <row r="306" spans="1:24" ht="43.5" customHeight="1" x14ac:dyDescent="0.25">
      <c r="A306" s="55"/>
      <c r="B306" s="55"/>
      <c r="C306" s="14" t="s">
        <v>285</v>
      </c>
      <c r="D306" s="14" t="s">
        <v>1053</v>
      </c>
      <c r="E306" s="14" t="s">
        <v>1054</v>
      </c>
      <c r="F306" s="14">
        <v>5255</v>
      </c>
      <c r="G306" s="14" t="s">
        <v>966</v>
      </c>
      <c r="H306" s="14" t="s">
        <v>277</v>
      </c>
      <c r="I306" s="14" t="s">
        <v>285</v>
      </c>
      <c r="J306" s="14">
        <v>2</v>
      </c>
      <c r="K306" s="15"/>
      <c r="L306" s="19"/>
      <c r="M306" s="143"/>
      <c r="N306" s="143"/>
      <c r="O306" s="15"/>
      <c r="P306" s="15"/>
      <c r="Q306" s="28"/>
      <c r="R306" s="143"/>
      <c r="S306" s="143"/>
      <c r="T306" s="143"/>
      <c r="U306" s="143"/>
      <c r="V306" s="143"/>
      <c r="W306" s="143"/>
      <c r="X306" s="143"/>
    </row>
    <row r="307" spans="1:24" ht="43.5" customHeight="1" x14ac:dyDescent="0.25">
      <c r="A307" s="55"/>
      <c r="B307" s="55"/>
      <c r="C307" s="14" t="s">
        <v>292</v>
      </c>
      <c r="D307" s="14" t="s">
        <v>1158</v>
      </c>
      <c r="E307" s="14" t="s">
        <v>1159</v>
      </c>
      <c r="F307" s="14">
        <v>5605</v>
      </c>
      <c r="G307" s="14" t="s">
        <v>966</v>
      </c>
      <c r="H307" s="14" t="s">
        <v>277</v>
      </c>
      <c r="I307" s="14" t="s">
        <v>292</v>
      </c>
      <c r="J307" s="14">
        <v>2</v>
      </c>
      <c r="K307" s="13"/>
      <c r="L307" s="18"/>
      <c r="M307" s="143"/>
      <c r="N307" s="143"/>
      <c r="O307" s="13"/>
      <c r="P307" s="13"/>
      <c r="Q307" s="28"/>
      <c r="R307" s="143"/>
      <c r="S307" s="143"/>
      <c r="T307" s="143"/>
      <c r="U307" s="143"/>
      <c r="V307" s="143"/>
      <c r="W307" s="143"/>
      <c r="X307" s="143"/>
    </row>
    <row r="308" spans="1:24" ht="43.5" customHeight="1" x14ac:dyDescent="0.25">
      <c r="A308" s="55"/>
      <c r="B308" s="55"/>
      <c r="C308" s="14" t="s">
        <v>293</v>
      </c>
      <c r="D308" s="14" t="s">
        <v>1160</v>
      </c>
      <c r="E308" s="14" t="s">
        <v>1161</v>
      </c>
      <c r="F308" s="14">
        <v>8820</v>
      </c>
      <c r="G308" s="14" t="s">
        <v>966</v>
      </c>
      <c r="H308" s="14" t="s">
        <v>277</v>
      </c>
      <c r="I308" s="14" t="s">
        <v>293</v>
      </c>
      <c r="J308" s="14">
        <v>2</v>
      </c>
      <c r="K308" s="15"/>
      <c r="L308" s="19"/>
      <c r="M308" s="143"/>
      <c r="N308" s="143"/>
      <c r="O308" s="15"/>
      <c r="P308" s="15"/>
      <c r="Q308" s="28"/>
      <c r="R308" s="143"/>
      <c r="S308" s="143"/>
      <c r="T308" s="143"/>
      <c r="U308" s="143"/>
      <c r="V308" s="143"/>
      <c r="W308" s="143"/>
      <c r="X308" s="143"/>
    </row>
    <row r="309" spans="1:24" ht="43.5" customHeight="1" x14ac:dyDescent="0.25">
      <c r="A309" s="55"/>
      <c r="B309" s="55"/>
      <c r="C309" s="14" t="s">
        <v>294</v>
      </c>
      <c r="D309" s="14" t="s">
        <v>673</v>
      </c>
      <c r="E309" s="14" t="s">
        <v>674</v>
      </c>
      <c r="F309" s="14">
        <v>6510</v>
      </c>
      <c r="G309" s="14" t="s">
        <v>966</v>
      </c>
      <c r="H309" s="14" t="s">
        <v>277</v>
      </c>
      <c r="I309" s="14" t="s">
        <v>294</v>
      </c>
      <c r="J309" s="14">
        <v>2</v>
      </c>
      <c r="K309" s="13"/>
      <c r="L309" s="18"/>
      <c r="M309" s="143"/>
      <c r="N309" s="143"/>
      <c r="O309" s="13"/>
      <c r="P309" s="13"/>
      <c r="Q309" s="28"/>
      <c r="R309" s="143"/>
      <c r="S309" s="143"/>
      <c r="T309" s="143"/>
      <c r="U309" s="143"/>
      <c r="V309" s="143"/>
      <c r="W309" s="143"/>
      <c r="X309" s="143"/>
    </row>
    <row r="310" spans="1:24" ht="43.5" customHeight="1" x14ac:dyDescent="0.25">
      <c r="A310" s="55"/>
      <c r="B310" s="55"/>
      <c r="C310" s="14" t="s">
        <v>295</v>
      </c>
      <c r="D310" s="14" t="s">
        <v>1162</v>
      </c>
      <c r="E310" s="14" t="s">
        <v>1163</v>
      </c>
      <c r="F310" s="14">
        <v>8010</v>
      </c>
      <c r="G310" s="14" t="s">
        <v>966</v>
      </c>
      <c r="H310" s="14" t="s">
        <v>277</v>
      </c>
      <c r="I310" s="14" t="s">
        <v>295</v>
      </c>
      <c r="J310" s="14">
        <v>2</v>
      </c>
      <c r="K310" s="15"/>
      <c r="L310" s="19"/>
      <c r="M310" s="143"/>
      <c r="N310" s="143"/>
      <c r="O310" s="15"/>
      <c r="P310" s="15"/>
      <c r="Q310" s="28"/>
      <c r="R310" s="143"/>
      <c r="S310" s="143"/>
      <c r="T310" s="143"/>
      <c r="U310" s="143"/>
      <c r="V310" s="143"/>
      <c r="W310" s="143"/>
      <c r="X310" s="143"/>
    </row>
    <row r="311" spans="1:24" ht="15.75" customHeight="1" x14ac:dyDescent="0.25">
      <c r="A311" s="55"/>
      <c r="B311" s="55"/>
      <c r="C311" s="14" t="s">
        <v>197</v>
      </c>
      <c r="D311" s="14" t="s">
        <v>1164</v>
      </c>
      <c r="E311" s="14" t="s">
        <v>1165</v>
      </c>
      <c r="F311" s="14">
        <v>1800</v>
      </c>
      <c r="G311" s="14" t="s">
        <v>133</v>
      </c>
      <c r="H311" s="14" t="s">
        <v>196</v>
      </c>
      <c r="I311" s="14" t="s">
        <v>197</v>
      </c>
      <c r="J311" s="14">
        <v>30</v>
      </c>
      <c r="K311" s="13"/>
      <c r="L311" s="18"/>
      <c r="M311" s="143"/>
      <c r="N311" s="143"/>
      <c r="O311" s="13"/>
      <c r="P311" s="13"/>
      <c r="Q311" s="28"/>
      <c r="R311" s="143"/>
      <c r="S311" s="143"/>
      <c r="T311" s="143"/>
      <c r="U311" s="143"/>
      <c r="V311" s="143"/>
      <c r="W311" s="143"/>
      <c r="X311" s="143"/>
    </row>
    <row r="312" spans="1:24" ht="15.75" customHeight="1" x14ac:dyDescent="0.25">
      <c r="A312" s="55"/>
      <c r="B312" s="55"/>
      <c r="C312" s="14" t="s">
        <v>200</v>
      </c>
      <c r="D312" s="14" t="s">
        <v>704</v>
      </c>
      <c r="E312" s="14" t="s">
        <v>1166</v>
      </c>
      <c r="F312" s="14">
        <v>200</v>
      </c>
      <c r="G312" s="14" t="s">
        <v>122</v>
      </c>
      <c r="H312" s="14" t="s">
        <v>199</v>
      </c>
      <c r="I312" s="14" t="s">
        <v>200</v>
      </c>
      <c r="J312" s="14">
        <v>4</v>
      </c>
      <c r="K312" s="15"/>
      <c r="L312" s="19"/>
      <c r="M312" s="143"/>
      <c r="N312" s="143"/>
      <c r="O312" s="15"/>
      <c r="P312" s="15"/>
      <c r="Q312" s="28"/>
      <c r="R312" s="143"/>
      <c r="S312" s="143"/>
      <c r="T312" s="143"/>
      <c r="U312" s="143"/>
      <c r="V312" s="143"/>
      <c r="W312" s="143"/>
      <c r="X312" s="143"/>
    </row>
    <row r="313" spans="1:24" ht="15.75" customHeight="1" x14ac:dyDescent="0.25">
      <c r="A313" s="55"/>
      <c r="B313" s="55"/>
      <c r="C313" s="14" t="s">
        <v>1167</v>
      </c>
      <c r="D313" s="14" t="s">
        <v>1168</v>
      </c>
      <c r="E313" s="14" t="s">
        <v>1169</v>
      </c>
      <c r="F313" s="14">
        <v>285</v>
      </c>
      <c r="G313" s="14" t="s">
        <v>122</v>
      </c>
      <c r="H313" s="14" t="s">
        <v>199</v>
      </c>
      <c r="I313" s="14" t="s">
        <v>1167</v>
      </c>
      <c r="J313" s="14">
        <v>5</v>
      </c>
      <c r="K313" s="13"/>
      <c r="L313" s="18"/>
      <c r="M313" s="143"/>
      <c r="N313" s="143"/>
      <c r="O313" s="13"/>
      <c r="P313" s="13"/>
      <c r="Q313" s="28"/>
      <c r="R313" s="143"/>
      <c r="S313" s="143"/>
      <c r="T313" s="143"/>
      <c r="U313" s="143"/>
      <c r="V313" s="143"/>
      <c r="W313" s="143"/>
      <c r="X313" s="143"/>
    </row>
    <row r="314" spans="1:24" ht="15.75" customHeight="1" x14ac:dyDescent="0.25">
      <c r="A314" s="55"/>
      <c r="B314" s="55"/>
      <c r="C314" s="14" t="s">
        <v>1170</v>
      </c>
      <c r="D314" s="14" t="s">
        <v>1171</v>
      </c>
      <c r="E314" s="14" t="s">
        <v>1172</v>
      </c>
      <c r="F314" s="14">
        <v>370</v>
      </c>
      <c r="G314" s="14" t="s">
        <v>122</v>
      </c>
      <c r="H314" s="14" t="s">
        <v>199</v>
      </c>
      <c r="I314" s="14" t="s">
        <v>1170</v>
      </c>
      <c r="J314" s="14">
        <v>5</v>
      </c>
      <c r="K314" s="15"/>
      <c r="L314" s="19"/>
      <c r="M314" s="143"/>
      <c r="N314" s="143"/>
      <c r="O314" s="15"/>
      <c r="P314" s="15"/>
      <c r="Q314" s="28"/>
      <c r="R314" s="143"/>
      <c r="S314" s="143"/>
      <c r="T314" s="143"/>
      <c r="U314" s="143"/>
      <c r="V314" s="143"/>
      <c r="W314" s="143"/>
      <c r="X314" s="143"/>
    </row>
    <row r="315" spans="1:24" ht="15.75" customHeight="1" x14ac:dyDescent="0.25">
      <c r="A315" s="55"/>
      <c r="B315" s="55"/>
      <c r="C315" s="14" t="s">
        <v>1173</v>
      </c>
      <c r="D315" s="14" t="s">
        <v>1174</v>
      </c>
      <c r="E315" s="14" t="s">
        <v>1175</v>
      </c>
      <c r="F315" s="14">
        <v>455</v>
      </c>
      <c r="G315" s="14" t="s">
        <v>122</v>
      </c>
      <c r="H315" s="14" t="s">
        <v>199</v>
      </c>
      <c r="I315" s="14" t="s">
        <v>1173</v>
      </c>
      <c r="J315" s="14">
        <v>5</v>
      </c>
      <c r="K315" s="13"/>
      <c r="L315" s="18"/>
      <c r="M315" s="143"/>
      <c r="N315" s="143"/>
      <c r="O315" s="13"/>
      <c r="P315" s="13"/>
      <c r="Q315" s="28"/>
      <c r="R315" s="143"/>
      <c r="S315" s="143"/>
      <c r="T315" s="143"/>
      <c r="U315" s="143"/>
      <c r="V315" s="143"/>
      <c r="W315" s="143"/>
      <c r="X315" s="143"/>
    </row>
    <row r="316" spans="1:24" ht="15.75" customHeight="1" x14ac:dyDescent="0.25">
      <c r="A316" s="55"/>
      <c r="B316" s="55"/>
      <c r="C316" s="14" t="s">
        <v>1176</v>
      </c>
      <c r="D316" s="14" t="s">
        <v>1177</v>
      </c>
      <c r="E316" s="14" t="s">
        <v>1178</v>
      </c>
      <c r="F316" s="14">
        <v>540</v>
      </c>
      <c r="G316" s="14" t="s">
        <v>122</v>
      </c>
      <c r="H316" s="14" t="s">
        <v>199</v>
      </c>
      <c r="I316" s="14" t="s">
        <v>1176</v>
      </c>
      <c r="J316" s="14">
        <v>5</v>
      </c>
      <c r="K316" s="15"/>
      <c r="L316" s="19"/>
      <c r="M316" s="143"/>
      <c r="N316" s="143"/>
      <c r="O316" s="15"/>
      <c r="P316" s="15"/>
      <c r="Q316" s="28"/>
      <c r="R316" s="143"/>
      <c r="S316" s="143"/>
      <c r="T316" s="143"/>
      <c r="U316" s="143"/>
      <c r="V316" s="143"/>
      <c r="W316" s="143"/>
      <c r="X316" s="143"/>
    </row>
    <row r="317" spans="1:24" ht="15.75" customHeight="1" x14ac:dyDescent="0.25">
      <c r="A317" s="55"/>
      <c r="B317" s="55"/>
      <c r="C317" s="14" t="s">
        <v>1179</v>
      </c>
      <c r="D317" s="14" t="s">
        <v>1180</v>
      </c>
      <c r="E317" s="14" t="s">
        <v>1181</v>
      </c>
      <c r="F317" s="14">
        <v>630</v>
      </c>
      <c r="G317" s="14" t="s">
        <v>122</v>
      </c>
      <c r="H317" s="14" t="s">
        <v>199</v>
      </c>
      <c r="I317" s="14" t="s">
        <v>1179</v>
      </c>
      <c r="J317" s="14">
        <v>5</v>
      </c>
      <c r="K317" s="13"/>
      <c r="L317" s="18"/>
      <c r="M317" s="143"/>
      <c r="N317" s="143"/>
      <c r="O317" s="13"/>
      <c r="P317" s="13"/>
      <c r="Q317" s="28"/>
      <c r="R317" s="143"/>
      <c r="S317" s="143"/>
      <c r="T317" s="143"/>
      <c r="U317" s="143"/>
      <c r="V317" s="143"/>
      <c r="W317" s="143"/>
      <c r="X317" s="143"/>
    </row>
    <row r="318" spans="1:24" ht="15.75" customHeight="1" x14ac:dyDescent="0.25">
      <c r="A318" s="55"/>
      <c r="B318" s="55"/>
      <c r="C318" s="14" t="s">
        <v>1182</v>
      </c>
      <c r="D318" s="14" t="s">
        <v>1183</v>
      </c>
      <c r="E318" s="14" t="s">
        <v>1184</v>
      </c>
      <c r="F318" s="14">
        <v>150</v>
      </c>
      <c r="G318" s="14" t="s">
        <v>115</v>
      </c>
      <c r="H318" s="14" t="s">
        <v>215</v>
      </c>
      <c r="I318" s="14" t="s">
        <v>1182</v>
      </c>
      <c r="J318" s="14">
        <v>30</v>
      </c>
      <c r="K318" s="15"/>
      <c r="L318" s="19"/>
      <c r="M318" s="143"/>
      <c r="N318" s="143"/>
      <c r="O318" s="15"/>
      <c r="P318" s="15"/>
      <c r="Q318" s="28"/>
      <c r="R318" s="143"/>
      <c r="S318" s="143"/>
      <c r="T318" s="143"/>
      <c r="U318" s="143"/>
      <c r="V318" s="143"/>
      <c r="W318" s="143"/>
      <c r="X318" s="143"/>
    </row>
    <row r="319" spans="1:24" ht="15.75" customHeight="1" x14ac:dyDescent="0.25">
      <c r="A319" s="55"/>
      <c r="B319" s="55"/>
      <c r="C319" s="14" t="s">
        <v>1185</v>
      </c>
      <c r="D319" s="14" t="s">
        <v>1186</v>
      </c>
      <c r="E319" s="14" t="s">
        <v>1187</v>
      </c>
      <c r="F319" s="14">
        <v>6370</v>
      </c>
      <c r="G319" s="14" t="s">
        <v>122</v>
      </c>
      <c r="H319" s="14" t="s">
        <v>1188</v>
      </c>
      <c r="I319" s="14" t="s">
        <v>1185</v>
      </c>
      <c r="J319" s="14">
        <v>12</v>
      </c>
      <c r="K319" s="13"/>
      <c r="L319" s="18"/>
      <c r="M319" s="143"/>
      <c r="N319" s="143"/>
      <c r="O319" s="13"/>
      <c r="P319" s="13"/>
      <c r="Q319" s="28"/>
      <c r="R319" s="143"/>
      <c r="S319" s="143"/>
      <c r="T319" s="143"/>
      <c r="U319" s="143"/>
      <c r="V319" s="143"/>
      <c r="W319" s="143"/>
      <c r="X319" s="143"/>
    </row>
    <row r="320" spans="1:24" ht="15.75" customHeight="1" x14ac:dyDescent="0.25">
      <c r="A320" s="55"/>
      <c r="B320" s="55"/>
      <c r="C320" s="14" t="s">
        <v>1015</v>
      </c>
      <c r="D320" s="14" t="s">
        <v>1016</v>
      </c>
      <c r="E320" s="14" t="s">
        <v>1189</v>
      </c>
      <c r="F320" s="14">
        <v>123</v>
      </c>
      <c r="G320" s="14" t="s">
        <v>1018</v>
      </c>
      <c r="H320" s="14" t="s">
        <v>962</v>
      </c>
      <c r="I320" s="14" t="s">
        <v>1015</v>
      </c>
      <c r="J320" s="14">
        <v>12</v>
      </c>
      <c r="K320" s="15"/>
      <c r="L320" s="19"/>
      <c r="M320" s="143"/>
      <c r="N320" s="143"/>
      <c r="O320" s="15"/>
      <c r="P320" s="15"/>
      <c r="Q320" s="28"/>
      <c r="R320" s="143"/>
      <c r="S320" s="143"/>
      <c r="T320" s="143"/>
      <c r="U320" s="143"/>
      <c r="V320" s="143"/>
      <c r="W320" s="143"/>
      <c r="X320" s="143"/>
    </row>
    <row r="321" spans="1:24" ht="29.25" customHeight="1" x14ac:dyDescent="0.25">
      <c r="A321" s="55"/>
      <c r="B321" s="55"/>
      <c r="C321" s="14" t="s">
        <v>1190</v>
      </c>
      <c r="D321" s="14" t="s">
        <v>1191</v>
      </c>
      <c r="E321" s="14" t="s">
        <v>1192</v>
      </c>
      <c r="F321" s="14">
        <v>7435</v>
      </c>
      <c r="G321" s="14" t="s">
        <v>118</v>
      </c>
      <c r="H321" s="14" t="s">
        <v>820</v>
      </c>
      <c r="I321" s="14" t="s">
        <v>1190</v>
      </c>
      <c r="J321" s="14">
        <v>2</v>
      </c>
      <c r="K321" s="13"/>
      <c r="L321" s="18"/>
      <c r="M321" s="143"/>
      <c r="N321" s="143"/>
      <c r="O321" s="13"/>
      <c r="P321" s="13"/>
      <c r="Q321" s="28"/>
      <c r="R321" s="143"/>
      <c r="S321" s="143"/>
      <c r="T321" s="143"/>
      <c r="U321" s="143"/>
      <c r="V321" s="143"/>
      <c r="W321" s="143"/>
      <c r="X321" s="143"/>
    </row>
    <row r="322" spans="1:24" ht="29.25" customHeight="1" x14ac:dyDescent="0.25">
      <c r="A322" s="55"/>
      <c r="B322" s="55"/>
      <c r="C322" s="14" t="s">
        <v>1193</v>
      </c>
      <c r="D322" s="14" t="s">
        <v>1194</v>
      </c>
      <c r="E322" s="14" t="s">
        <v>1195</v>
      </c>
      <c r="F322" s="14">
        <v>7532</v>
      </c>
      <c r="G322" s="14" t="s">
        <v>118</v>
      </c>
      <c r="H322" s="14" t="s">
        <v>820</v>
      </c>
      <c r="I322" s="14" t="s">
        <v>1193</v>
      </c>
      <c r="J322" s="14">
        <v>4</v>
      </c>
      <c r="K322" s="15"/>
      <c r="L322" s="19"/>
      <c r="M322" s="143"/>
      <c r="N322" s="143"/>
      <c r="O322" s="15"/>
      <c r="P322" s="15"/>
      <c r="Q322" s="28"/>
      <c r="R322" s="143"/>
      <c r="S322" s="143"/>
      <c r="T322" s="143"/>
      <c r="U322" s="143"/>
      <c r="V322" s="143"/>
      <c r="W322" s="143"/>
      <c r="X322" s="143"/>
    </row>
    <row r="323" spans="1:24" ht="29.25" customHeight="1" x14ac:dyDescent="0.25">
      <c r="A323" s="55"/>
      <c r="B323" s="55"/>
      <c r="C323" s="14" t="s">
        <v>1196</v>
      </c>
      <c r="D323" s="14" t="s">
        <v>1197</v>
      </c>
      <c r="E323" s="14" t="s">
        <v>1198</v>
      </c>
      <c r="F323" s="14">
        <v>4870</v>
      </c>
      <c r="G323" s="14" t="s">
        <v>118</v>
      </c>
      <c r="H323" s="14" t="s">
        <v>820</v>
      </c>
      <c r="I323" s="14" t="s">
        <v>1196</v>
      </c>
      <c r="J323" s="14">
        <v>2</v>
      </c>
      <c r="K323" s="13"/>
      <c r="L323" s="18"/>
      <c r="M323" s="143"/>
      <c r="N323" s="143"/>
      <c r="O323" s="13"/>
      <c r="P323" s="13"/>
      <c r="Q323" s="28"/>
      <c r="R323" s="143"/>
      <c r="S323" s="143"/>
      <c r="T323" s="143"/>
      <c r="U323" s="143"/>
      <c r="V323" s="143"/>
      <c r="W323" s="143"/>
      <c r="X323" s="143"/>
    </row>
    <row r="324" spans="1:24" ht="29.25" customHeight="1" x14ac:dyDescent="0.25">
      <c r="A324" s="55"/>
      <c r="B324" s="55"/>
      <c r="C324" s="14" t="s">
        <v>1199</v>
      </c>
      <c r="D324" s="14" t="s">
        <v>1200</v>
      </c>
      <c r="E324" s="14" t="s">
        <v>1201</v>
      </c>
      <c r="F324" s="14">
        <v>5840</v>
      </c>
      <c r="G324" s="14" t="s">
        <v>118</v>
      </c>
      <c r="H324" s="14" t="s">
        <v>820</v>
      </c>
      <c r="I324" s="14" t="s">
        <v>1199</v>
      </c>
      <c r="J324" s="14">
        <v>2</v>
      </c>
      <c r="K324" s="15"/>
      <c r="L324" s="19"/>
      <c r="M324" s="143"/>
      <c r="N324" s="143"/>
      <c r="O324" s="15"/>
      <c r="P324" s="15"/>
      <c r="Q324" s="28"/>
      <c r="R324" s="143"/>
      <c r="S324" s="143"/>
      <c r="T324" s="143"/>
      <c r="U324" s="143"/>
      <c r="V324" s="143"/>
      <c r="W324" s="143"/>
      <c r="X324" s="143"/>
    </row>
    <row r="325" spans="1:24" ht="29.25" customHeight="1" x14ac:dyDescent="0.25">
      <c r="A325" s="55"/>
      <c r="B325" s="55"/>
      <c r="C325" s="14" t="s">
        <v>1202</v>
      </c>
      <c r="D325" s="14" t="s">
        <v>1203</v>
      </c>
      <c r="E325" s="14" t="s">
        <v>1203</v>
      </c>
      <c r="F325" s="14">
        <v>7035</v>
      </c>
      <c r="G325" s="14" t="s">
        <v>118</v>
      </c>
      <c r="H325" s="14" t="s">
        <v>820</v>
      </c>
      <c r="I325" s="14" t="s">
        <v>1202</v>
      </c>
      <c r="J325" s="14">
        <v>1</v>
      </c>
      <c r="K325" s="13"/>
      <c r="L325" s="18"/>
      <c r="M325" s="143"/>
      <c r="N325" s="143"/>
      <c r="O325" s="13"/>
      <c r="P325" s="13"/>
      <c r="Q325" s="28"/>
      <c r="R325" s="143"/>
      <c r="S325" s="143"/>
      <c r="T325" s="143"/>
      <c r="U325" s="143"/>
      <c r="V325" s="143"/>
      <c r="W325" s="143"/>
      <c r="X325" s="143"/>
    </row>
    <row r="326" spans="1:24" ht="29.25" customHeight="1" x14ac:dyDescent="0.25">
      <c r="A326" s="55"/>
      <c r="B326" s="55"/>
      <c r="C326" s="14" t="s">
        <v>1204</v>
      </c>
      <c r="D326" s="14" t="s">
        <v>1205</v>
      </c>
      <c r="E326" s="14" t="s">
        <v>1205</v>
      </c>
      <c r="F326" s="14">
        <v>8615</v>
      </c>
      <c r="G326" s="14" t="s">
        <v>118</v>
      </c>
      <c r="H326" s="14" t="s">
        <v>820</v>
      </c>
      <c r="I326" s="14" t="s">
        <v>1204</v>
      </c>
      <c r="J326" s="14">
        <v>1</v>
      </c>
      <c r="K326" s="15"/>
      <c r="L326" s="19"/>
      <c r="M326" s="143"/>
      <c r="N326" s="143"/>
      <c r="O326" s="15"/>
      <c r="P326" s="15"/>
      <c r="Q326" s="28"/>
      <c r="R326" s="143"/>
      <c r="S326" s="143"/>
      <c r="T326" s="143"/>
      <c r="U326" s="143"/>
      <c r="V326" s="143"/>
      <c r="W326" s="143"/>
      <c r="X326" s="143"/>
    </row>
    <row r="327" spans="1:24" ht="29.25" customHeight="1" x14ac:dyDescent="0.25">
      <c r="A327" s="55"/>
      <c r="B327" s="55"/>
      <c r="C327" s="14" t="s">
        <v>1206</v>
      </c>
      <c r="D327" s="14" t="s">
        <v>1207</v>
      </c>
      <c r="E327" s="14" t="s">
        <v>1207</v>
      </c>
      <c r="F327" s="14">
        <v>5095</v>
      </c>
      <c r="G327" s="14" t="s">
        <v>118</v>
      </c>
      <c r="H327" s="14" t="s">
        <v>820</v>
      </c>
      <c r="I327" s="14" t="s">
        <v>1206</v>
      </c>
      <c r="J327" s="14">
        <v>1</v>
      </c>
      <c r="K327" s="13"/>
      <c r="L327" s="18"/>
      <c r="M327" s="143"/>
      <c r="N327" s="143"/>
      <c r="O327" s="13"/>
      <c r="P327" s="13"/>
      <c r="Q327" s="28"/>
      <c r="R327" s="143"/>
      <c r="S327" s="143"/>
      <c r="T327" s="143"/>
      <c r="U327" s="143"/>
      <c r="V327" s="143"/>
      <c r="W327" s="143"/>
      <c r="X327" s="143"/>
    </row>
    <row r="328" spans="1:24" ht="29.25" customHeight="1" x14ac:dyDescent="0.25">
      <c r="A328" s="55"/>
      <c r="B328" s="55"/>
      <c r="C328" s="14" t="s">
        <v>1208</v>
      </c>
      <c r="D328" s="14" t="s">
        <v>1209</v>
      </c>
      <c r="E328" s="14" t="s">
        <v>1209</v>
      </c>
      <c r="F328" s="14">
        <v>7573</v>
      </c>
      <c r="G328" s="14" t="s">
        <v>118</v>
      </c>
      <c r="H328" s="14" t="s">
        <v>820</v>
      </c>
      <c r="I328" s="14" t="s">
        <v>1208</v>
      </c>
      <c r="J328" s="14">
        <v>1</v>
      </c>
      <c r="K328" s="15"/>
      <c r="L328" s="19"/>
      <c r="M328" s="143"/>
      <c r="N328" s="143"/>
      <c r="O328" s="15"/>
      <c r="P328" s="15"/>
      <c r="Q328" s="28"/>
      <c r="R328" s="143"/>
      <c r="S328" s="143"/>
      <c r="T328" s="143"/>
      <c r="U328" s="143"/>
      <c r="V328" s="143"/>
      <c r="W328" s="143"/>
      <c r="X328" s="143"/>
    </row>
    <row r="329" spans="1:24" ht="29.25" customHeight="1" x14ac:dyDescent="0.25">
      <c r="A329" s="55"/>
      <c r="B329" s="55"/>
      <c r="C329" s="14" t="s">
        <v>1210</v>
      </c>
      <c r="D329" s="14" t="s">
        <v>1211</v>
      </c>
      <c r="E329" s="14" t="s">
        <v>1211</v>
      </c>
      <c r="F329" s="14">
        <v>3515</v>
      </c>
      <c r="G329" s="14" t="s">
        <v>118</v>
      </c>
      <c r="H329" s="14" t="s">
        <v>820</v>
      </c>
      <c r="I329" s="14" t="s">
        <v>1210</v>
      </c>
      <c r="J329" s="14">
        <v>1</v>
      </c>
      <c r="K329" s="13"/>
      <c r="L329" s="18"/>
      <c r="M329" s="143"/>
      <c r="N329" s="143"/>
      <c r="O329" s="13"/>
      <c r="P329" s="13"/>
      <c r="Q329" s="28"/>
      <c r="R329" s="143"/>
      <c r="S329" s="143"/>
      <c r="T329" s="143"/>
      <c r="U329" s="143"/>
      <c r="V329" s="143"/>
      <c r="W329" s="143"/>
      <c r="X329" s="143"/>
    </row>
    <row r="330" spans="1:24" ht="29.25" customHeight="1" x14ac:dyDescent="0.25">
      <c r="A330" s="55"/>
      <c r="B330" s="55"/>
      <c r="C330" s="14" t="s">
        <v>1212</v>
      </c>
      <c r="D330" s="14" t="s">
        <v>1213</v>
      </c>
      <c r="E330" s="14" t="s">
        <v>1213</v>
      </c>
      <c r="F330" s="14">
        <v>9153</v>
      </c>
      <c r="G330" s="14" t="s">
        <v>118</v>
      </c>
      <c r="H330" s="14" t="s">
        <v>820</v>
      </c>
      <c r="I330" s="14" t="s">
        <v>1212</v>
      </c>
      <c r="J330" s="14">
        <v>1</v>
      </c>
      <c r="K330" s="15"/>
      <c r="L330" s="19"/>
      <c r="M330" s="143"/>
      <c r="N330" s="143"/>
      <c r="O330" s="15"/>
      <c r="P330" s="15"/>
      <c r="Q330" s="28"/>
      <c r="R330" s="143"/>
      <c r="S330" s="143"/>
      <c r="T330" s="143"/>
      <c r="U330" s="143"/>
      <c r="V330" s="143"/>
      <c r="W330" s="143"/>
      <c r="X330" s="143"/>
    </row>
    <row r="331" spans="1:24" ht="29.25" customHeight="1" x14ac:dyDescent="0.25">
      <c r="A331" s="55"/>
      <c r="B331" s="55"/>
      <c r="C331" s="14" t="s">
        <v>1214</v>
      </c>
      <c r="D331" s="14" t="s">
        <v>1215</v>
      </c>
      <c r="E331" s="14" t="s">
        <v>1215</v>
      </c>
      <c r="F331" s="14">
        <v>5435</v>
      </c>
      <c r="G331" s="14" t="s">
        <v>118</v>
      </c>
      <c r="H331" s="14" t="s">
        <v>820</v>
      </c>
      <c r="I331" s="14" t="s">
        <v>1214</v>
      </c>
      <c r="J331" s="14">
        <v>1</v>
      </c>
      <c r="K331" s="13"/>
      <c r="L331" s="18"/>
      <c r="M331" s="143"/>
      <c r="N331" s="143"/>
      <c r="O331" s="13"/>
      <c r="P331" s="13"/>
      <c r="Q331" s="28"/>
      <c r="R331" s="143"/>
      <c r="S331" s="143"/>
      <c r="T331" s="143"/>
      <c r="U331" s="143"/>
      <c r="V331" s="143"/>
      <c r="W331" s="143"/>
      <c r="X331" s="143"/>
    </row>
    <row r="332" spans="1:24" ht="29.25" customHeight="1" x14ac:dyDescent="0.25">
      <c r="A332" s="55"/>
      <c r="B332" s="55"/>
      <c r="C332" s="14" t="s">
        <v>1216</v>
      </c>
      <c r="D332" s="14" t="s">
        <v>1217</v>
      </c>
      <c r="E332" s="14" t="s">
        <v>1217</v>
      </c>
      <c r="F332" s="14">
        <v>3855</v>
      </c>
      <c r="G332" s="14" t="s">
        <v>118</v>
      </c>
      <c r="H332" s="14" t="s">
        <v>820</v>
      </c>
      <c r="I332" s="14" t="s">
        <v>1216</v>
      </c>
      <c r="J332" s="14">
        <v>1</v>
      </c>
      <c r="K332" s="15"/>
      <c r="L332" s="19"/>
      <c r="M332" s="143"/>
      <c r="N332" s="143"/>
      <c r="O332" s="15"/>
      <c r="P332" s="15"/>
      <c r="Q332" s="28"/>
      <c r="R332" s="143"/>
      <c r="S332" s="143"/>
      <c r="T332" s="143"/>
      <c r="U332" s="143"/>
      <c r="V332" s="143"/>
      <c r="W332" s="143"/>
      <c r="X332" s="143"/>
    </row>
    <row r="333" spans="1:24" ht="29.25" customHeight="1" x14ac:dyDescent="0.25">
      <c r="A333" s="55"/>
      <c r="B333" s="55"/>
      <c r="C333" s="14" t="s">
        <v>1218</v>
      </c>
      <c r="D333" s="14" t="s">
        <v>1219</v>
      </c>
      <c r="E333" s="14" t="s">
        <v>1220</v>
      </c>
      <c r="F333" s="14">
        <v>3930</v>
      </c>
      <c r="G333" s="14" t="s">
        <v>118</v>
      </c>
      <c r="H333" s="14" t="s">
        <v>820</v>
      </c>
      <c r="I333" s="14" t="s">
        <v>1218</v>
      </c>
      <c r="J333" s="14">
        <v>2</v>
      </c>
      <c r="K333" s="13"/>
      <c r="L333" s="18"/>
      <c r="M333" s="143"/>
      <c r="N333" s="143"/>
      <c r="O333" s="13"/>
      <c r="P333" s="13"/>
      <c r="Q333" s="28"/>
      <c r="R333" s="143"/>
      <c r="S333" s="143"/>
      <c r="T333" s="143"/>
      <c r="U333" s="143"/>
      <c r="V333" s="143"/>
      <c r="W333" s="143"/>
      <c r="X333" s="143"/>
    </row>
    <row r="334" spans="1:24" ht="29.25" customHeight="1" x14ac:dyDescent="0.25">
      <c r="A334" s="55"/>
      <c r="B334" s="55"/>
      <c r="C334" s="14" t="s">
        <v>347</v>
      </c>
      <c r="D334" s="14" t="s">
        <v>1221</v>
      </c>
      <c r="E334" s="14" t="s">
        <v>1222</v>
      </c>
      <c r="F334" s="14">
        <v>1984</v>
      </c>
      <c r="G334" s="14" t="s">
        <v>1223</v>
      </c>
      <c r="H334" s="14" t="s">
        <v>240</v>
      </c>
      <c r="I334" s="14" t="s">
        <v>347</v>
      </c>
      <c r="J334" s="14">
        <v>13</v>
      </c>
      <c r="K334" s="15"/>
      <c r="L334" s="19"/>
      <c r="M334" s="143"/>
      <c r="N334" s="143"/>
      <c r="O334" s="15"/>
      <c r="P334" s="15"/>
      <c r="Q334" s="28"/>
      <c r="R334" s="143"/>
      <c r="S334" s="143"/>
      <c r="T334" s="143"/>
      <c r="U334" s="143"/>
      <c r="V334" s="143"/>
      <c r="W334" s="143"/>
      <c r="X334" s="143"/>
    </row>
    <row r="335" spans="1:24" ht="15.75" customHeight="1" x14ac:dyDescent="0.25">
      <c r="A335" s="55"/>
      <c r="B335" s="55"/>
      <c r="C335" s="14" t="s">
        <v>1015</v>
      </c>
      <c r="D335" s="14" t="s">
        <v>1016</v>
      </c>
      <c r="E335" s="14" t="s">
        <v>1224</v>
      </c>
      <c r="F335" s="14">
        <v>123</v>
      </c>
      <c r="G335" s="14" t="s">
        <v>1018</v>
      </c>
      <c r="H335" s="14" t="s">
        <v>962</v>
      </c>
      <c r="I335" s="14" t="s">
        <v>1015</v>
      </c>
      <c r="J335" s="14">
        <v>4</v>
      </c>
      <c r="K335" s="13"/>
      <c r="L335" s="18"/>
      <c r="M335" s="143"/>
      <c r="N335" s="143"/>
      <c r="O335" s="13"/>
      <c r="P335" s="13"/>
      <c r="Q335" s="28"/>
      <c r="R335" s="143"/>
      <c r="S335" s="143"/>
      <c r="T335" s="143"/>
      <c r="U335" s="143"/>
      <c r="V335" s="143"/>
      <c r="W335" s="143"/>
      <c r="X335" s="143"/>
    </row>
    <row r="336" spans="1:24" ht="29.25" customHeight="1" x14ac:dyDescent="0.25">
      <c r="A336" s="55"/>
      <c r="B336" s="55"/>
      <c r="C336" s="14" t="s">
        <v>1225</v>
      </c>
      <c r="D336" s="14" t="s">
        <v>1226</v>
      </c>
      <c r="E336" s="14" t="s">
        <v>1227</v>
      </c>
      <c r="F336" s="14">
        <v>4900</v>
      </c>
      <c r="G336" s="14" t="s">
        <v>118</v>
      </c>
      <c r="H336" s="14" t="s">
        <v>820</v>
      </c>
      <c r="I336" s="14" t="s">
        <v>1225</v>
      </c>
      <c r="J336" s="14">
        <v>2</v>
      </c>
      <c r="K336" s="15"/>
      <c r="L336" s="19"/>
      <c r="M336" s="143"/>
      <c r="N336" s="143"/>
      <c r="O336" s="15"/>
      <c r="P336" s="15"/>
      <c r="Q336" s="28"/>
      <c r="R336" s="143"/>
      <c r="S336" s="143"/>
      <c r="T336" s="143"/>
      <c r="U336" s="143"/>
      <c r="V336" s="143"/>
      <c r="W336" s="143"/>
      <c r="X336" s="143"/>
    </row>
    <row r="337" spans="1:24" ht="29.25" customHeight="1" x14ac:dyDescent="0.25">
      <c r="A337" s="55"/>
      <c r="B337" s="55"/>
      <c r="C337" s="14" t="s">
        <v>1228</v>
      </c>
      <c r="D337" s="14" t="s">
        <v>1229</v>
      </c>
      <c r="E337" s="14" t="s">
        <v>1230</v>
      </c>
      <c r="F337" s="14">
        <v>4200</v>
      </c>
      <c r="G337" s="14" t="s">
        <v>118</v>
      </c>
      <c r="H337" s="14" t="s">
        <v>820</v>
      </c>
      <c r="I337" s="14" t="s">
        <v>1228</v>
      </c>
      <c r="J337" s="14">
        <v>4</v>
      </c>
      <c r="K337" s="13"/>
      <c r="L337" s="18"/>
      <c r="M337" s="143"/>
      <c r="N337" s="143"/>
      <c r="O337" s="13"/>
      <c r="P337" s="13"/>
      <c r="Q337" s="28"/>
      <c r="R337" s="143"/>
      <c r="S337" s="143"/>
      <c r="T337" s="143"/>
      <c r="U337" s="143"/>
      <c r="V337" s="143"/>
      <c r="W337" s="143"/>
      <c r="X337" s="143"/>
    </row>
    <row r="338" spans="1:24" ht="29.25" customHeight="1" x14ac:dyDescent="0.25">
      <c r="A338" s="55"/>
      <c r="B338" s="55"/>
      <c r="C338" s="14" t="s">
        <v>1231</v>
      </c>
      <c r="D338" s="14" t="s">
        <v>782</v>
      </c>
      <c r="E338" s="14" t="s">
        <v>1232</v>
      </c>
      <c r="F338" s="14">
        <v>5115</v>
      </c>
      <c r="G338" s="14" t="s">
        <v>118</v>
      </c>
      <c r="H338" s="14" t="s">
        <v>820</v>
      </c>
      <c r="I338" s="14" t="s">
        <v>1231</v>
      </c>
      <c r="J338" s="14">
        <v>2</v>
      </c>
      <c r="K338" s="15"/>
      <c r="L338" s="19"/>
      <c r="M338" s="143"/>
      <c r="N338" s="143"/>
      <c r="O338" s="15"/>
      <c r="P338" s="15"/>
      <c r="Q338" s="28"/>
      <c r="R338" s="143"/>
      <c r="S338" s="143"/>
      <c r="T338" s="143"/>
      <c r="U338" s="143"/>
      <c r="V338" s="143"/>
      <c r="W338" s="143"/>
      <c r="X338" s="143"/>
    </row>
    <row r="339" spans="1:24" ht="29.25" customHeight="1" x14ac:dyDescent="0.25">
      <c r="A339" s="55"/>
      <c r="B339" s="55"/>
      <c r="C339" s="14" t="s">
        <v>347</v>
      </c>
      <c r="D339" s="14" t="s">
        <v>1221</v>
      </c>
      <c r="E339" s="14" t="s">
        <v>1233</v>
      </c>
      <c r="F339" s="14">
        <v>1984</v>
      </c>
      <c r="G339" s="14" t="s">
        <v>1223</v>
      </c>
      <c r="H339" s="14" t="s">
        <v>240</v>
      </c>
      <c r="I339" s="14" t="s">
        <v>347</v>
      </c>
      <c r="J339" s="14">
        <v>5</v>
      </c>
      <c r="K339" s="13"/>
      <c r="L339" s="18"/>
      <c r="M339" s="143"/>
      <c r="N339" s="143"/>
      <c r="O339" s="13"/>
      <c r="P339" s="13"/>
      <c r="Q339" s="28"/>
      <c r="R339" s="143"/>
      <c r="S339" s="143"/>
      <c r="T339" s="143"/>
      <c r="U339" s="143"/>
      <c r="V339" s="143"/>
      <c r="W339" s="143"/>
      <c r="X339" s="143"/>
    </row>
    <row r="340" spans="1:24" ht="15.75" customHeight="1" x14ac:dyDescent="0.25">
      <c r="A340" s="55"/>
      <c r="B340" s="55"/>
      <c r="C340" s="14" t="s">
        <v>1015</v>
      </c>
      <c r="D340" s="14" t="s">
        <v>1016</v>
      </c>
      <c r="E340" s="14" t="s">
        <v>1224</v>
      </c>
      <c r="F340" s="14">
        <v>123</v>
      </c>
      <c r="G340" s="14" t="s">
        <v>1018</v>
      </c>
      <c r="H340" s="14" t="s">
        <v>962</v>
      </c>
      <c r="I340" s="14" t="s">
        <v>1015</v>
      </c>
      <c r="J340" s="14">
        <v>4</v>
      </c>
      <c r="K340" s="15"/>
      <c r="L340" s="19"/>
      <c r="M340" s="143"/>
      <c r="N340" s="143"/>
      <c r="O340" s="15"/>
      <c r="P340" s="15"/>
      <c r="Q340" s="28"/>
      <c r="R340" s="143"/>
      <c r="S340" s="143"/>
      <c r="T340" s="143"/>
      <c r="U340" s="143"/>
      <c r="V340" s="143"/>
      <c r="W340" s="143"/>
      <c r="X340" s="143"/>
    </row>
    <row r="341" spans="1:24" ht="29.25" customHeight="1" x14ac:dyDescent="0.25">
      <c r="A341" s="55"/>
      <c r="B341" s="55"/>
      <c r="C341" s="14" t="s">
        <v>1234</v>
      </c>
      <c r="D341" s="14" t="s">
        <v>1235</v>
      </c>
      <c r="E341" s="14" t="s">
        <v>1236</v>
      </c>
      <c r="F341" s="14">
        <v>3688</v>
      </c>
      <c r="G341" s="14" t="s">
        <v>118</v>
      </c>
      <c r="H341" s="14" t="s">
        <v>820</v>
      </c>
      <c r="I341" s="14" t="s">
        <v>1234</v>
      </c>
      <c r="J341" s="14">
        <v>2</v>
      </c>
      <c r="K341" s="13"/>
      <c r="L341" s="18"/>
      <c r="M341" s="143"/>
      <c r="N341" s="143"/>
      <c r="O341" s="13"/>
      <c r="P341" s="13"/>
      <c r="Q341" s="28"/>
      <c r="R341" s="143"/>
      <c r="S341" s="143"/>
      <c r="T341" s="143"/>
      <c r="U341" s="143"/>
      <c r="V341" s="143"/>
      <c r="W341" s="143"/>
      <c r="X341" s="143"/>
    </row>
    <row r="342" spans="1:24" ht="29.25" customHeight="1" x14ac:dyDescent="0.25">
      <c r="A342" s="55"/>
      <c r="B342" s="55"/>
      <c r="C342" s="14" t="s">
        <v>1237</v>
      </c>
      <c r="D342" s="14" t="s">
        <v>1238</v>
      </c>
      <c r="E342" s="14" t="s">
        <v>1239</v>
      </c>
      <c r="F342" s="14">
        <v>7171</v>
      </c>
      <c r="G342" s="14" t="s">
        <v>118</v>
      </c>
      <c r="H342" s="14" t="s">
        <v>820</v>
      </c>
      <c r="I342" s="14" t="s">
        <v>1237</v>
      </c>
      <c r="J342" s="14">
        <v>2</v>
      </c>
      <c r="K342" s="15"/>
      <c r="L342" s="19"/>
      <c r="M342" s="143"/>
      <c r="N342" s="143"/>
      <c r="O342" s="15"/>
      <c r="P342" s="15"/>
      <c r="Q342" s="28"/>
      <c r="R342" s="143"/>
      <c r="S342" s="143"/>
      <c r="T342" s="143"/>
      <c r="U342" s="143"/>
      <c r="V342" s="143"/>
      <c r="W342" s="143"/>
      <c r="X342" s="143"/>
    </row>
    <row r="343" spans="1:24" ht="29.25" customHeight="1" x14ac:dyDescent="0.25">
      <c r="A343" s="55"/>
      <c r="B343" s="55"/>
      <c r="C343" s="14" t="s">
        <v>1240</v>
      </c>
      <c r="D343" s="14" t="s">
        <v>1241</v>
      </c>
      <c r="E343" s="14" t="s">
        <v>1242</v>
      </c>
      <c r="F343" s="14">
        <v>7170</v>
      </c>
      <c r="G343" s="14" t="s">
        <v>118</v>
      </c>
      <c r="H343" s="14" t="s">
        <v>820</v>
      </c>
      <c r="I343" s="14" t="s">
        <v>1240</v>
      </c>
      <c r="J343" s="14">
        <v>2</v>
      </c>
      <c r="K343" s="13"/>
      <c r="L343" s="18"/>
      <c r="M343" s="143"/>
      <c r="N343" s="143"/>
      <c r="O343" s="13"/>
      <c r="P343" s="13"/>
      <c r="Q343" s="28"/>
      <c r="R343" s="143"/>
      <c r="S343" s="143"/>
      <c r="T343" s="143"/>
      <c r="U343" s="143"/>
      <c r="V343" s="143"/>
      <c r="W343" s="143"/>
      <c r="X343" s="143"/>
    </row>
    <row r="344" spans="1:24" ht="29.25" customHeight="1" x14ac:dyDescent="0.25">
      <c r="A344" s="55"/>
      <c r="B344" s="55"/>
      <c r="C344" s="14" t="s">
        <v>347</v>
      </c>
      <c r="D344" s="14" t="s">
        <v>1221</v>
      </c>
      <c r="E344" s="14" t="s">
        <v>1243</v>
      </c>
      <c r="F344" s="14">
        <v>1984</v>
      </c>
      <c r="G344" s="14" t="s">
        <v>1223</v>
      </c>
      <c r="H344" s="14" t="s">
        <v>240</v>
      </c>
      <c r="I344" s="14" t="s">
        <v>347</v>
      </c>
      <c r="J344" s="14">
        <v>4</v>
      </c>
      <c r="K344" s="15"/>
      <c r="L344" s="19"/>
      <c r="M344" s="143"/>
      <c r="N344" s="143"/>
      <c r="O344" s="15"/>
      <c r="P344" s="15"/>
      <c r="Q344" s="28"/>
      <c r="R344" s="143"/>
      <c r="S344" s="143"/>
      <c r="T344" s="143"/>
      <c r="U344" s="143"/>
      <c r="V344" s="143"/>
      <c r="W344" s="143"/>
      <c r="X344" s="143"/>
    </row>
    <row r="345" spans="1:24" ht="43.5" customHeight="1" x14ac:dyDescent="0.25">
      <c r="A345" s="55"/>
      <c r="B345" s="55"/>
      <c r="C345" s="14" t="s">
        <v>1244</v>
      </c>
      <c r="D345" s="14" t="s">
        <v>1245</v>
      </c>
      <c r="E345" s="14" t="s">
        <v>815</v>
      </c>
      <c r="F345" s="14">
        <v>30</v>
      </c>
      <c r="G345" s="14" t="s">
        <v>1246</v>
      </c>
      <c r="H345" s="14" t="s">
        <v>1247</v>
      </c>
      <c r="I345" s="14" t="s">
        <v>1244</v>
      </c>
      <c r="J345" s="14">
        <v>12</v>
      </c>
      <c r="K345" s="13"/>
      <c r="L345" s="18"/>
      <c r="M345" s="143"/>
      <c r="N345" s="143"/>
      <c r="O345" s="13"/>
      <c r="P345" s="13"/>
      <c r="Q345" s="28"/>
      <c r="R345" s="143"/>
      <c r="S345" s="143"/>
      <c r="T345" s="143"/>
      <c r="U345" s="143"/>
      <c r="V345" s="143"/>
      <c r="W345" s="143"/>
      <c r="X345" s="143"/>
    </row>
    <row r="346" spans="1:24" ht="43.5" customHeight="1" x14ac:dyDescent="0.25">
      <c r="A346" s="55"/>
      <c r="B346" s="55"/>
      <c r="C346" s="14" t="s">
        <v>1248</v>
      </c>
      <c r="D346" s="14" t="s">
        <v>1245</v>
      </c>
      <c r="E346" s="14" t="s">
        <v>1249</v>
      </c>
      <c r="F346" s="14">
        <v>30</v>
      </c>
      <c r="G346" s="14" t="s">
        <v>1246</v>
      </c>
      <c r="H346" s="14" t="s">
        <v>1247</v>
      </c>
      <c r="I346" s="14" t="s">
        <v>1248</v>
      </c>
      <c r="J346" s="14">
        <v>63</v>
      </c>
      <c r="K346" s="15"/>
      <c r="L346" s="19"/>
      <c r="M346" s="143"/>
      <c r="N346" s="143"/>
      <c r="O346" s="15"/>
      <c r="P346" s="15"/>
      <c r="Q346" s="28"/>
      <c r="R346" s="143"/>
      <c r="S346" s="143"/>
      <c r="T346" s="143"/>
      <c r="U346" s="143"/>
      <c r="V346" s="143"/>
      <c r="W346" s="143"/>
      <c r="X346" s="143"/>
    </row>
    <row r="347" spans="1:24" ht="43.5" customHeight="1" x14ac:dyDescent="0.25">
      <c r="A347" s="55"/>
      <c r="B347" s="55"/>
      <c r="C347" s="14" t="s">
        <v>1250</v>
      </c>
      <c r="D347" s="14" t="s">
        <v>1251</v>
      </c>
      <c r="E347" s="14" t="s">
        <v>1252</v>
      </c>
      <c r="F347" s="14">
        <v>486</v>
      </c>
      <c r="G347" s="14" t="s">
        <v>348</v>
      </c>
      <c r="H347" s="14" t="s">
        <v>349</v>
      </c>
      <c r="I347" s="14" t="s">
        <v>1250</v>
      </c>
      <c r="J347" s="14">
        <v>44</v>
      </c>
      <c r="K347" s="13"/>
      <c r="L347" s="18"/>
      <c r="M347" s="143"/>
      <c r="N347" s="143"/>
      <c r="O347" s="13"/>
      <c r="P347" s="13"/>
      <c r="Q347" s="28"/>
      <c r="R347" s="143"/>
      <c r="S347" s="143"/>
      <c r="T347" s="143"/>
      <c r="U347" s="143"/>
      <c r="V347" s="143"/>
      <c r="W347" s="143"/>
      <c r="X347" s="143"/>
    </row>
    <row r="348" spans="1:24" ht="43.5" customHeight="1" x14ac:dyDescent="0.25">
      <c r="A348" s="55"/>
      <c r="B348" s="55"/>
      <c r="C348" s="14" t="s">
        <v>1253</v>
      </c>
      <c r="D348" s="14" t="s">
        <v>1251</v>
      </c>
      <c r="E348" s="14" t="s">
        <v>1254</v>
      </c>
      <c r="F348" s="14">
        <v>486</v>
      </c>
      <c r="G348" s="14" t="s">
        <v>348</v>
      </c>
      <c r="H348" s="14" t="s">
        <v>349</v>
      </c>
      <c r="I348" s="14" t="s">
        <v>1253</v>
      </c>
      <c r="J348" s="14">
        <v>2</v>
      </c>
      <c r="K348" s="15"/>
      <c r="L348" s="19"/>
      <c r="M348" s="143"/>
      <c r="N348" s="143"/>
      <c r="O348" s="15"/>
      <c r="P348" s="15"/>
      <c r="Q348" s="28"/>
      <c r="R348" s="143"/>
      <c r="S348" s="143"/>
      <c r="T348" s="143"/>
      <c r="U348" s="143"/>
      <c r="V348" s="143"/>
      <c r="W348" s="143"/>
      <c r="X348" s="143"/>
    </row>
    <row r="349" spans="1:24" ht="29.25" customHeight="1" x14ac:dyDescent="0.25">
      <c r="A349" s="55"/>
      <c r="B349" s="55"/>
      <c r="C349" s="14" t="s">
        <v>1255</v>
      </c>
      <c r="D349" s="14" t="s">
        <v>1256</v>
      </c>
      <c r="E349" s="14" t="s">
        <v>1257</v>
      </c>
      <c r="F349" s="14">
        <v>2078</v>
      </c>
      <c r="G349" s="14" t="s">
        <v>348</v>
      </c>
      <c r="H349" s="14" t="s">
        <v>351</v>
      </c>
      <c r="I349" s="14" t="s">
        <v>1255</v>
      </c>
      <c r="J349" s="14">
        <v>54</v>
      </c>
      <c r="K349" s="13"/>
      <c r="L349" s="18"/>
      <c r="M349" s="143"/>
      <c r="N349" s="143"/>
      <c r="O349" s="13"/>
      <c r="P349" s="13"/>
      <c r="Q349" s="28"/>
      <c r="R349" s="143"/>
      <c r="S349" s="143"/>
      <c r="T349" s="143"/>
      <c r="U349" s="143"/>
      <c r="V349" s="143"/>
      <c r="W349" s="143"/>
      <c r="X349" s="143"/>
    </row>
    <row r="350" spans="1:24" ht="43.5" customHeight="1" x14ac:dyDescent="0.25">
      <c r="A350" s="55"/>
      <c r="B350" s="55"/>
      <c r="C350" s="14" t="s">
        <v>1258</v>
      </c>
      <c r="D350" s="14" t="s">
        <v>1256</v>
      </c>
      <c r="E350" s="14" t="s">
        <v>1259</v>
      </c>
      <c r="F350" s="14">
        <v>2078</v>
      </c>
      <c r="G350" s="14" t="s">
        <v>348</v>
      </c>
      <c r="H350" s="14" t="s">
        <v>351</v>
      </c>
      <c r="I350" s="14" t="s">
        <v>1258</v>
      </c>
      <c r="J350" s="14">
        <v>4</v>
      </c>
      <c r="K350" s="15"/>
      <c r="L350" s="19"/>
      <c r="M350" s="143"/>
      <c r="N350" s="143"/>
      <c r="O350" s="15"/>
      <c r="P350" s="15"/>
      <c r="Q350" s="28"/>
      <c r="R350" s="143"/>
      <c r="S350" s="143"/>
      <c r="T350" s="143"/>
      <c r="U350" s="143"/>
      <c r="V350" s="143"/>
      <c r="W350" s="143"/>
      <c r="X350" s="143"/>
    </row>
    <row r="351" spans="1:24" ht="29.25" customHeight="1" x14ac:dyDescent="0.25">
      <c r="A351" s="55"/>
      <c r="B351" s="55"/>
      <c r="C351" s="14" t="s">
        <v>1260</v>
      </c>
      <c r="D351" s="14" t="s">
        <v>1261</v>
      </c>
      <c r="E351" s="14" t="s">
        <v>1262</v>
      </c>
      <c r="F351" s="14">
        <v>164</v>
      </c>
      <c r="G351" s="14" t="s">
        <v>353</v>
      </c>
      <c r="H351" s="14" t="s">
        <v>354</v>
      </c>
      <c r="I351" s="14" t="s">
        <v>1260</v>
      </c>
      <c r="J351" s="14">
        <v>304</v>
      </c>
      <c r="K351" s="13"/>
      <c r="L351" s="18"/>
      <c r="M351" s="143"/>
      <c r="N351" s="143"/>
      <c r="O351" s="13"/>
      <c r="P351" s="13"/>
      <c r="Q351" s="28"/>
      <c r="R351" s="143"/>
      <c r="S351" s="143"/>
      <c r="T351" s="143"/>
      <c r="U351" s="143"/>
      <c r="V351" s="143"/>
      <c r="W351" s="143"/>
      <c r="X351" s="143"/>
    </row>
    <row r="352" spans="1:24" ht="43.5" customHeight="1" x14ac:dyDescent="0.25">
      <c r="A352" s="55"/>
      <c r="B352" s="55"/>
      <c r="C352" s="14" t="s">
        <v>1263</v>
      </c>
      <c r="D352" s="14" t="s">
        <v>1261</v>
      </c>
      <c r="E352" s="14" t="s">
        <v>1264</v>
      </c>
      <c r="F352" s="14">
        <v>164</v>
      </c>
      <c r="G352" s="14" t="s">
        <v>353</v>
      </c>
      <c r="H352" s="14" t="s">
        <v>354</v>
      </c>
      <c r="I352" s="14" t="s">
        <v>1263</v>
      </c>
      <c r="J352" s="14">
        <v>20</v>
      </c>
      <c r="K352" s="15"/>
      <c r="L352" s="19"/>
      <c r="M352" s="143"/>
      <c r="N352" s="143"/>
      <c r="O352" s="15"/>
      <c r="P352" s="15"/>
      <c r="Q352" s="28"/>
      <c r="R352" s="143"/>
      <c r="S352" s="143"/>
      <c r="T352" s="143"/>
      <c r="U352" s="143"/>
      <c r="V352" s="143"/>
      <c r="W352" s="143"/>
      <c r="X352" s="143"/>
    </row>
    <row r="353" spans="1:24" ht="29.25" customHeight="1" x14ac:dyDescent="0.25">
      <c r="A353" s="55"/>
      <c r="B353" s="55"/>
      <c r="C353" s="14" t="s">
        <v>1265</v>
      </c>
      <c r="D353" s="14" t="s">
        <v>1266</v>
      </c>
      <c r="E353" s="14" t="s">
        <v>1267</v>
      </c>
      <c r="F353" s="14">
        <v>62</v>
      </c>
      <c r="G353" s="14" t="s">
        <v>356</v>
      </c>
      <c r="H353" s="14" t="s">
        <v>354</v>
      </c>
      <c r="I353" s="14" t="s">
        <v>1265</v>
      </c>
      <c r="J353" s="14">
        <v>304</v>
      </c>
      <c r="K353" s="13"/>
      <c r="L353" s="18"/>
      <c r="M353" s="143"/>
      <c r="N353" s="143"/>
      <c r="O353" s="13"/>
      <c r="P353" s="13"/>
      <c r="Q353" s="28"/>
      <c r="R353" s="143"/>
      <c r="S353" s="143"/>
      <c r="T353" s="143"/>
      <c r="U353" s="143"/>
      <c r="V353" s="143"/>
      <c r="W353" s="143"/>
      <c r="X353" s="143"/>
    </row>
    <row r="354" spans="1:24" ht="43.5" customHeight="1" x14ac:dyDescent="0.25">
      <c r="A354" s="55"/>
      <c r="B354" s="55"/>
      <c r="C354" s="14" t="s">
        <v>1268</v>
      </c>
      <c r="D354" s="14" t="s">
        <v>1266</v>
      </c>
      <c r="E354" s="14" t="s">
        <v>1269</v>
      </c>
      <c r="F354" s="14">
        <v>62</v>
      </c>
      <c r="G354" s="14" t="s">
        <v>356</v>
      </c>
      <c r="H354" s="14" t="s">
        <v>354</v>
      </c>
      <c r="I354" s="14" t="s">
        <v>1268</v>
      </c>
      <c r="J354" s="14">
        <v>20</v>
      </c>
      <c r="K354" s="15"/>
      <c r="L354" s="19"/>
      <c r="M354" s="143"/>
      <c r="N354" s="143"/>
      <c r="O354" s="15"/>
      <c r="P354" s="15"/>
      <c r="Q354" s="28"/>
      <c r="R354" s="143"/>
      <c r="S354" s="143"/>
      <c r="T354" s="143"/>
      <c r="U354" s="143"/>
      <c r="V354" s="143"/>
      <c r="W354" s="143"/>
      <c r="X354" s="143"/>
    </row>
    <row r="355" spans="1:24" ht="15.75" customHeight="1" x14ac:dyDescent="0.25">
      <c r="A355" s="55"/>
      <c r="B355" s="55"/>
      <c r="C355" s="14"/>
      <c r="D355" s="14">
        <v>0</v>
      </c>
      <c r="E355" s="14">
        <v>0</v>
      </c>
      <c r="F355" s="14">
        <v>100</v>
      </c>
      <c r="G355" s="14" t="s">
        <v>1270</v>
      </c>
      <c r="H355" s="14" t="s">
        <v>1271</v>
      </c>
      <c r="I355" s="14"/>
      <c r="J355" s="14">
        <v>140</v>
      </c>
      <c r="K355" s="13"/>
      <c r="L355" s="18"/>
      <c r="M355" s="143"/>
      <c r="N355" s="143"/>
      <c r="O355" s="13"/>
      <c r="P355" s="13"/>
      <c r="Q355" s="28"/>
      <c r="R355" s="143"/>
      <c r="S355" s="143"/>
      <c r="T355" s="143"/>
      <c r="U355" s="143"/>
      <c r="V355" s="143"/>
      <c r="W355" s="143"/>
      <c r="X355" s="143"/>
    </row>
    <row r="356" spans="1:24" ht="15.75" customHeight="1" x14ac:dyDescent="0.25">
      <c r="A356" s="55"/>
      <c r="B356" s="55"/>
      <c r="C356" s="14"/>
      <c r="D356" s="14">
        <v>0</v>
      </c>
      <c r="E356" s="14">
        <v>0</v>
      </c>
      <c r="F356" s="14">
        <v>85</v>
      </c>
      <c r="G356" s="14" t="s">
        <v>1272</v>
      </c>
      <c r="H356" s="14" t="s">
        <v>1271</v>
      </c>
      <c r="I356" s="14"/>
      <c r="J356" s="14">
        <v>480</v>
      </c>
      <c r="K356" s="15"/>
      <c r="L356" s="19"/>
      <c r="M356" s="143"/>
      <c r="N356" s="143"/>
      <c r="O356" s="15"/>
      <c r="P356" s="15"/>
      <c r="Q356" s="28"/>
      <c r="R356" s="143"/>
      <c r="S356" s="143"/>
      <c r="T356" s="143"/>
      <c r="U356" s="143"/>
      <c r="V356" s="143"/>
      <c r="W356" s="143"/>
      <c r="X356" s="143"/>
    </row>
    <row r="357" spans="1:24" ht="15.75" customHeight="1" x14ac:dyDescent="0.25">
      <c r="A357" s="55"/>
      <c r="B357" s="55"/>
      <c r="C357" s="14"/>
      <c r="D357" s="14">
        <v>0</v>
      </c>
      <c r="E357" s="14">
        <v>0</v>
      </c>
      <c r="F357" s="14">
        <v>100</v>
      </c>
      <c r="G357" s="14" t="s">
        <v>1273</v>
      </c>
      <c r="H357" s="14" t="s">
        <v>1271</v>
      </c>
      <c r="I357" s="14"/>
      <c r="J357" s="14">
        <v>80</v>
      </c>
      <c r="K357" s="13"/>
      <c r="L357" s="18"/>
      <c r="M357" s="143"/>
      <c r="N357" s="143"/>
      <c r="O357" s="13"/>
      <c r="P357" s="13"/>
      <c r="Q357" s="28"/>
      <c r="R357" s="143"/>
      <c r="S357" s="143"/>
      <c r="T357" s="143"/>
      <c r="U357" s="143"/>
      <c r="V357" s="143"/>
      <c r="W357" s="143"/>
      <c r="X357" s="143"/>
    </row>
    <row r="358" spans="1:24" ht="15.75" customHeight="1" x14ac:dyDescent="0.25">
      <c r="A358" s="55"/>
      <c r="B358" s="55"/>
      <c r="C358" s="14"/>
      <c r="D358" s="14">
        <v>0</v>
      </c>
      <c r="E358" s="14">
        <v>0</v>
      </c>
      <c r="F358" s="14">
        <v>19</v>
      </c>
      <c r="G358" s="14" t="s">
        <v>390</v>
      </c>
      <c r="H358" s="14" t="s">
        <v>371</v>
      </c>
      <c r="I358" s="14"/>
      <c r="J358" s="14">
        <v>180</v>
      </c>
      <c r="K358" s="15"/>
      <c r="L358" s="19"/>
      <c r="M358" s="143"/>
      <c r="N358" s="143"/>
      <c r="O358" s="15"/>
      <c r="P358" s="15"/>
      <c r="Q358" s="28"/>
      <c r="R358" s="143"/>
      <c r="S358" s="143"/>
      <c r="T358" s="143"/>
      <c r="U358" s="143"/>
      <c r="V358" s="143"/>
      <c r="W358" s="143"/>
      <c r="X358" s="143"/>
    </row>
    <row r="359" spans="1:24" ht="15.75" customHeight="1" x14ac:dyDescent="0.25">
      <c r="A359" s="55"/>
      <c r="B359" s="55"/>
      <c r="C359" s="14"/>
      <c r="D359" s="14">
        <v>0</v>
      </c>
      <c r="E359" s="14">
        <v>0</v>
      </c>
      <c r="F359" s="14">
        <v>13</v>
      </c>
      <c r="G359" s="14" t="s">
        <v>386</v>
      </c>
      <c r="H359" s="14" t="s">
        <v>371</v>
      </c>
      <c r="I359" s="14"/>
      <c r="J359" s="14">
        <v>250</v>
      </c>
      <c r="K359" s="13"/>
      <c r="L359" s="18"/>
      <c r="M359" s="143"/>
      <c r="N359" s="143"/>
      <c r="O359" s="13"/>
      <c r="P359" s="13"/>
      <c r="Q359" s="28"/>
      <c r="R359" s="143"/>
      <c r="S359" s="143"/>
      <c r="T359" s="143"/>
      <c r="U359" s="143"/>
      <c r="V359" s="143"/>
      <c r="W359" s="143"/>
      <c r="X359" s="143"/>
    </row>
    <row r="360" spans="1:24" ht="15.75" customHeight="1" x14ac:dyDescent="0.25">
      <c r="A360" s="55"/>
      <c r="B360" s="55"/>
      <c r="C360" s="14"/>
      <c r="D360" s="14">
        <v>0</v>
      </c>
      <c r="E360" s="14">
        <v>0</v>
      </c>
      <c r="F360" s="14">
        <v>19</v>
      </c>
      <c r="G360" s="14" t="s">
        <v>390</v>
      </c>
      <c r="H360" s="14" t="s">
        <v>371</v>
      </c>
      <c r="I360" s="14"/>
      <c r="J360" s="14">
        <v>900</v>
      </c>
      <c r="K360" s="15"/>
      <c r="L360" s="19"/>
      <c r="M360" s="143"/>
      <c r="N360" s="143"/>
      <c r="O360" s="15"/>
      <c r="P360" s="15"/>
      <c r="Q360" s="28"/>
      <c r="R360" s="143"/>
      <c r="S360" s="143"/>
      <c r="T360" s="143"/>
      <c r="U360" s="143"/>
      <c r="V360" s="143"/>
      <c r="W360" s="143"/>
      <c r="X360" s="143"/>
    </row>
    <row r="361" spans="1:24" ht="15.75" customHeight="1" x14ac:dyDescent="0.25">
      <c r="A361" s="55"/>
      <c r="B361" s="55"/>
      <c r="C361" s="14"/>
      <c r="D361" s="14">
        <v>0</v>
      </c>
      <c r="E361" s="14">
        <v>0</v>
      </c>
      <c r="F361" s="14">
        <v>19</v>
      </c>
      <c r="G361" s="14" t="s">
        <v>390</v>
      </c>
      <c r="H361" s="14" t="s">
        <v>371</v>
      </c>
      <c r="I361" s="14"/>
      <c r="J361" s="14">
        <v>300</v>
      </c>
      <c r="K361" s="13"/>
      <c r="L361" s="18"/>
      <c r="M361" s="143"/>
      <c r="N361" s="143"/>
      <c r="O361" s="13"/>
      <c r="P361" s="13"/>
      <c r="Q361" s="28"/>
      <c r="R361" s="143"/>
      <c r="S361" s="143"/>
      <c r="T361" s="143"/>
      <c r="U361" s="143"/>
      <c r="V361" s="143"/>
      <c r="W361" s="143"/>
      <c r="X361" s="143"/>
    </row>
    <row r="362" spans="1:24" ht="15.75" customHeight="1" x14ac:dyDescent="0.25">
      <c r="A362" s="55"/>
      <c r="B362" s="55"/>
      <c r="C362" s="14"/>
      <c r="D362" s="14">
        <v>0</v>
      </c>
      <c r="E362" s="14">
        <v>0</v>
      </c>
      <c r="F362" s="14">
        <v>38</v>
      </c>
      <c r="G362" s="14" t="s">
        <v>393</v>
      </c>
      <c r="H362" s="14" t="s">
        <v>378</v>
      </c>
      <c r="I362" s="14"/>
      <c r="J362" s="14">
        <v>357</v>
      </c>
      <c r="K362" s="15"/>
      <c r="L362" s="19"/>
      <c r="M362" s="143"/>
      <c r="N362" s="143"/>
      <c r="O362" s="15"/>
      <c r="P362" s="15"/>
      <c r="Q362" s="28"/>
      <c r="R362" s="143"/>
      <c r="S362" s="143"/>
      <c r="T362" s="143"/>
      <c r="U362" s="143"/>
      <c r="V362" s="143"/>
      <c r="W362" s="143"/>
      <c r="X362" s="143"/>
    </row>
    <row r="363" spans="1:24" ht="15.75" customHeight="1" x14ac:dyDescent="0.25">
      <c r="A363" s="55"/>
      <c r="B363" s="55"/>
      <c r="C363" s="14"/>
      <c r="D363" s="14">
        <v>0</v>
      </c>
      <c r="E363" s="14">
        <v>0</v>
      </c>
      <c r="F363" s="14">
        <v>44</v>
      </c>
      <c r="G363" s="14" t="s">
        <v>396</v>
      </c>
      <c r="H363" s="14" t="s">
        <v>378</v>
      </c>
      <c r="I363" s="14"/>
      <c r="J363" s="14">
        <v>588</v>
      </c>
      <c r="K363" s="13"/>
      <c r="L363" s="18"/>
      <c r="M363" s="143"/>
      <c r="N363" s="143"/>
      <c r="O363" s="13"/>
      <c r="P363" s="13"/>
      <c r="Q363" s="28"/>
      <c r="R363" s="143"/>
      <c r="S363" s="143"/>
      <c r="T363" s="143"/>
      <c r="U363" s="143"/>
      <c r="V363" s="143"/>
      <c r="W363" s="143"/>
      <c r="X363" s="143"/>
    </row>
    <row r="364" spans="1:24" ht="15.75" customHeight="1" x14ac:dyDescent="0.25">
      <c r="A364" s="55"/>
      <c r="B364" s="55"/>
      <c r="C364" s="14"/>
      <c r="D364" s="14">
        <v>0</v>
      </c>
      <c r="E364" s="14">
        <v>0</v>
      </c>
      <c r="F364" s="14">
        <v>51</v>
      </c>
      <c r="G364" s="14" t="s">
        <v>400</v>
      </c>
      <c r="H364" s="14" t="s">
        <v>378</v>
      </c>
      <c r="I364" s="14"/>
      <c r="J364" s="14">
        <v>4</v>
      </c>
      <c r="K364" s="15"/>
      <c r="L364" s="19"/>
      <c r="M364" s="143"/>
      <c r="N364" s="143"/>
      <c r="O364" s="15"/>
      <c r="P364" s="15"/>
      <c r="Q364" s="28"/>
      <c r="R364" s="143"/>
      <c r="S364" s="143"/>
      <c r="T364" s="143"/>
      <c r="U364" s="143"/>
      <c r="V364" s="143"/>
      <c r="W364" s="143"/>
      <c r="X364" s="143"/>
    </row>
    <row r="365" spans="1:24" ht="15.75" customHeight="1" x14ac:dyDescent="0.25">
      <c r="A365" s="55"/>
      <c r="B365" s="55"/>
      <c r="C365" s="14"/>
      <c r="D365" s="14">
        <v>0.03</v>
      </c>
      <c r="E365" s="14">
        <v>0.96</v>
      </c>
      <c r="F365" s="14">
        <v>38</v>
      </c>
      <c r="G365" s="14" t="s">
        <v>402</v>
      </c>
      <c r="H365" s="14" t="s">
        <v>378</v>
      </c>
      <c r="I365" s="14"/>
      <c r="J365" s="14">
        <v>36</v>
      </c>
      <c r="K365" s="13"/>
      <c r="L365" s="18"/>
      <c r="M365" s="143"/>
      <c r="N365" s="143"/>
      <c r="O365" s="13"/>
      <c r="P365" s="13"/>
      <c r="Q365" s="28"/>
      <c r="R365" s="143"/>
      <c r="S365" s="143"/>
      <c r="T365" s="143"/>
      <c r="U365" s="143"/>
      <c r="V365" s="143"/>
      <c r="W365" s="143"/>
      <c r="X365" s="143"/>
    </row>
    <row r="366" spans="1:24" ht="15.75" customHeight="1" x14ac:dyDescent="0.25">
      <c r="A366" s="55"/>
      <c r="B366" s="55"/>
      <c r="C366" s="14"/>
      <c r="D366" s="14">
        <v>0.02</v>
      </c>
      <c r="E366" s="14">
        <v>13.33</v>
      </c>
      <c r="F366" s="14">
        <v>32</v>
      </c>
      <c r="G366" s="14" t="s">
        <v>404</v>
      </c>
      <c r="H366" s="14" t="s">
        <v>378</v>
      </c>
      <c r="I366" s="14"/>
      <c r="J366" s="14">
        <v>572</v>
      </c>
      <c r="K366" s="15"/>
      <c r="L366" s="19"/>
      <c r="M366" s="143"/>
      <c r="N366" s="143"/>
      <c r="O366" s="15"/>
      <c r="P366" s="15"/>
      <c r="Q366" s="28"/>
      <c r="R366" s="143"/>
      <c r="S366" s="143"/>
      <c r="T366" s="143"/>
      <c r="U366" s="143"/>
      <c r="V366" s="143"/>
      <c r="W366" s="143"/>
      <c r="X366" s="143"/>
    </row>
    <row r="367" spans="1:24" ht="15.75" customHeight="1" x14ac:dyDescent="0.25">
      <c r="A367" s="55"/>
      <c r="B367" s="55"/>
      <c r="C367" s="14"/>
      <c r="D367" s="14">
        <v>0.02</v>
      </c>
      <c r="E367" s="14">
        <v>5.74</v>
      </c>
      <c r="F367" s="14">
        <v>25</v>
      </c>
      <c r="G367" s="14" t="s">
        <v>410</v>
      </c>
      <c r="H367" s="14" t="s">
        <v>378</v>
      </c>
      <c r="I367" s="14"/>
      <c r="J367" s="14">
        <v>283</v>
      </c>
      <c r="K367" s="13"/>
      <c r="L367" s="18"/>
      <c r="M367" s="143"/>
      <c r="N367" s="143"/>
      <c r="O367" s="13"/>
      <c r="P367" s="13"/>
      <c r="Q367" s="28"/>
      <c r="R367" s="143"/>
      <c r="S367" s="143"/>
      <c r="T367" s="143"/>
      <c r="U367" s="143"/>
      <c r="V367" s="143"/>
      <c r="W367" s="143"/>
      <c r="X367" s="143"/>
    </row>
    <row r="368" spans="1:24" ht="15.75" customHeight="1" x14ac:dyDescent="0.25">
      <c r="A368" s="55"/>
      <c r="B368" s="55"/>
      <c r="C368" s="14"/>
      <c r="D368" s="14">
        <v>0.02</v>
      </c>
      <c r="E368" s="14">
        <v>23.65</v>
      </c>
      <c r="F368" s="14">
        <v>25</v>
      </c>
      <c r="G368" s="14" t="s">
        <v>410</v>
      </c>
      <c r="H368" s="14" t="s">
        <v>1274</v>
      </c>
      <c r="I368" s="14"/>
      <c r="J368" s="14">
        <v>413</v>
      </c>
      <c r="K368" s="15"/>
      <c r="L368" s="19"/>
      <c r="M368" s="143"/>
      <c r="N368" s="143"/>
      <c r="O368" s="15"/>
      <c r="P368" s="15"/>
      <c r="Q368" s="28"/>
      <c r="R368" s="143"/>
      <c r="S368" s="143"/>
      <c r="T368" s="143"/>
      <c r="U368" s="143"/>
      <c r="V368" s="143"/>
      <c r="W368" s="143"/>
      <c r="X368" s="143"/>
    </row>
    <row r="369" spans="1:24" ht="15.75" customHeight="1" x14ac:dyDescent="0.25">
      <c r="A369" s="55"/>
      <c r="B369" s="55"/>
      <c r="C369" s="14"/>
      <c r="D369" s="14">
        <v>0.02</v>
      </c>
      <c r="E369" s="14">
        <v>266.52999999999997</v>
      </c>
      <c r="F369" s="14">
        <v>19</v>
      </c>
      <c r="G369" s="14" t="s">
        <v>414</v>
      </c>
      <c r="H369" s="14" t="s">
        <v>378</v>
      </c>
      <c r="I369" s="14"/>
      <c r="J369" s="14">
        <v>46</v>
      </c>
      <c r="K369" s="13"/>
      <c r="L369" s="18"/>
      <c r="M369" s="143"/>
      <c r="N369" s="143"/>
      <c r="O369" s="13"/>
      <c r="P369" s="13"/>
      <c r="Q369" s="28"/>
      <c r="R369" s="143"/>
      <c r="S369" s="143"/>
      <c r="T369" s="143"/>
      <c r="U369" s="143"/>
      <c r="V369" s="143"/>
      <c r="W369" s="143"/>
      <c r="X369" s="143"/>
    </row>
    <row r="370" spans="1:24" ht="15.75" customHeight="1" x14ac:dyDescent="0.25">
      <c r="A370" s="55"/>
      <c r="B370" s="55"/>
      <c r="C370" s="14"/>
      <c r="D370" s="14">
        <v>0.12</v>
      </c>
      <c r="E370" s="14">
        <v>3.33</v>
      </c>
      <c r="F370" s="14">
        <v>57</v>
      </c>
      <c r="G370" s="14" t="s">
        <v>1275</v>
      </c>
      <c r="H370" s="14" t="s">
        <v>395</v>
      </c>
      <c r="I370" s="14"/>
      <c r="J370" s="14">
        <v>28</v>
      </c>
      <c r="K370" s="15"/>
      <c r="L370" s="19"/>
      <c r="M370" s="143"/>
      <c r="N370" s="143"/>
      <c r="O370" s="15"/>
      <c r="P370" s="15"/>
      <c r="Q370" s="28"/>
      <c r="R370" s="143"/>
      <c r="S370" s="143"/>
      <c r="T370" s="143"/>
      <c r="U370" s="143"/>
      <c r="V370" s="143"/>
      <c r="W370" s="143"/>
      <c r="X370" s="143"/>
    </row>
    <row r="371" spans="1:24" ht="15.75" customHeight="1" x14ac:dyDescent="0.25">
      <c r="A371" s="55"/>
      <c r="B371" s="55"/>
      <c r="C371" s="14"/>
      <c r="D371" s="14">
        <v>0.11</v>
      </c>
      <c r="E371" s="14">
        <v>0.88</v>
      </c>
      <c r="F371" s="14">
        <v>51</v>
      </c>
      <c r="G371" s="14" t="s">
        <v>1276</v>
      </c>
      <c r="H371" s="14" t="s">
        <v>395</v>
      </c>
      <c r="I371" s="14"/>
      <c r="J371" s="14">
        <v>8</v>
      </c>
      <c r="K371" s="13"/>
      <c r="L371" s="18"/>
      <c r="M371" s="143"/>
      <c r="N371" s="143"/>
      <c r="O371" s="13"/>
      <c r="P371" s="13"/>
      <c r="Q371" s="28"/>
      <c r="R371" s="143"/>
      <c r="S371" s="143"/>
      <c r="T371" s="143"/>
      <c r="U371" s="143"/>
      <c r="V371" s="143"/>
      <c r="W371" s="143"/>
      <c r="X371" s="143"/>
    </row>
    <row r="372" spans="1:24" ht="15.75" customHeight="1" x14ac:dyDescent="0.25">
      <c r="A372" s="55"/>
      <c r="B372" s="55"/>
      <c r="C372" s="14"/>
      <c r="D372" s="14">
        <v>0.26</v>
      </c>
      <c r="E372" s="14">
        <v>24.58</v>
      </c>
      <c r="F372" s="14">
        <v>57</v>
      </c>
      <c r="G372" s="14" t="s">
        <v>416</v>
      </c>
      <c r="H372" s="14" t="s">
        <v>395</v>
      </c>
      <c r="I372" s="14"/>
      <c r="J372" s="14">
        <v>96</v>
      </c>
      <c r="K372" s="15"/>
      <c r="L372" s="19"/>
      <c r="M372" s="143"/>
      <c r="N372" s="143"/>
      <c r="O372" s="15"/>
      <c r="P372" s="15"/>
      <c r="Q372" s="28"/>
      <c r="R372" s="143"/>
      <c r="S372" s="143"/>
      <c r="T372" s="143"/>
      <c r="U372" s="143"/>
      <c r="V372" s="143"/>
      <c r="W372" s="143"/>
      <c r="X372" s="143"/>
    </row>
    <row r="373" spans="1:24" ht="15.75" customHeight="1" x14ac:dyDescent="0.25">
      <c r="A373" s="55"/>
      <c r="B373" s="55"/>
      <c r="C373" s="14"/>
      <c r="D373" s="14">
        <v>0.02</v>
      </c>
      <c r="E373" s="14">
        <v>15.09</v>
      </c>
      <c r="F373" s="14" t="s">
        <v>432</v>
      </c>
      <c r="G373" s="14" t="s">
        <v>426</v>
      </c>
      <c r="H373" s="14" t="s">
        <v>432</v>
      </c>
      <c r="I373" s="14"/>
      <c r="J373" s="14">
        <v>949</v>
      </c>
      <c r="K373" s="13"/>
      <c r="L373" s="18"/>
      <c r="M373" s="143"/>
      <c r="N373" s="143"/>
      <c r="O373" s="13"/>
      <c r="P373" s="13"/>
      <c r="Q373" s="28"/>
      <c r="R373" s="143"/>
      <c r="S373" s="143"/>
      <c r="T373" s="143"/>
      <c r="U373" s="143"/>
      <c r="V373" s="143"/>
      <c r="W373" s="143"/>
      <c r="X373" s="143"/>
    </row>
    <row r="374" spans="1:24" ht="15.75" customHeight="1" x14ac:dyDescent="0.25">
      <c r="A374" s="55"/>
      <c r="B374" s="55"/>
      <c r="C374" s="14"/>
      <c r="D374" s="14">
        <v>0.01</v>
      </c>
      <c r="E374" s="14">
        <v>120.63</v>
      </c>
      <c r="F374" s="14" t="s">
        <v>432</v>
      </c>
      <c r="G374" s="14" t="s">
        <v>430</v>
      </c>
      <c r="H374" s="14" t="s">
        <v>432</v>
      </c>
      <c r="I374" s="14"/>
      <c r="J374" s="14">
        <v>1355</v>
      </c>
      <c r="K374" s="15"/>
      <c r="L374" s="19"/>
      <c r="M374" s="143"/>
      <c r="N374" s="143"/>
      <c r="O374" s="15"/>
      <c r="P374" s="15"/>
      <c r="Q374" s="28"/>
      <c r="R374" s="143"/>
      <c r="S374" s="143"/>
      <c r="T374" s="143"/>
      <c r="U374" s="143"/>
      <c r="V374" s="143"/>
      <c r="W374" s="143"/>
      <c r="X374" s="143"/>
    </row>
    <row r="375" spans="1:24" ht="15.75" customHeight="1" x14ac:dyDescent="0.25">
      <c r="A375" s="55"/>
      <c r="B375" s="55"/>
      <c r="C375" s="14"/>
      <c r="D375" s="14">
        <v>0.03</v>
      </c>
      <c r="E375" s="14">
        <v>1.17</v>
      </c>
      <c r="F375" s="14" t="s">
        <v>432</v>
      </c>
      <c r="G375" s="14" t="s">
        <v>1277</v>
      </c>
      <c r="H375" s="14" t="s">
        <v>432</v>
      </c>
      <c r="I375" s="14"/>
      <c r="J375" s="14">
        <v>36</v>
      </c>
      <c r="K375" s="13"/>
      <c r="L375" s="18"/>
      <c r="M375" s="143"/>
      <c r="N375" s="143"/>
      <c r="O375" s="13"/>
      <c r="P375" s="13"/>
      <c r="Q375" s="28"/>
      <c r="R375" s="143"/>
      <c r="S375" s="143"/>
      <c r="T375" s="143"/>
      <c r="U375" s="143"/>
      <c r="V375" s="143"/>
      <c r="W375" s="143"/>
      <c r="X375" s="143"/>
    </row>
    <row r="376" spans="1:24" ht="15.75" customHeight="1" x14ac:dyDescent="0.25">
      <c r="A376" s="55"/>
      <c r="B376" s="55"/>
      <c r="C376" s="14"/>
      <c r="D376" s="14">
        <v>0.09</v>
      </c>
      <c r="E376" s="14">
        <v>8.16</v>
      </c>
      <c r="F376" s="14" t="s">
        <v>432</v>
      </c>
      <c r="G376" s="14" t="s">
        <v>433</v>
      </c>
      <c r="H376" s="14" t="s">
        <v>432</v>
      </c>
      <c r="I376" s="14"/>
      <c r="J376" s="14">
        <v>96</v>
      </c>
      <c r="K376" s="15"/>
      <c r="L376" s="19"/>
      <c r="M376" s="143"/>
      <c r="N376" s="143"/>
      <c r="O376" s="15"/>
      <c r="P376" s="15"/>
      <c r="Q376" s="28"/>
      <c r="R376" s="143"/>
      <c r="S376" s="143"/>
      <c r="T376" s="143"/>
      <c r="U376" s="143"/>
      <c r="V376" s="143"/>
      <c r="W376" s="143"/>
      <c r="X376" s="143"/>
    </row>
    <row r="377" spans="1:24" ht="15.75" customHeight="1" x14ac:dyDescent="0.25">
      <c r="A377" s="55"/>
      <c r="B377" s="55"/>
      <c r="C377" s="14"/>
      <c r="D377" s="14">
        <v>0.01</v>
      </c>
      <c r="E377" s="14">
        <v>12.81</v>
      </c>
      <c r="F377" s="14" t="s">
        <v>432</v>
      </c>
      <c r="G377" s="14" t="s">
        <v>372</v>
      </c>
      <c r="H377" s="14" t="s">
        <v>432</v>
      </c>
      <c r="I377" s="14"/>
      <c r="J377" s="14">
        <v>949</v>
      </c>
      <c r="K377" s="13"/>
      <c r="L377" s="18"/>
      <c r="M377" s="143"/>
      <c r="N377" s="143"/>
      <c r="O377" s="13"/>
      <c r="P377" s="13"/>
      <c r="Q377" s="28"/>
      <c r="R377" s="143"/>
      <c r="S377" s="143"/>
      <c r="T377" s="143"/>
      <c r="U377" s="143"/>
      <c r="V377" s="143"/>
      <c r="W377" s="143"/>
      <c r="X377" s="143"/>
    </row>
    <row r="378" spans="1:24" ht="15.75" customHeight="1" x14ac:dyDescent="0.25">
      <c r="A378" s="55"/>
      <c r="B378" s="55"/>
      <c r="C378" s="14"/>
      <c r="D378" s="14">
        <v>0.01</v>
      </c>
      <c r="E378" s="14">
        <v>177.39</v>
      </c>
      <c r="F378" s="14" t="s">
        <v>432</v>
      </c>
      <c r="G378" s="14" t="s">
        <v>376</v>
      </c>
      <c r="H378" s="14" t="s">
        <v>432</v>
      </c>
      <c r="I378" s="14"/>
      <c r="J378" s="14">
        <v>1355</v>
      </c>
      <c r="K378" s="15"/>
      <c r="L378" s="19"/>
      <c r="M378" s="143"/>
      <c r="N378" s="143"/>
      <c r="O378" s="15"/>
      <c r="P378" s="15"/>
      <c r="Q378" s="28"/>
      <c r="R378" s="143"/>
      <c r="S378" s="143"/>
      <c r="T378" s="143"/>
      <c r="U378" s="143"/>
      <c r="V378" s="143"/>
      <c r="W378" s="143"/>
      <c r="X378" s="143"/>
    </row>
    <row r="379" spans="1:24" ht="15.75" customHeight="1" x14ac:dyDescent="0.25">
      <c r="A379" s="55"/>
      <c r="B379" s="55"/>
      <c r="C379" s="14"/>
      <c r="D379" s="14">
        <v>0.02</v>
      </c>
      <c r="E379" s="14">
        <v>0.72</v>
      </c>
      <c r="F379" s="14" t="s">
        <v>432</v>
      </c>
      <c r="G379" s="14" t="s">
        <v>1278</v>
      </c>
      <c r="H379" s="14" t="s">
        <v>432</v>
      </c>
      <c r="I379" s="14"/>
      <c r="J379" s="14">
        <v>36</v>
      </c>
      <c r="K379" s="13"/>
      <c r="L379" s="18"/>
      <c r="M379" s="143"/>
      <c r="N379" s="143"/>
      <c r="O379" s="13"/>
      <c r="P379" s="13"/>
      <c r="Q379" s="28"/>
      <c r="R379" s="143"/>
      <c r="S379" s="143"/>
      <c r="T379" s="143"/>
      <c r="U379" s="143"/>
      <c r="V379" s="143"/>
      <c r="W379" s="143"/>
      <c r="X379" s="143"/>
    </row>
    <row r="380" spans="1:24" ht="15.75" customHeight="1" x14ac:dyDescent="0.25">
      <c r="A380" s="55"/>
      <c r="B380" s="55"/>
      <c r="C380" s="14"/>
      <c r="D380" s="14">
        <v>0.04</v>
      </c>
      <c r="E380" s="14">
        <v>3.41</v>
      </c>
      <c r="F380" s="14" t="s">
        <v>432</v>
      </c>
      <c r="G380" s="14" t="s">
        <v>379</v>
      </c>
      <c r="H380" s="14" t="s">
        <v>432</v>
      </c>
      <c r="I380" s="14"/>
      <c r="J380" s="14">
        <v>96</v>
      </c>
      <c r="K380" s="15"/>
      <c r="L380" s="19"/>
      <c r="M380" s="143"/>
      <c r="N380" s="143"/>
      <c r="O380" s="15"/>
      <c r="P380" s="15"/>
      <c r="Q380" s="28"/>
      <c r="R380" s="143"/>
      <c r="S380" s="143"/>
      <c r="T380" s="143"/>
      <c r="U380" s="143"/>
      <c r="V380" s="143"/>
      <c r="W380" s="143"/>
      <c r="X380" s="143"/>
    </row>
    <row r="381" spans="1:24" ht="15.75" customHeight="1" x14ac:dyDescent="0.25">
      <c r="A381" s="55"/>
      <c r="B381" s="55"/>
      <c r="C381" s="13"/>
      <c r="D381" s="18"/>
      <c r="E381" s="13"/>
      <c r="F381" s="13"/>
      <c r="G381" s="143"/>
      <c r="H381" s="13"/>
      <c r="I381" s="13"/>
      <c r="J381" s="18"/>
      <c r="K381" s="13"/>
      <c r="L381" s="18"/>
      <c r="M381" s="143"/>
      <c r="N381" s="143"/>
      <c r="O381" s="13"/>
      <c r="P381" s="13"/>
      <c r="Q381" s="28"/>
      <c r="R381" s="143"/>
      <c r="S381" s="143"/>
      <c r="T381" s="143"/>
      <c r="U381" s="143"/>
      <c r="V381" s="143"/>
      <c r="W381" s="143"/>
      <c r="X381" s="143"/>
    </row>
    <row r="382" spans="1:24" ht="15.75" customHeight="1" x14ac:dyDescent="0.25">
      <c r="A382" s="55"/>
      <c r="B382" s="55"/>
      <c r="C382" s="15"/>
      <c r="D382" s="19"/>
      <c r="E382" s="15"/>
      <c r="F382" s="15"/>
      <c r="G382" s="143"/>
      <c r="H382" s="15"/>
      <c r="I382" s="15"/>
      <c r="J382" s="19"/>
      <c r="K382" s="15"/>
      <c r="L382" s="19"/>
      <c r="M382" s="143"/>
      <c r="N382" s="143"/>
      <c r="O382" s="15"/>
      <c r="P382" s="15"/>
      <c r="Q382" s="28"/>
      <c r="R382" s="143"/>
      <c r="S382" s="143"/>
      <c r="T382" s="143"/>
      <c r="U382" s="143"/>
      <c r="V382" s="143"/>
      <c r="W382" s="143"/>
      <c r="X382" s="143"/>
    </row>
    <row r="383" spans="1:24" ht="15.75" customHeight="1" x14ac:dyDescent="0.25">
      <c r="A383" s="55"/>
      <c r="B383" s="55"/>
      <c r="C383" s="13"/>
      <c r="D383" s="18"/>
      <c r="E383" s="13"/>
      <c r="F383" s="13"/>
      <c r="G383" s="143"/>
      <c r="H383" s="13"/>
      <c r="I383" s="13"/>
      <c r="J383" s="18"/>
      <c r="K383" s="13"/>
      <c r="L383" s="18"/>
      <c r="M383" s="143"/>
      <c r="N383" s="143"/>
      <c r="O383" s="13"/>
      <c r="P383" s="13"/>
      <c r="Q383" s="28"/>
      <c r="R383" s="143"/>
      <c r="S383" s="143"/>
      <c r="T383" s="143"/>
      <c r="U383" s="143"/>
      <c r="V383" s="143"/>
      <c r="W383" s="143"/>
      <c r="X383" s="143"/>
    </row>
    <row r="384" spans="1:24" ht="15.75" customHeight="1" x14ac:dyDescent="0.25">
      <c r="A384" s="55"/>
      <c r="B384" s="55"/>
      <c r="C384" s="15"/>
      <c r="D384" s="19"/>
      <c r="E384" s="15"/>
      <c r="F384" s="15"/>
      <c r="G384" s="143"/>
      <c r="H384" s="15"/>
      <c r="I384" s="15"/>
      <c r="J384" s="19"/>
      <c r="K384" s="15"/>
      <c r="L384" s="19"/>
      <c r="M384" s="143"/>
      <c r="N384" s="143"/>
      <c r="O384" s="15"/>
      <c r="P384" s="15"/>
      <c r="Q384" s="28"/>
      <c r="R384" s="143"/>
      <c r="S384" s="143"/>
      <c r="T384" s="143"/>
      <c r="U384" s="143"/>
      <c r="V384" s="143"/>
      <c r="W384" s="143"/>
      <c r="X384" s="143"/>
    </row>
    <row r="385" spans="1:24" ht="15.75" customHeight="1" x14ac:dyDescent="0.25">
      <c r="A385" s="55"/>
      <c r="B385" s="55"/>
      <c r="C385" s="13"/>
      <c r="D385" s="18"/>
      <c r="E385" s="13"/>
      <c r="F385" s="13"/>
      <c r="G385" s="143"/>
      <c r="H385" s="13"/>
      <c r="I385" s="13"/>
      <c r="J385" s="18"/>
      <c r="K385" s="13"/>
      <c r="L385" s="18"/>
      <c r="M385" s="143"/>
      <c r="N385" s="143"/>
      <c r="O385" s="13"/>
      <c r="P385" s="13"/>
      <c r="Q385" s="28"/>
      <c r="R385" s="143"/>
      <c r="S385" s="143"/>
      <c r="T385" s="143"/>
      <c r="U385" s="143"/>
      <c r="V385" s="143"/>
      <c r="W385" s="143"/>
      <c r="X385" s="143"/>
    </row>
    <row r="386" spans="1:24" ht="15.75" customHeight="1" x14ac:dyDescent="0.25">
      <c r="A386" s="55"/>
      <c r="B386" s="55"/>
      <c r="C386" s="15"/>
      <c r="D386" s="19"/>
      <c r="E386" s="15"/>
      <c r="F386" s="15"/>
      <c r="G386" s="143"/>
      <c r="H386" s="15"/>
      <c r="I386" s="15"/>
      <c r="J386" s="19"/>
      <c r="K386" s="15"/>
      <c r="L386" s="19"/>
      <c r="M386" s="143"/>
      <c r="N386" s="143"/>
      <c r="O386" s="15"/>
      <c r="P386" s="15"/>
      <c r="Q386" s="28"/>
      <c r="R386" s="143"/>
      <c r="S386" s="143"/>
      <c r="T386" s="143"/>
      <c r="U386" s="143"/>
      <c r="V386" s="143"/>
      <c r="W386" s="143"/>
      <c r="X386" s="143"/>
    </row>
    <row r="387" spans="1:24" ht="54" customHeight="1" x14ac:dyDescent="0.25">
      <c r="A387" s="55"/>
      <c r="B387" s="55"/>
      <c r="C387" s="13"/>
      <c r="D387" s="18"/>
      <c r="E387" s="13"/>
      <c r="F387" s="13"/>
      <c r="G387" s="143"/>
      <c r="H387" s="13"/>
      <c r="I387" s="13"/>
      <c r="J387" s="18"/>
      <c r="K387" s="13"/>
      <c r="L387" s="18"/>
      <c r="M387" s="143"/>
      <c r="N387" s="143"/>
      <c r="O387" s="13"/>
      <c r="P387" s="13"/>
      <c r="Q387" s="28"/>
      <c r="R387" s="143"/>
      <c r="S387" s="56" t="s">
        <v>1279</v>
      </c>
      <c r="T387" s="56" t="s">
        <v>626</v>
      </c>
      <c r="U387" s="56" t="s">
        <v>1280</v>
      </c>
      <c r="V387" s="56" t="s">
        <v>624</v>
      </c>
      <c r="W387" s="56" t="s">
        <v>1281</v>
      </c>
      <c r="X387" s="56" t="s">
        <v>1282</v>
      </c>
    </row>
    <row r="388" spans="1:24" ht="72" customHeight="1" x14ac:dyDescent="0.25">
      <c r="A388" s="55"/>
      <c r="B388" s="55"/>
      <c r="C388" s="15"/>
      <c r="D388" s="19"/>
      <c r="E388" s="15"/>
      <c r="F388" s="15"/>
      <c r="G388" s="143"/>
      <c r="H388" s="15"/>
      <c r="I388" s="15"/>
      <c r="J388" s="19"/>
      <c r="K388" s="15"/>
      <c r="L388" s="19"/>
      <c r="M388" s="143"/>
      <c r="N388" s="143"/>
      <c r="O388" s="15"/>
      <c r="P388" s="15"/>
      <c r="Q388" s="28"/>
      <c r="R388" s="143"/>
      <c r="S388" s="57">
        <v>140</v>
      </c>
      <c r="T388" s="57" t="s">
        <v>1270</v>
      </c>
      <c r="U388" s="57">
        <v>100</v>
      </c>
      <c r="V388" s="57">
        <v>0</v>
      </c>
      <c r="W388" s="57">
        <v>0</v>
      </c>
      <c r="X388" s="57" t="s">
        <v>1271</v>
      </c>
    </row>
    <row r="389" spans="1:24" ht="72" customHeight="1" x14ac:dyDescent="0.25">
      <c r="A389" s="55"/>
      <c r="B389" s="55"/>
      <c r="C389" s="13"/>
      <c r="D389" s="18"/>
      <c r="E389" s="13"/>
      <c r="F389" s="13"/>
      <c r="G389" s="143"/>
      <c r="H389" s="13"/>
      <c r="I389" s="13"/>
      <c r="J389" s="18"/>
      <c r="K389" s="13"/>
      <c r="L389" s="18"/>
      <c r="M389" s="143"/>
      <c r="N389" s="143"/>
      <c r="O389" s="13"/>
      <c r="P389" s="13"/>
      <c r="Q389" s="28"/>
      <c r="R389" s="143"/>
      <c r="S389" s="57">
        <v>480</v>
      </c>
      <c r="T389" s="57" t="s">
        <v>1272</v>
      </c>
      <c r="U389" s="57">
        <v>85</v>
      </c>
      <c r="V389" s="57">
        <v>0</v>
      </c>
      <c r="W389" s="57">
        <v>0</v>
      </c>
      <c r="X389" s="57" t="s">
        <v>1271</v>
      </c>
    </row>
    <row r="390" spans="1:24" ht="90" customHeight="1" x14ac:dyDescent="0.25">
      <c r="A390" s="55"/>
      <c r="B390" s="55"/>
      <c r="C390" s="15"/>
      <c r="D390" s="19"/>
      <c r="E390" s="15"/>
      <c r="F390" s="15"/>
      <c r="G390" s="143"/>
      <c r="H390" s="15"/>
      <c r="I390" s="15"/>
      <c r="J390" s="19"/>
      <c r="K390" s="15"/>
      <c r="L390" s="19"/>
      <c r="M390" s="143"/>
      <c r="N390" s="143"/>
      <c r="O390" s="15"/>
      <c r="P390" s="15"/>
      <c r="Q390" s="28"/>
      <c r="R390" s="143"/>
      <c r="S390" s="57">
        <v>80</v>
      </c>
      <c r="T390" s="57" t="s">
        <v>1273</v>
      </c>
      <c r="U390" s="57">
        <v>100</v>
      </c>
      <c r="V390" s="57">
        <v>0</v>
      </c>
      <c r="W390" s="57">
        <v>0</v>
      </c>
      <c r="X390" s="57" t="s">
        <v>1271</v>
      </c>
    </row>
    <row r="391" spans="1:24" ht="72" customHeight="1" x14ac:dyDescent="0.25">
      <c r="A391" s="55"/>
      <c r="B391" s="55"/>
      <c r="C391" s="13"/>
      <c r="D391" s="18"/>
      <c r="E391" s="13"/>
      <c r="F391" s="13"/>
      <c r="G391" s="143"/>
      <c r="H391" s="13"/>
      <c r="I391" s="13"/>
      <c r="J391" s="18"/>
      <c r="K391" s="13"/>
      <c r="L391" s="18"/>
      <c r="M391" s="143"/>
      <c r="N391" s="143"/>
      <c r="O391" s="13"/>
      <c r="P391" s="13"/>
      <c r="Q391" s="28"/>
      <c r="R391" s="143"/>
      <c r="S391" s="57">
        <v>180</v>
      </c>
      <c r="T391" s="57" t="s">
        <v>390</v>
      </c>
      <c r="U391" s="57">
        <v>19</v>
      </c>
      <c r="V391" s="57">
        <v>0</v>
      </c>
      <c r="W391" s="57">
        <v>0</v>
      </c>
      <c r="X391" s="57" t="s">
        <v>371</v>
      </c>
    </row>
    <row r="392" spans="1:24" ht="72" customHeight="1" x14ac:dyDescent="0.25">
      <c r="A392" s="55"/>
      <c r="B392" s="55"/>
      <c r="C392" s="15"/>
      <c r="D392" s="19"/>
      <c r="E392" s="15"/>
      <c r="F392" s="15"/>
      <c r="G392" s="143"/>
      <c r="H392" s="15"/>
      <c r="I392" s="15"/>
      <c r="J392" s="19"/>
      <c r="K392" s="15"/>
      <c r="L392" s="19"/>
      <c r="M392" s="143"/>
      <c r="N392" s="143"/>
      <c r="O392" s="15"/>
      <c r="P392" s="15"/>
      <c r="Q392" s="28"/>
      <c r="R392" s="143"/>
      <c r="S392" s="57">
        <v>250</v>
      </c>
      <c r="T392" s="57" t="s">
        <v>386</v>
      </c>
      <c r="U392" s="57">
        <v>13</v>
      </c>
      <c r="V392" s="57">
        <v>0</v>
      </c>
      <c r="W392" s="57">
        <v>0</v>
      </c>
      <c r="X392" s="57" t="s">
        <v>371</v>
      </c>
    </row>
    <row r="393" spans="1:24" ht="72" customHeight="1" x14ac:dyDescent="0.25">
      <c r="A393" s="55"/>
      <c r="B393" s="55"/>
      <c r="C393" s="13"/>
      <c r="D393" s="18"/>
      <c r="E393" s="13"/>
      <c r="F393" s="13"/>
      <c r="G393" s="143"/>
      <c r="H393" s="13"/>
      <c r="I393" s="13"/>
      <c r="J393" s="18"/>
      <c r="K393" s="13"/>
      <c r="L393" s="18"/>
      <c r="M393" s="143"/>
      <c r="N393" s="143"/>
      <c r="O393" s="13"/>
      <c r="P393" s="13"/>
      <c r="Q393" s="28"/>
      <c r="R393" s="143"/>
      <c r="S393" s="57">
        <v>900</v>
      </c>
      <c r="T393" s="57" t="s">
        <v>390</v>
      </c>
      <c r="U393" s="57">
        <v>19</v>
      </c>
      <c r="V393" s="57">
        <v>0</v>
      </c>
      <c r="W393" s="57">
        <v>0</v>
      </c>
      <c r="X393" s="57" t="s">
        <v>371</v>
      </c>
    </row>
    <row r="394" spans="1:24" ht="72" customHeight="1" x14ac:dyDescent="0.25">
      <c r="A394" s="55"/>
      <c r="B394" s="55"/>
      <c r="C394" s="15"/>
      <c r="D394" s="19"/>
      <c r="E394" s="15"/>
      <c r="F394" s="15"/>
      <c r="G394" s="143"/>
      <c r="H394" s="15"/>
      <c r="I394" s="15"/>
      <c r="J394" s="19"/>
      <c r="K394" s="15"/>
      <c r="L394" s="19"/>
      <c r="M394" s="143"/>
      <c r="N394" s="143"/>
      <c r="O394" s="15"/>
      <c r="P394" s="15"/>
      <c r="Q394" s="28"/>
      <c r="R394" s="143"/>
      <c r="S394" s="57">
        <v>300</v>
      </c>
      <c r="T394" s="57" t="s">
        <v>390</v>
      </c>
      <c r="U394" s="57">
        <v>19</v>
      </c>
      <c r="V394" s="57">
        <v>0</v>
      </c>
      <c r="W394" s="57">
        <v>0</v>
      </c>
      <c r="X394" s="57" t="s">
        <v>371</v>
      </c>
    </row>
    <row r="395" spans="1:24" ht="90" customHeight="1" x14ac:dyDescent="0.25">
      <c r="A395" s="55"/>
      <c r="B395" s="55"/>
      <c r="C395" s="13"/>
      <c r="D395" s="18"/>
      <c r="E395" s="13"/>
      <c r="F395" s="13"/>
      <c r="G395" s="143"/>
      <c r="H395" s="13"/>
      <c r="I395" s="13"/>
      <c r="J395" s="18"/>
      <c r="K395" s="13"/>
      <c r="L395" s="18"/>
      <c r="M395" s="143"/>
      <c r="N395" s="143"/>
      <c r="O395" s="13"/>
      <c r="P395" s="13"/>
      <c r="Q395" s="28"/>
      <c r="R395" s="143"/>
      <c r="S395" s="57">
        <v>357</v>
      </c>
      <c r="T395" s="57" t="s">
        <v>393</v>
      </c>
      <c r="U395" s="57">
        <v>38</v>
      </c>
      <c r="V395" s="57">
        <v>0</v>
      </c>
      <c r="W395" s="57">
        <v>0</v>
      </c>
      <c r="X395" s="57" t="s">
        <v>378</v>
      </c>
    </row>
    <row r="396" spans="1:24" ht="90" customHeight="1" x14ac:dyDescent="0.25">
      <c r="A396" s="55"/>
      <c r="B396" s="55"/>
      <c r="C396" s="15"/>
      <c r="D396" s="19"/>
      <c r="E396" s="15"/>
      <c r="F396" s="15"/>
      <c r="G396" s="143"/>
      <c r="H396" s="15"/>
      <c r="I396" s="15"/>
      <c r="J396" s="19"/>
      <c r="K396" s="15"/>
      <c r="L396" s="19"/>
      <c r="M396" s="143"/>
      <c r="N396" s="143"/>
      <c r="O396" s="15"/>
      <c r="P396" s="15"/>
      <c r="Q396" s="28"/>
      <c r="R396" s="143"/>
      <c r="S396" s="57">
        <v>588</v>
      </c>
      <c r="T396" s="57" t="s">
        <v>396</v>
      </c>
      <c r="U396" s="57">
        <v>44</v>
      </c>
      <c r="V396" s="57">
        <v>0</v>
      </c>
      <c r="W396" s="57">
        <v>0</v>
      </c>
      <c r="X396" s="57" t="s">
        <v>378</v>
      </c>
    </row>
    <row r="397" spans="1:24" ht="72" customHeight="1" x14ac:dyDescent="0.25">
      <c r="A397" s="55"/>
      <c r="B397" s="55"/>
      <c r="C397" s="13"/>
      <c r="D397" s="18"/>
      <c r="E397" s="13"/>
      <c r="F397" s="13"/>
      <c r="G397" s="143"/>
      <c r="H397" s="13"/>
      <c r="I397" s="13"/>
      <c r="J397" s="18"/>
      <c r="K397" s="13"/>
      <c r="L397" s="18"/>
      <c r="M397" s="143"/>
      <c r="N397" s="143"/>
      <c r="O397" s="13"/>
      <c r="P397" s="13"/>
      <c r="Q397" s="28"/>
      <c r="R397" s="143"/>
      <c r="S397" s="57">
        <v>4</v>
      </c>
      <c r="T397" s="57" t="s">
        <v>400</v>
      </c>
      <c r="U397" s="57">
        <v>51</v>
      </c>
      <c r="V397" s="57">
        <v>0</v>
      </c>
      <c r="W397" s="57">
        <v>0</v>
      </c>
      <c r="X397" s="57" t="s">
        <v>378</v>
      </c>
    </row>
    <row r="398" spans="1:24" ht="90" customHeight="1" x14ac:dyDescent="0.25">
      <c r="A398" s="55"/>
      <c r="B398" s="55"/>
      <c r="C398" s="15"/>
      <c r="D398" s="19"/>
      <c r="E398" s="15"/>
      <c r="F398" s="15"/>
      <c r="G398" s="143"/>
      <c r="H398" s="15"/>
      <c r="I398" s="15"/>
      <c r="J398" s="19"/>
      <c r="K398" s="15"/>
      <c r="L398" s="19"/>
      <c r="M398" s="143"/>
      <c r="N398" s="143"/>
      <c r="O398" s="15"/>
      <c r="P398" s="15"/>
      <c r="Q398" s="28"/>
      <c r="R398" s="143"/>
      <c r="S398" s="57">
        <v>36</v>
      </c>
      <c r="T398" s="57" t="s">
        <v>402</v>
      </c>
      <c r="U398" s="57">
        <v>38</v>
      </c>
      <c r="V398" s="57">
        <v>0.03</v>
      </c>
      <c r="W398" s="57">
        <v>0.96</v>
      </c>
      <c r="X398" s="57" t="s">
        <v>378</v>
      </c>
    </row>
    <row r="399" spans="1:24" ht="90" customHeight="1" x14ac:dyDescent="0.25">
      <c r="A399" s="55"/>
      <c r="B399" s="55"/>
      <c r="C399" s="13"/>
      <c r="D399" s="18"/>
      <c r="E399" s="13"/>
      <c r="F399" s="13"/>
      <c r="G399" s="143"/>
      <c r="H399" s="13"/>
      <c r="I399" s="13"/>
      <c r="J399" s="18"/>
      <c r="K399" s="13"/>
      <c r="L399" s="18"/>
      <c r="M399" s="143"/>
      <c r="N399" s="143"/>
      <c r="O399" s="13"/>
      <c r="P399" s="13"/>
      <c r="Q399" s="28"/>
      <c r="R399" s="143"/>
      <c r="S399" s="57">
        <v>572</v>
      </c>
      <c r="T399" s="57" t="s">
        <v>404</v>
      </c>
      <c r="U399" s="57">
        <v>32</v>
      </c>
      <c r="V399" s="57">
        <v>0.02</v>
      </c>
      <c r="W399" s="57">
        <v>13.33</v>
      </c>
      <c r="X399" s="57" t="s">
        <v>378</v>
      </c>
    </row>
    <row r="400" spans="1:24" ht="72" customHeight="1" x14ac:dyDescent="0.25">
      <c r="A400" s="55"/>
      <c r="B400" s="55"/>
      <c r="C400" s="15"/>
      <c r="D400" s="19"/>
      <c r="E400" s="15"/>
      <c r="F400" s="15"/>
      <c r="G400" s="143"/>
      <c r="H400" s="15"/>
      <c r="I400" s="15"/>
      <c r="J400" s="19"/>
      <c r="K400" s="15"/>
      <c r="L400" s="19"/>
      <c r="M400" s="143"/>
      <c r="N400" s="143"/>
      <c r="O400" s="15"/>
      <c r="P400" s="15"/>
      <c r="Q400" s="28"/>
      <c r="R400" s="143"/>
      <c r="S400" s="57">
        <v>283</v>
      </c>
      <c r="T400" s="57" t="s">
        <v>410</v>
      </c>
      <c r="U400" s="57">
        <v>25</v>
      </c>
      <c r="V400" s="57">
        <v>0.02</v>
      </c>
      <c r="W400" s="57">
        <v>5.74</v>
      </c>
      <c r="X400" s="57" t="s">
        <v>378</v>
      </c>
    </row>
    <row r="401" spans="1:24" ht="72" customHeight="1" x14ac:dyDescent="0.25">
      <c r="A401" s="55"/>
      <c r="B401" s="55"/>
      <c r="C401" s="13"/>
      <c r="D401" s="18"/>
      <c r="E401" s="13"/>
      <c r="F401" s="13"/>
      <c r="G401" s="143"/>
      <c r="H401" s="13"/>
      <c r="I401" s="13"/>
      <c r="J401" s="18"/>
      <c r="K401" s="13"/>
      <c r="L401" s="18"/>
      <c r="M401" s="143"/>
      <c r="N401" s="143"/>
      <c r="O401" s="13"/>
      <c r="P401" s="13"/>
      <c r="Q401" s="28"/>
      <c r="R401" s="143"/>
      <c r="S401" s="57">
        <v>413</v>
      </c>
      <c r="T401" s="57" t="s">
        <v>410</v>
      </c>
      <c r="U401" s="57">
        <v>25</v>
      </c>
      <c r="V401" s="57">
        <v>0.02</v>
      </c>
      <c r="W401" s="57">
        <v>23.65</v>
      </c>
      <c r="X401" s="57" t="s">
        <v>1274</v>
      </c>
    </row>
    <row r="402" spans="1:24" ht="72" customHeight="1" x14ac:dyDescent="0.25">
      <c r="A402" s="55"/>
      <c r="B402" s="55"/>
      <c r="C402" s="15"/>
      <c r="D402" s="19"/>
      <c r="E402" s="15"/>
      <c r="F402" s="15"/>
      <c r="G402" s="143"/>
      <c r="H402" s="15"/>
      <c r="I402" s="15"/>
      <c r="J402" s="19"/>
      <c r="K402" s="15"/>
      <c r="L402" s="19"/>
      <c r="M402" s="143"/>
      <c r="N402" s="143"/>
      <c r="O402" s="15"/>
      <c r="P402" s="15"/>
      <c r="Q402" s="28"/>
      <c r="R402" s="143"/>
      <c r="S402" s="57">
        <v>46</v>
      </c>
      <c r="T402" s="57" t="s">
        <v>414</v>
      </c>
      <c r="U402" s="57">
        <v>19</v>
      </c>
      <c r="V402" s="57">
        <v>0.02</v>
      </c>
      <c r="W402" s="57">
        <v>266.52999999999997</v>
      </c>
      <c r="X402" s="57" t="s">
        <v>378</v>
      </c>
    </row>
    <row r="403" spans="1:24" ht="90" customHeight="1" x14ac:dyDescent="0.25">
      <c r="A403" s="55"/>
      <c r="B403" s="55"/>
      <c r="C403" s="13"/>
      <c r="D403" s="18"/>
      <c r="E403" s="13"/>
      <c r="F403" s="13"/>
      <c r="G403" s="143"/>
      <c r="H403" s="13"/>
      <c r="I403" s="13"/>
      <c r="J403" s="18"/>
      <c r="K403" s="13"/>
      <c r="L403" s="18"/>
      <c r="M403" s="143"/>
      <c r="N403" s="143"/>
      <c r="O403" s="13"/>
      <c r="P403" s="13"/>
      <c r="Q403" s="28"/>
      <c r="R403" s="143"/>
      <c r="S403" s="57">
        <v>28</v>
      </c>
      <c r="T403" s="57" t="s">
        <v>1275</v>
      </c>
      <c r="U403" s="57">
        <v>57</v>
      </c>
      <c r="V403" s="57">
        <v>0.12</v>
      </c>
      <c r="W403" s="57">
        <v>3.33</v>
      </c>
      <c r="X403" s="57" t="s">
        <v>395</v>
      </c>
    </row>
    <row r="404" spans="1:24" ht="72" customHeight="1" x14ac:dyDescent="0.25">
      <c r="A404" s="55"/>
      <c r="B404" s="55"/>
      <c r="C404" s="15"/>
      <c r="D404" s="19"/>
      <c r="E404" s="15"/>
      <c r="F404" s="15"/>
      <c r="G404" s="143"/>
      <c r="H404" s="15"/>
      <c r="I404" s="15"/>
      <c r="J404" s="19"/>
      <c r="K404" s="15"/>
      <c r="L404" s="19"/>
      <c r="M404" s="143"/>
      <c r="N404" s="143"/>
      <c r="O404" s="15"/>
      <c r="P404" s="15"/>
      <c r="Q404" s="28"/>
      <c r="R404" s="143"/>
      <c r="S404" s="57">
        <v>8</v>
      </c>
      <c r="T404" s="57" t="s">
        <v>1276</v>
      </c>
      <c r="U404" s="57">
        <v>51</v>
      </c>
      <c r="V404" s="57">
        <v>0.11</v>
      </c>
      <c r="W404" s="57">
        <v>0.88</v>
      </c>
      <c r="X404" s="57" t="s">
        <v>395</v>
      </c>
    </row>
    <row r="405" spans="1:24" ht="90" customHeight="1" x14ac:dyDescent="0.25">
      <c r="A405" s="55"/>
      <c r="B405" s="55"/>
      <c r="C405" s="13"/>
      <c r="D405" s="18"/>
      <c r="E405" s="13"/>
      <c r="F405" s="13"/>
      <c r="G405" s="13"/>
      <c r="H405" s="13"/>
      <c r="I405" s="13"/>
      <c r="J405" s="18"/>
      <c r="K405" s="13"/>
      <c r="L405" s="18"/>
      <c r="M405" s="143"/>
      <c r="N405" s="143"/>
      <c r="O405" s="13"/>
      <c r="P405" s="13"/>
      <c r="Q405" s="28"/>
      <c r="R405" s="143"/>
      <c r="S405" s="57">
        <v>96</v>
      </c>
      <c r="T405" s="57" t="s">
        <v>416</v>
      </c>
      <c r="U405" s="57">
        <v>57</v>
      </c>
      <c r="V405" s="57">
        <v>0.26</v>
      </c>
      <c r="W405" s="57">
        <v>24.58</v>
      </c>
      <c r="X405" s="57" t="s">
        <v>395</v>
      </c>
    </row>
    <row r="406" spans="1:24" ht="54" customHeight="1" x14ac:dyDescent="0.25">
      <c r="A406" s="55"/>
      <c r="B406" s="55"/>
      <c r="C406" s="15"/>
      <c r="D406" s="19"/>
      <c r="E406" s="15"/>
      <c r="F406" s="15"/>
      <c r="G406" s="15"/>
      <c r="H406" s="15"/>
      <c r="I406" s="15"/>
      <c r="J406" s="19"/>
      <c r="K406" s="15"/>
      <c r="L406" s="19"/>
      <c r="M406" s="143"/>
      <c r="N406" s="143"/>
      <c r="O406" s="15"/>
      <c r="P406" s="15"/>
      <c r="Q406" s="28"/>
      <c r="R406" s="143"/>
      <c r="S406" s="57">
        <v>949</v>
      </c>
      <c r="T406" s="57" t="s">
        <v>426</v>
      </c>
      <c r="U406" s="57" t="s">
        <v>432</v>
      </c>
      <c r="V406" s="57">
        <v>0.02</v>
      </c>
      <c r="W406" s="57">
        <v>15.09</v>
      </c>
      <c r="X406" s="57" t="s">
        <v>432</v>
      </c>
    </row>
    <row r="407" spans="1:24" ht="54" customHeight="1" x14ac:dyDescent="0.25">
      <c r="A407" s="55"/>
      <c r="B407" s="55"/>
      <c r="C407" s="13"/>
      <c r="D407" s="18"/>
      <c r="E407" s="13"/>
      <c r="F407" s="13"/>
      <c r="G407" s="13"/>
      <c r="H407" s="13"/>
      <c r="I407" s="13"/>
      <c r="J407" s="18"/>
      <c r="K407" s="13"/>
      <c r="L407" s="18"/>
      <c r="M407" s="143"/>
      <c r="N407" s="143"/>
      <c r="O407" s="13"/>
      <c r="P407" s="13"/>
      <c r="Q407" s="28"/>
      <c r="R407" s="143"/>
      <c r="S407" s="57">
        <v>1355</v>
      </c>
      <c r="T407" s="57" t="s">
        <v>430</v>
      </c>
      <c r="U407" s="57" t="s">
        <v>432</v>
      </c>
      <c r="V407" s="57">
        <v>0.01</v>
      </c>
      <c r="W407" s="57">
        <v>120.63</v>
      </c>
      <c r="X407" s="57" t="s">
        <v>432</v>
      </c>
    </row>
    <row r="408" spans="1:24" ht="54" customHeight="1" x14ac:dyDescent="0.25">
      <c r="A408" s="55"/>
      <c r="B408" s="55"/>
      <c r="C408" s="15"/>
      <c r="D408" s="19"/>
      <c r="E408" s="15"/>
      <c r="F408" s="15"/>
      <c r="G408" s="15"/>
      <c r="H408" s="15"/>
      <c r="I408" s="15"/>
      <c r="J408" s="19"/>
      <c r="K408" s="15"/>
      <c r="L408" s="19"/>
      <c r="M408" s="143"/>
      <c r="N408" s="143"/>
      <c r="O408" s="15"/>
      <c r="P408" s="15"/>
      <c r="Q408" s="28"/>
      <c r="R408" s="143"/>
      <c r="S408" s="57">
        <v>36</v>
      </c>
      <c r="T408" s="57" t="s">
        <v>1277</v>
      </c>
      <c r="U408" s="57" t="s">
        <v>432</v>
      </c>
      <c r="V408" s="57">
        <v>0.03</v>
      </c>
      <c r="W408" s="57">
        <v>1.17</v>
      </c>
      <c r="X408" s="57" t="s">
        <v>432</v>
      </c>
    </row>
    <row r="409" spans="1:24" ht="54" customHeight="1" x14ac:dyDescent="0.25">
      <c r="A409" s="55"/>
      <c r="B409" s="55"/>
      <c r="C409" s="13"/>
      <c r="D409" s="18"/>
      <c r="E409" s="13"/>
      <c r="F409" s="13"/>
      <c r="G409" s="13"/>
      <c r="H409" s="13"/>
      <c r="I409" s="13"/>
      <c r="J409" s="18"/>
      <c r="K409" s="13"/>
      <c r="L409" s="18"/>
      <c r="M409" s="143"/>
      <c r="N409" s="143"/>
      <c r="O409" s="13"/>
      <c r="P409" s="13"/>
      <c r="Q409" s="28"/>
      <c r="R409" s="143"/>
      <c r="S409" s="57">
        <v>96</v>
      </c>
      <c r="T409" s="57" t="s">
        <v>433</v>
      </c>
      <c r="U409" s="57" t="s">
        <v>432</v>
      </c>
      <c r="V409" s="57">
        <v>0.09</v>
      </c>
      <c r="W409" s="57">
        <v>8.16</v>
      </c>
      <c r="X409" s="57" t="s">
        <v>432</v>
      </c>
    </row>
    <row r="410" spans="1:24" ht="54" customHeight="1" x14ac:dyDescent="0.25">
      <c r="A410" s="55"/>
      <c r="B410" s="55"/>
      <c r="C410" s="15"/>
      <c r="D410" s="19"/>
      <c r="E410" s="15"/>
      <c r="F410" s="15"/>
      <c r="G410" s="15"/>
      <c r="H410" s="15"/>
      <c r="I410" s="15"/>
      <c r="J410" s="19"/>
      <c r="K410" s="15"/>
      <c r="L410" s="19"/>
      <c r="M410" s="143"/>
      <c r="N410" s="143"/>
      <c r="O410" s="15"/>
      <c r="P410" s="15"/>
      <c r="Q410" s="28"/>
      <c r="R410" s="143"/>
      <c r="S410" s="57">
        <v>949</v>
      </c>
      <c r="T410" s="57" t="s">
        <v>372</v>
      </c>
      <c r="U410" s="57" t="s">
        <v>432</v>
      </c>
      <c r="V410" s="57">
        <v>0.01</v>
      </c>
      <c r="W410" s="57">
        <v>12.81</v>
      </c>
      <c r="X410" s="57" t="s">
        <v>432</v>
      </c>
    </row>
    <row r="411" spans="1:24" ht="54" customHeight="1" x14ac:dyDescent="0.25">
      <c r="A411" s="55"/>
      <c r="B411" s="55"/>
      <c r="C411" s="13"/>
      <c r="D411" s="18"/>
      <c r="E411" s="13"/>
      <c r="F411" s="13"/>
      <c r="G411" s="13"/>
      <c r="H411" s="13"/>
      <c r="I411" s="13"/>
      <c r="J411" s="18"/>
      <c r="K411" s="13"/>
      <c r="L411" s="18"/>
      <c r="M411" s="143"/>
      <c r="N411" s="143"/>
      <c r="O411" s="13"/>
      <c r="P411" s="13"/>
      <c r="Q411" s="28"/>
      <c r="R411" s="143"/>
      <c r="S411" s="57">
        <v>1355</v>
      </c>
      <c r="T411" s="57" t="s">
        <v>376</v>
      </c>
      <c r="U411" s="57" t="s">
        <v>432</v>
      </c>
      <c r="V411" s="57">
        <v>0.01</v>
      </c>
      <c r="W411" s="57">
        <v>177.39</v>
      </c>
      <c r="X411" s="57" t="s">
        <v>432</v>
      </c>
    </row>
    <row r="412" spans="1:24" ht="54" customHeight="1" x14ac:dyDescent="0.25">
      <c r="A412" s="55"/>
      <c r="B412" s="55"/>
      <c r="C412" s="15"/>
      <c r="D412" s="19"/>
      <c r="E412" s="15"/>
      <c r="F412" s="15"/>
      <c r="G412" s="15"/>
      <c r="H412" s="15"/>
      <c r="I412" s="15"/>
      <c r="J412" s="19"/>
      <c r="K412" s="15"/>
      <c r="L412" s="19"/>
      <c r="M412" s="143"/>
      <c r="N412" s="143"/>
      <c r="O412" s="15"/>
      <c r="P412" s="15"/>
      <c r="Q412" s="28"/>
      <c r="R412" s="143"/>
      <c r="S412" s="57">
        <v>36</v>
      </c>
      <c r="T412" s="57" t="s">
        <v>1278</v>
      </c>
      <c r="U412" s="57" t="s">
        <v>432</v>
      </c>
      <c r="V412" s="57">
        <v>0.02</v>
      </c>
      <c r="W412" s="57">
        <v>0.72</v>
      </c>
      <c r="X412" s="57" t="s">
        <v>432</v>
      </c>
    </row>
    <row r="413" spans="1:24" ht="54" customHeight="1" x14ac:dyDescent="0.25">
      <c r="A413" s="55"/>
      <c r="B413" s="55"/>
      <c r="C413" s="13"/>
      <c r="D413" s="18"/>
      <c r="E413" s="13"/>
      <c r="F413" s="13"/>
      <c r="G413" s="13"/>
      <c r="H413" s="13"/>
      <c r="I413" s="13"/>
      <c r="J413" s="18"/>
      <c r="K413" s="13"/>
      <c r="L413" s="18"/>
      <c r="M413" s="143"/>
      <c r="N413" s="143"/>
      <c r="O413" s="13"/>
      <c r="P413" s="13"/>
      <c r="Q413" s="28"/>
      <c r="R413" s="143"/>
      <c r="S413" s="57">
        <v>96</v>
      </c>
      <c r="T413" s="57" t="s">
        <v>379</v>
      </c>
      <c r="U413" s="57" t="s">
        <v>432</v>
      </c>
      <c r="V413" s="57">
        <v>0.04</v>
      </c>
      <c r="W413" s="57">
        <v>3.41</v>
      </c>
      <c r="X413" s="57" t="s">
        <v>432</v>
      </c>
    </row>
    <row r="414" spans="1:24" ht="15.75" customHeight="1" x14ac:dyDescent="0.25">
      <c r="A414" s="55"/>
      <c r="B414" s="55"/>
      <c r="C414" s="15"/>
      <c r="D414" s="19"/>
      <c r="E414" s="15"/>
      <c r="F414" s="15"/>
      <c r="G414" s="15"/>
      <c r="H414" s="15"/>
      <c r="I414" s="15"/>
      <c r="J414" s="19"/>
      <c r="K414" s="15"/>
      <c r="L414" s="19"/>
      <c r="M414" s="143"/>
      <c r="N414" s="143"/>
      <c r="O414" s="15"/>
      <c r="P414" s="15"/>
      <c r="Q414" s="28"/>
      <c r="R414" s="143"/>
      <c r="S414" s="143"/>
      <c r="T414" s="143"/>
      <c r="U414" s="143"/>
      <c r="V414" s="143"/>
      <c r="W414" s="143"/>
      <c r="X414" s="143"/>
    </row>
    <row r="415" spans="1:24" ht="15.75" customHeight="1" x14ac:dyDescent="0.25">
      <c r="A415" s="55"/>
      <c r="B415" s="55"/>
      <c r="C415" s="13"/>
      <c r="D415" s="18"/>
      <c r="E415" s="13"/>
      <c r="F415" s="13"/>
      <c r="G415" s="13"/>
      <c r="H415" s="13"/>
      <c r="I415" s="13"/>
      <c r="J415" s="18"/>
      <c r="K415" s="13"/>
      <c r="L415" s="18"/>
      <c r="M415" s="143"/>
      <c r="N415" s="143"/>
      <c r="O415" s="13"/>
      <c r="P415" s="13"/>
      <c r="Q415" s="28"/>
      <c r="R415" s="143"/>
      <c r="S415" s="143"/>
      <c r="T415" s="143"/>
      <c r="U415" s="143"/>
      <c r="V415" s="143"/>
      <c r="W415" s="143"/>
      <c r="X415" s="143"/>
    </row>
    <row r="416" spans="1:24" ht="15.75" customHeight="1" x14ac:dyDescent="0.25">
      <c r="A416" s="55"/>
      <c r="B416" s="55"/>
      <c r="C416" s="15"/>
      <c r="D416" s="19"/>
      <c r="E416" s="15"/>
      <c r="F416" s="15"/>
      <c r="G416" s="15"/>
      <c r="H416" s="15"/>
      <c r="I416" s="15"/>
      <c r="J416" s="19"/>
      <c r="K416" s="15"/>
      <c r="L416" s="19"/>
      <c r="M416" s="143"/>
      <c r="N416" s="143"/>
      <c r="O416" s="15"/>
      <c r="P416" s="15"/>
      <c r="Q416" s="28"/>
      <c r="R416" s="143"/>
      <c r="S416" s="143"/>
      <c r="T416" s="143"/>
      <c r="U416" s="143"/>
      <c r="V416" s="143"/>
      <c r="W416" s="143"/>
      <c r="X416" s="143"/>
    </row>
    <row r="417" spans="1:24" ht="15.75" customHeight="1" x14ac:dyDescent="0.25">
      <c r="A417" s="55"/>
      <c r="B417" s="55"/>
      <c r="C417" s="13"/>
      <c r="D417" s="18"/>
      <c r="E417" s="13"/>
      <c r="F417" s="13"/>
      <c r="G417" s="13"/>
      <c r="H417" s="13"/>
      <c r="I417" s="13"/>
      <c r="J417" s="18"/>
      <c r="K417" s="13"/>
      <c r="L417" s="18"/>
      <c r="M417" s="143"/>
      <c r="N417" s="143"/>
      <c r="O417" s="13"/>
      <c r="P417" s="13"/>
      <c r="Q417" s="28"/>
      <c r="R417" s="143"/>
      <c r="S417" s="143"/>
      <c r="T417" s="143"/>
      <c r="U417" s="143"/>
      <c r="V417" s="143"/>
      <c r="W417" s="143"/>
      <c r="X417" s="143"/>
    </row>
    <row r="418" spans="1:24" ht="15.75" customHeight="1" x14ac:dyDescent="0.25">
      <c r="A418" s="55"/>
      <c r="B418" s="55"/>
      <c r="C418" s="15"/>
      <c r="D418" s="19"/>
      <c r="E418" s="15"/>
      <c r="F418" s="15"/>
      <c r="G418" s="15"/>
      <c r="H418" s="15"/>
      <c r="I418" s="15"/>
      <c r="J418" s="19"/>
      <c r="K418" s="15"/>
      <c r="L418" s="19"/>
      <c r="M418" s="143"/>
      <c r="N418" s="143"/>
      <c r="O418" s="15"/>
      <c r="P418" s="15"/>
      <c r="Q418" s="28"/>
      <c r="R418" s="143"/>
      <c r="S418" s="143"/>
      <c r="T418" s="143"/>
      <c r="U418" s="143"/>
      <c r="V418" s="143"/>
      <c r="W418" s="143"/>
      <c r="X418" s="143"/>
    </row>
    <row r="419" spans="1:24" ht="15.75" customHeight="1" x14ac:dyDescent="0.25">
      <c r="A419" s="55"/>
      <c r="B419" s="55"/>
      <c r="C419" s="13"/>
      <c r="D419" s="18"/>
      <c r="E419" s="13"/>
      <c r="F419" s="13"/>
      <c r="G419" s="13"/>
      <c r="H419" s="13"/>
      <c r="I419" s="13"/>
      <c r="J419" s="18"/>
      <c r="K419" s="13"/>
      <c r="L419" s="18"/>
      <c r="M419" s="143"/>
      <c r="N419" s="143"/>
      <c r="O419" s="13"/>
      <c r="P419" s="13"/>
      <c r="Q419" s="28"/>
      <c r="R419" s="143"/>
      <c r="S419" s="143"/>
      <c r="T419" s="143"/>
      <c r="U419" s="143"/>
      <c r="V419" s="143"/>
      <c r="W419" s="143"/>
      <c r="X419" s="143"/>
    </row>
    <row r="420" spans="1:24" ht="15.75" customHeight="1" x14ac:dyDescent="0.25">
      <c r="A420" s="55"/>
      <c r="B420" s="55"/>
      <c r="C420" s="15"/>
      <c r="D420" s="19"/>
      <c r="E420" s="15"/>
      <c r="F420" s="15"/>
      <c r="G420" s="15"/>
      <c r="H420" s="15"/>
      <c r="I420" s="15"/>
      <c r="J420" s="19"/>
      <c r="K420" s="15"/>
      <c r="L420" s="19"/>
      <c r="M420" s="143"/>
      <c r="N420" s="143"/>
      <c r="O420" s="15"/>
      <c r="P420" s="15"/>
      <c r="Q420" s="28"/>
      <c r="R420" s="143"/>
      <c r="S420" s="143"/>
      <c r="T420" s="143"/>
      <c r="U420" s="143"/>
      <c r="V420" s="143"/>
      <c r="W420" s="143"/>
      <c r="X420" s="143"/>
    </row>
    <row r="421" spans="1:24" ht="15.75" customHeight="1" x14ac:dyDescent="0.25">
      <c r="A421" s="55"/>
      <c r="B421" s="55"/>
      <c r="C421" s="13"/>
      <c r="D421" s="18"/>
      <c r="E421" s="13"/>
      <c r="F421" s="13"/>
      <c r="G421" s="13"/>
      <c r="H421" s="13"/>
      <c r="I421" s="13"/>
      <c r="J421" s="18"/>
      <c r="K421" s="13"/>
      <c r="L421" s="18"/>
      <c r="M421" s="143"/>
      <c r="N421" s="143"/>
      <c r="O421" s="13"/>
      <c r="P421" s="13"/>
      <c r="Q421" s="28"/>
      <c r="R421" s="143"/>
      <c r="S421" s="143"/>
      <c r="T421" s="143"/>
      <c r="U421" s="143"/>
      <c r="V421" s="143"/>
      <c r="W421" s="143"/>
      <c r="X421" s="143"/>
    </row>
    <row r="422" spans="1:24" ht="15.75" customHeight="1" x14ac:dyDescent="0.25">
      <c r="A422" s="55"/>
      <c r="B422" s="55"/>
      <c r="C422" s="15"/>
      <c r="D422" s="19"/>
      <c r="E422" s="15"/>
      <c r="F422" s="15"/>
      <c r="G422" s="15"/>
      <c r="H422" s="15"/>
      <c r="I422" s="15"/>
      <c r="J422" s="19"/>
      <c r="K422" s="15"/>
      <c r="L422" s="19"/>
      <c r="M422" s="143"/>
      <c r="N422" s="143"/>
      <c r="O422" s="15"/>
      <c r="P422" s="15"/>
      <c r="Q422" s="28"/>
      <c r="R422" s="143"/>
      <c r="S422" s="143"/>
      <c r="T422" s="143"/>
      <c r="U422" s="143"/>
      <c r="V422" s="143"/>
      <c r="W422" s="143"/>
      <c r="X422" s="143"/>
    </row>
    <row r="423" spans="1:24" ht="15.75" customHeight="1" x14ac:dyDescent="0.25">
      <c r="A423" s="55"/>
      <c r="B423" s="55"/>
      <c r="C423" s="13"/>
      <c r="D423" s="18"/>
      <c r="E423" s="13"/>
      <c r="F423" s="13"/>
      <c r="G423" s="13"/>
      <c r="H423" s="13"/>
      <c r="I423" s="13"/>
      <c r="J423" s="18"/>
      <c r="K423" s="13"/>
      <c r="L423" s="18"/>
      <c r="M423" s="143"/>
      <c r="N423" s="143"/>
      <c r="O423" s="13"/>
      <c r="P423" s="13"/>
      <c r="Q423" s="28"/>
      <c r="R423" s="143"/>
      <c r="S423" s="143"/>
      <c r="T423" s="143"/>
      <c r="U423" s="143"/>
      <c r="V423" s="143"/>
      <c r="W423" s="143"/>
      <c r="X423" s="143"/>
    </row>
    <row r="424" spans="1:24" ht="15.75" customHeight="1" x14ac:dyDescent="0.25">
      <c r="A424" s="55"/>
      <c r="B424" s="55"/>
      <c r="C424" s="15"/>
      <c r="D424" s="19"/>
      <c r="E424" s="15"/>
      <c r="F424" s="15"/>
      <c r="G424" s="15"/>
      <c r="H424" s="15"/>
      <c r="I424" s="15"/>
      <c r="J424" s="19"/>
      <c r="K424" s="15"/>
      <c r="L424" s="19"/>
      <c r="M424" s="143"/>
      <c r="N424" s="143"/>
      <c r="O424" s="15"/>
      <c r="P424" s="15"/>
      <c r="Q424" s="28"/>
      <c r="R424" s="143"/>
      <c r="S424" s="143"/>
      <c r="T424" s="143"/>
      <c r="U424" s="143"/>
      <c r="V424" s="143"/>
      <c r="W424" s="143"/>
      <c r="X424" s="143"/>
    </row>
    <row r="425" spans="1:24" ht="15.75" customHeight="1" x14ac:dyDescent="0.25">
      <c r="A425" s="55"/>
      <c r="B425" s="55"/>
      <c r="C425" s="13"/>
      <c r="D425" s="18"/>
      <c r="E425" s="13"/>
      <c r="F425" s="13"/>
      <c r="G425" s="13"/>
      <c r="H425" s="13"/>
      <c r="I425" s="13"/>
      <c r="J425" s="18"/>
      <c r="K425" s="13"/>
      <c r="L425" s="18"/>
      <c r="M425" s="143"/>
      <c r="N425" s="143"/>
      <c r="O425" s="13"/>
      <c r="P425" s="13"/>
      <c r="Q425" s="28"/>
      <c r="R425" s="143"/>
      <c r="S425" s="143"/>
      <c r="T425" s="143"/>
      <c r="U425" s="143"/>
      <c r="V425" s="143"/>
      <c r="W425" s="143"/>
      <c r="X425" s="143"/>
    </row>
    <row r="426" spans="1:24" ht="15.75" customHeight="1" x14ac:dyDescent="0.25">
      <c r="A426" s="55"/>
      <c r="B426" s="55"/>
      <c r="C426" s="15"/>
      <c r="D426" s="19"/>
      <c r="E426" s="15"/>
      <c r="F426" s="15"/>
      <c r="G426" s="15"/>
      <c r="H426" s="15"/>
      <c r="I426" s="15"/>
      <c r="J426" s="19"/>
      <c r="K426" s="15"/>
      <c r="L426" s="19"/>
      <c r="M426" s="143"/>
      <c r="N426" s="143"/>
      <c r="O426" s="15"/>
      <c r="P426" s="15"/>
      <c r="Q426" s="28"/>
      <c r="R426" s="143"/>
      <c r="S426" s="143"/>
      <c r="T426" s="143"/>
      <c r="U426" s="143"/>
      <c r="V426" s="143"/>
      <c r="W426" s="143"/>
      <c r="X426" s="143"/>
    </row>
    <row r="427" spans="1:24" ht="15.75" customHeight="1" x14ac:dyDescent="0.25">
      <c r="A427" s="55"/>
      <c r="B427" s="55"/>
      <c r="C427" s="13"/>
      <c r="D427" s="18"/>
      <c r="E427" s="13"/>
      <c r="F427" s="13"/>
      <c r="G427" s="13"/>
      <c r="H427" s="13"/>
      <c r="I427" s="13"/>
      <c r="J427" s="18"/>
      <c r="K427" s="13"/>
      <c r="L427" s="18"/>
      <c r="M427" s="143"/>
      <c r="N427" s="143"/>
      <c r="O427" s="13"/>
      <c r="P427" s="13"/>
      <c r="Q427" s="28"/>
      <c r="R427" s="143"/>
      <c r="S427" s="143"/>
      <c r="T427" s="143"/>
      <c r="U427" s="143"/>
      <c r="V427" s="143"/>
      <c r="W427" s="143"/>
      <c r="X427" s="143"/>
    </row>
    <row r="428" spans="1:24" ht="15.75" customHeight="1" x14ac:dyDescent="0.25">
      <c r="A428" s="55"/>
      <c r="B428" s="55"/>
      <c r="C428" s="15"/>
      <c r="D428" s="19"/>
      <c r="E428" s="15"/>
      <c r="F428" s="15"/>
      <c r="G428" s="15"/>
      <c r="H428" s="15"/>
      <c r="I428" s="15"/>
      <c r="J428" s="19"/>
      <c r="K428" s="15"/>
      <c r="L428" s="19"/>
      <c r="M428" s="143"/>
      <c r="N428" s="143"/>
      <c r="O428" s="15"/>
      <c r="P428" s="15"/>
      <c r="Q428" s="28"/>
      <c r="R428" s="143"/>
      <c r="S428" s="143"/>
      <c r="T428" s="143"/>
      <c r="U428" s="143"/>
      <c r="V428" s="143"/>
      <c r="W428" s="143"/>
      <c r="X428" s="143"/>
    </row>
    <row r="429" spans="1:24" ht="15.75" customHeight="1" x14ac:dyDescent="0.25">
      <c r="A429" s="55"/>
      <c r="B429" s="55"/>
      <c r="C429" s="13"/>
      <c r="D429" s="18"/>
      <c r="E429" s="13"/>
      <c r="F429" s="13"/>
      <c r="G429" s="13"/>
      <c r="H429" s="13"/>
      <c r="I429" s="13"/>
      <c r="J429" s="18"/>
      <c r="K429" s="13"/>
      <c r="L429" s="18"/>
      <c r="M429" s="143"/>
      <c r="N429" s="143"/>
      <c r="O429" s="13"/>
      <c r="P429" s="13"/>
      <c r="Q429" s="28"/>
      <c r="R429" s="143"/>
      <c r="S429" s="143"/>
      <c r="T429" s="143"/>
      <c r="U429" s="143"/>
      <c r="V429" s="143"/>
      <c r="W429" s="143"/>
      <c r="X429" s="143"/>
    </row>
    <row r="430" spans="1:24" ht="15.75" customHeight="1" x14ac:dyDescent="0.25">
      <c r="A430" s="55"/>
      <c r="B430" s="55"/>
      <c r="C430" s="15"/>
      <c r="D430" s="19"/>
      <c r="E430" s="15"/>
      <c r="F430" s="15"/>
      <c r="G430" s="15"/>
      <c r="H430" s="15"/>
      <c r="I430" s="15"/>
      <c r="J430" s="19"/>
      <c r="K430" s="15"/>
      <c r="L430" s="19"/>
      <c r="M430" s="143"/>
      <c r="N430" s="143"/>
      <c r="O430" s="15"/>
      <c r="P430" s="15"/>
      <c r="Q430" s="28"/>
      <c r="R430" s="143"/>
      <c r="S430" s="143"/>
      <c r="T430" s="143"/>
      <c r="U430" s="143"/>
      <c r="V430" s="143"/>
      <c r="W430" s="143"/>
      <c r="X430" s="143"/>
    </row>
    <row r="431" spans="1:24" ht="15.75" customHeight="1" x14ac:dyDescent="0.25">
      <c r="A431" s="55"/>
      <c r="B431" s="55"/>
      <c r="C431" s="13"/>
      <c r="D431" s="18"/>
      <c r="E431" s="13"/>
      <c r="F431" s="13"/>
      <c r="G431" s="13"/>
      <c r="H431" s="13"/>
      <c r="I431" s="13"/>
      <c r="J431" s="18"/>
      <c r="K431" s="13"/>
      <c r="L431" s="18"/>
      <c r="M431" s="143"/>
      <c r="N431" s="143"/>
      <c r="O431" s="13"/>
      <c r="P431" s="13"/>
      <c r="Q431" s="28"/>
      <c r="R431" s="143"/>
      <c r="S431" s="143"/>
      <c r="T431" s="143"/>
      <c r="U431" s="143"/>
      <c r="V431" s="143"/>
      <c r="W431" s="143"/>
      <c r="X431" s="143"/>
    </row>
    <row r="432" spans="1:24" ht="15.75" customHeight="1" x14ac:dyDescent="0.25">
      <c r="A432" s="55"/>
      <c r="B432" s="55"/>
      <c r="C432" s="15"/>
      <c r="D432" s="19"/>
      <c r="E432" s="15"/>
      <c r="F432" s="15"/>
      <c r="G432" s="15"/>
      <c r="H432" s="15"/>
      <c r="I432" s="15"/>
      <c r="J432" s="19"/>
      <c r="K432" s="15"/>
      <c r="L432" s="19"/>
      <c r="M432" s="143"/>
      <c r="N432" s="143"/>
      <c r="O432" s="15"/>
      <c r="P432" s="15"/>
      <c r="Q432" s="28"/>
      <c r="R432" s="143"/>
      <c r="S432" s="143"/>
      <c r="T432" s="143"/>
      <c r="U432" s="143"/>
      <c r="V432" s="143"/>
      <c r="W432" s="143"/>
      <c r="X432" s="143"/>
    </row>
    <row r="433" spans="1:24" ht="15.75" customHeight="1" x14ac:dyDescent="0.25">
      <c r="A433" s="55"/>
      <c r="B433" s="55"/>
      <c r="C433" s="13"/>
      <c r="D433" s="18"/>
      <c r="E433" s="13"/>
      <c r="F433" s="13"/>
      <c r="G433" s="13"/>
      <c r="H433" s="13"/>
      <c r="I433" s="13"/>
      <c r="J433" s="18"/>
      <c r="K433" s="13"/>
      <c r="L433" s="18"/>
      <c r="M433" s="143"/>
      <c r="N433" s="143"/>
      <c r="O433" s="13"/>
      <c r="P433" s="13"/>
      <c r="Q433" s="28"/>
      <c r="R433" s="143"/>
      <c r="S433" s="143"/>
      <c r="T433" s="143"/>
      <c r="U433" s="143"/>
      <c r="V433" s="143"/>
      <c r="W433" s="143"/>
      <c r="X433" s="143"/>
    </row>
    <row r="434" spans="1:24" ht="15.75" customHeight="1" x14ac:dyDescent="0.25">
      <c r="A434" s="55"/>
      <c r="B434" s="55"/>
      <c r="C434" s="15"/>
      <c r="D434" s="19"/>
      <c r="E434" s="15"/>
      <c r="F434" s="15"/>
      <c r="G434" s="15"/>
      <c r="H434" s="15"/>
      <c r="I434" s="15"/>
      <c r="J434" s="19"/>
      <c r="K434" s="15"/>
      <c r="L434" s="19"/>
      <c r="M434" s="143"/>
      <c r="N434" s="143"/>
      <c r="O434" s="15"/>
      <c r="P434" s="15"/>
      <c r="Q434" s="28"/>
      <c r="R434" s="143"/>
      <c r="S434" s="143"/>
      <c r="T434" s="143"/>
      <c r="U434" s="143"/>
      <c r="V434" s="143"/>
      <c r="W434" s="143"/>
      <c r="X434" s="143"/>
    </row>
    <row r="435" spans="1:24" ht="15.75" customHeight="1" x14ac:dyDescent="0.25">
      <c r="A435" s="55"/>
      <c r="B435" s="55"/>
      <c r="C435" s="13"/>
      <c r="D435" s="18"/>
      <c r="E435" s="13"/>
      <c r="F435" s="13"/>
      <c r="G435" s="13"/>
      <c r="H435" s="13"/>
      <c r="I435" s="13"/>
      <c r="J435" s="18"/>
      <c r="K435" s="13"/>
      <c r="L435" s="18"/>
      <c r="M435" s="143"/>
      <c r="N435" s="143"/>
      <c r="O435" s="13"/>
      <c r="P435" s="13"/>
      <c r="Q435" s="28"/>
      <c r="R435" s="143"/>
      <c r="S435" s="143"/>
      <c r="T435" s="143"/>
      <c r="U435" s="143"/>
      <c r="V435" s="143"/>
      <c r="W435" s="143"/>
      <c r="X435" s="143"/>
    </row>
    <row r="436" spans="1:24" ht="15.75" customHeight="1" x14ac:dyDescent="0.25">
      <c r="A436" s="55"/>
      <c r="B436" s="55"/>
      <c r="C436" s="15"/>
      <c r="D436" s="19"/>
      <c r="E436" s="15"/>
      <c r="F436" s="15"/>
      <c r="G436" s="15"/>
      <c r="H436" s="15"/>
      <c r="I436" s="15"/>
      <c r="J436" s="19"/>
      <c r="K436" s="15"/>
      <c r="L436" s="19"/>
      <c r="M436" s="143"/>
      <c r="N436" s="143"/>
      <c r="O436" s="15"/>
      <c r="P436" s="15"/>
      <c r="Q436" s="28"/>
      <c r="R436" s="143"/>
      <c r="S436" s="143"/>
      <c r="T436" s="143"/>
      <c r="U436" s="143"/>
      <c r="V436" s="143"/>
      <c r="W436" s="143"/>
      <c r="X436" s="143"/>
    </row>
    <row r="437" spans="1:24" ht="15.75" customHeight="1" x14ac:dyDescent="0.25">
      <c r="A437" s="55"/>
      <c r="B437" s="55"/>
      <c r="C437" s="13"/>
      <c r="D437" s="18"/>
      <c r="E437" s="13"/>
      <c r="F437" s="13"/>
      <c r="G437" s="13"/>
      <c r="H437" s="13"/>
      <c r="I437" s="13"/>
      <c r="J437" s="18"/>
      <c r="K437" s="13"/>
      <c r="L437" s="18"/>
      <c r="M437" s="143"/>
      <c r="N437" s="143"/>
      <c r="O437" s="13"/>
      <c r="P437" s="13"/>
      <c r="Q437" s="28"/>
      <c r="R437" s="143"/>
      <c r="S437" s="143"/>
      <c r="T437" s="143"/>
      <c r="U437" s="143"/>
      <c r="V437" s="143"/>
      <c r="W437" s="143"/>
      <c r="X437" s="143"/>
    </row>
    <row r="438" spans="1:24" ht="15.75" customHeight="1" x14ac:dyDescent="0.25">
      <c r="A438" s="55"/>
      <c r="B438" s="55"/>
      <c r="C438" s="15"/>
      <c r="D438" s="19"/>
      <c r="E438" s="15"/>
      <c r="F438" s="15"/>
      <c r="G438" s="15"/>
      <c r="H438" s="15"/>
      <c r="I438" s="15"/>
      <c r="J438" s="19"/>
      <c r="K438" s="15"/>
      <c r="L438" s="19"/>
      <c r="M438" s="143"/>
      <c r="N438" s="143"/>
      <c r="O438" s="15"/>
      <c r="P438" s="15"/>
      <c r="Q438" s="28"/>
      <c r="R438" s="143"/>
      <c r="S438" s="143"/>
      <c r="T438" s="143"/>
      <c r="U438" s="143"/>
      <c r="V438" s="143"/>
      <c r="W438" s="143"/>
      <c r="X438" s="143"/>
    </row>
    <row r="439" spans="1:24" ht="15.75" customHeight="1" x14ac:dyDescent="0.25">
      <c r="A439" s="55"/>
      <c r="B439" s="55"/>
      <c r="C439" s="13"/>
      <c r="D439" s="18"/>
      <c r="E439" s="13"/>
      <c r="F439" s="13"/>
      <c r="G439" s="13"/>
      <c r="H439" s="13"/>
      <c r="I439" s="13"/>
      <c r="J439" s="18"/>
      <c r="K439" s="13"/>
      <c r="L439" s="18"/>
      <c r="M439" s="143"/>
      <c r="N439" s="143"/>
      <c r="O439" s="13"/>
      <c r="P439" s="13"/>
      <c r="Q439" s="28"/>
      <c r="R439" s="143"/>
      <c r="S439" s="143"/>
      <c r="T439" s="143"/>
      <c r="U439" s="143"/>
      <c r="V439" s="143"/>
      <c r="W439" s="143"/>
      <c r="X439" s="143"/>
    </row>
    <row r="440" spans="1:24" ht="15.75" customHeight="1" x14ac:dyDescent="0.25">
      <c r="A440" s="55"/>
      <c r="B440" s="55"/>
      <c r="C440" s="15"/>
      <c r="D440" s="19"/>
      <c r="E440" s="15"/>
      <c r="F440" s="15"/>
      <c r="G440" s="15"/>
      <c r="H440" s="15"/>
      <c r="I440" s="15"/>
      <c r="J440" s="19"/>
      <c r="K440" s="15"/>
      <c r="L440" s="19"/>
      <c r="M440" s="143"/>
      <c r="N440" s="143"/>
      <c r="O440" s="15"/>
      <c r="P440" s="15"/>
      <c r="Q440" s="28"/>
      <c r="R440" s="143"/>
      <c r="S440" s="143"/>
      <c r="T440" s="143"/>
      <c r="U440" s="143"/>
      <c r="V440" s="143"/>
      <c r="W440" s="143"/>
      <c r="X440" s="143"/>
    </row>
    <row r="441" spans="1:24" ht="15.75" customHeight="1" x14ac:dyDescent="0.25">
      <c r="A441" s="55"/>
      <c r="B441" s="55"/>
      <c r="C441" s="13"/>
      <c r="D441" s="18"/>
      <c r="E441" s="13"/>
      <c r="F441" s="13"/>
      <c r="G441" s="13"/>
      <c r="H441" s="13"/>
      <c r="I441" s="13"/>
      <c r="J441" s="18"/>
      <c r="K441" s="13"/>
      <c r="L441" s="18"/>
      <c r="M441" s="143"/>
      <c r="N441" s="143"/>
      <c r="O441" s="13"/>
      <c r="P441" s="13"/>
      <c r="Q441" s="28"/>
      <c r="R441" s="143"/>
      <c r="S441" s="143"/>
      <c r="T441" s="143"/>
      <c r="U441" s="143"/>
      <c r="V441" s="143"/>
      <c r="W441" s="143"/>
      <c r="X441" s="143"/>
    </row>
    <row r="442" spans="1:24" ht="15.75" customHeight="1" x14ac:dyDescent="0.25">
      <c r="A442" s="55"/>
      <c r="B442" s="55"/>
      <c r="C442" s="15"/>
      <c r="D442" s="19"/>
      <c r="E442" s="15"/>
      <c r="F442" s="15"/>
      <c r="G442" s="15"/>
      <c r="H442" s="15"/>
      <c r="I442" s="15"/>
      <c r="J442" s="19"/>
      <c r="K442" s="15"/>
      <c r="L442" s="19"/>
      <c r="M442" s="143"/>
      <c r="N442" s="143"/>
      <c r="O442" s="15"/>
      <c r="P442" s="15"/>
      <c r="Q442" s="28"/>
      <c r="R442" s="143"/>
      <c r="S442" s="143"/>
      <c r="T442" s="143"/>
      <c r="U442" s="143"/>
      <c r="V442" s="143"/>
      <c r="W442" s="143"/>
      <c r="X442" s="143"/>
    </row>
    <row r="443" spans="1:24" ht="15.75" customHeight="1" x14ac:dyDescent="0.25">
      <c r="A443" s="55"/>
      <c r="B443" s="55"/>
      <c r="C443" s="13"/>
      <c r="D443" s="18"/>
      <c r="E443" s="13"/>
      <c r="F443" s="13"/>
      <c r="G443" s="13"/>
      <c r="H443" s="13"/>
      <c r="I443" s="13"/>
      <c r="J443" s="18"/>
      <c r="K443" s="13"/>
      <c r="L443" s="18"/>
      <c r="M443" s="143"/>
      <c r="N443" s="143"/>
      <c r="O443" s="13"/>
      <c r="P443" s="13"/>
      <c r="Q443" s="28"/>
      <c r="R443" s="143"/>
      <c r="S443" s="143"/>
      <c r="T443" s="143"/>
      <c r="U443" s="143"/>
      <c r="V443" s="143"/>
      <c r="W443" s="143"/>
      <c r="X443" s="143"/>
    </row>
    <row r="444" spans="1:24" ht="15.75" customHeight="1" x14ac:dyDescent="0.25">
      <c r="A444" s="55"/>
      <c r="B444" s="55"/>
      <c r="C444" s="15"/>
      <c r="D444" s="19"/>
      <c r="E444" s="15"/>
      <c r="F444" s="15"/>
      <c r="G444" s="15"/>
      <c r="H444" s="15"/>
      <c r="I444" s="15"/>
      <c r="J444" s="19"/>
      <c r="K444" s="15"/>
      <c r="L444" s="19"/>
      <c r="M444" s="143"/>
      <c r="N444" s="143"/>
      <c r="O444" s="15"/>
      <c r="P444" s="15"/>
      <c r="Q444" s="28"/>
      <c r="R444" s="143"/>
      <c r="S444" s="143"/>
      <c r="T444" s="143"/>
      <c r="U444" s="143"/>
      <c r="V444" s="143"/>
      <c r="W444" s="143"/>
      <c r="X444" s="143"/>
    </row>
    <row r="445" spans="1:24" ht="15.75" customHeight="1" x14ac:dyDescent="0.25">
      <c r="A445" s="55"/>
      <c r="B445" s="55"/>
      <c r="C445" s="13"/>
      <c r="D445" s="18"/>
      <c r="E445" s="13"/>
      <c r="F445" s="13"/>
      <c r="G445" s="13"/>
      <c r="H445" s="13"/>
      <c r="I445" s="13"/>
      <c r="J445" s="18"/>
      <c r="K445" s="13"/>
      <c r="L445" s="18"/>
      <c r="M445" s="143"/>
      <c r="N445" s="143"/>
      <c r="O445" s="13"/>
      <c r="P445" s="13"/>
      <c r="Q445" s="28"/>
      <c r="R445" s="143"/>
      <c r="S445" s="143"/>
      <c r="T445" s="143"/>
      <c r="U445" s="143"/>
      <c r="V445" s="143"/>
      <c r="W445" s="143"/>
      <c r="X445" s="143"/>
    </row>
    <row r="446" spans="1:24" ht="15.75" customHeight="1" x14ac:dyDescent="0.25">
      <c r="A446" s="55"/>
      <c r="B446" s="55"/>
      <c r="C446" s="15"/>
      <c r="D446" s="19"/>
      <c r="E446" s="15"/>
      <c r="F446" s="15"/>
      <c r="G446" s="15"/>
      <c r="H446" s="15"/>
      <c r="I446" s="15"/>
      <c r="J446" s="19"/>
      <c r="K446" s="15"/>
      <c r="L446" s="19"/>
      <c r="M446" s="143"/>
      <c r="N446" s="143"/>
      <c r="O446" s="15"/>
      <c r="P446" s="15"/>
      <c r="Q446" s="28"/>
      <c r="R446" s="143"/>
      <c r="S446" s="143"/>
      <c r="T446" s="143"/>
      <c r="U446" s="143"/>
      <c r="V446" s="143"/>
      <c r="W446" s="143"/>
      <c r="X446" s="143"/>
    </row>
    <row r="447" spans="1:24" ht="15.75" customHeight="1" x14ac:dyDescent="0.25">
      <c r="A447" s="55"/>
      <c r="B447" s="55"/>
      <c r="C447" s="13"/>
      <c r="D447" s="18"/>
      <c r="E447" s="13"/>
      <c r="F447" s="13"/>
      <c r="G447" s="13"/>
      <c r="H447" s="13"/>
      <c r="I447" s="13"/>
      <c r="J447" s="18"/>
      <c r="K447" s="13"/>
      <c r="L447" s="18"/>
      <c r="M447" s="143"/>
      <c r="N447" s="143"/>
      <c r="O447" s="13"/>
      <c r="P447" s="13"/>
      <c r="Q447" s="28"/>
      <c r="R447" s="143"/>
      <c r="S447" s="143"/>
      <c r="T447" s="143"/>
      <c r="U447" s="143"/>
      <c r="V447" s="143"/>
      <c r="W447" s="143"/>
      <c r="X447" s="143"/>
    </row>
    <row r="448" spans="1:24" ht="15.75" customHeight="1" x14ac:dyDescent="0.25">
      <c r="A448" s="55"/>
      <c r="B448" s="55"/>
      <c r="C448" s="15"/>
      <c r="D448" s="19"/>
      <c r="E448" s="15"/>
      <c r="F448" s="15"/>
      <c r="G448" s="15"/>
      <c r="H448" s="15"/>
      <c r="I448" s="15"/>
      <c r="J448" s="19"/>
      <c r="K448" s="15"/>
      <c r="L448" s="19"/>
      <c r="M448" s="143"/>
      <c r="N448" s="143"/>
      <c r="O448" s="15"/>
      <c r="P448" s="15"/>
      <c r="Q448" s="28"/>
      <c r="R448" s="143"/>
      <c r="S448" s="143"/>
      <c r="T448" s="143"/>
      <c r="U448" s="143"/>
      <c r="V448" s="143"/>
      <c r="W448" s="143"/>
      <c r="X448" s="143"/>
    </row>
    <row r="449" spans="1:24" ht="15.75" customHeight="1" x14ac:dyDescent="0.25">
      <c r="A449" s="55"/>
      <c r="B449" s="55"/>
      <c r="C449" s="13"/>
      <c r="D449" s="18"/>
      <c r="E449" s="13"/>
      <c r="F449" s="13"/>
      <c r="G449" s="13"/>
      <c r="H449" s="13"/>
      <c r="I449" s="13"/>
      <c r="J449" s="18"/>
      <c r="K449" s="13"/>
      <c r="L449" s="18"/>
      <c r="M449" s="143"/>
      <c r="N449" s="143"/>
      <c r="O449" s="13"/>
      <c r="P449" s="13"/>
      <c r="Q449" s="28"/>
      <c r="R449" s="143"/>
      <c r="S449" s="143"/>
      <c r="T449" s="143"/>
      <c r="U449" s="143"/>
      <c r="V449" s="143"/>
      <c r="W449" s="143"/>
      <c r="X449" s="143"/>
    </row>
    <row r="450" spans="1:24" ht="15.75" customHeight="1" x14ac:dyDescent="0.25">
      <c r="A450" s="55"/>
      <c r="B450" s="55"/>
      <c r="C450" s="15"/>
      <c r="D450" s="19"/>
      <c r="E450" s="15"/>
      <c r="F450" s="15"/>
      <c r="G450" s="15"/>
      <c r="H450" s="15"/>
      <c r="I450" s="15"/>
      <c r="J450" s="19"/>
      <c r="K450" s="15"/>
      <c r="L450" s="19"/>
      <c r="M450" s="143"/>
      <c r="N450" s="143"/>
      <c r="O450" s="15"/>
      <c r="P450" s="15"/>
      <c r="Q450" s="28"/>
      <c r="R450" s="143"/>
      <c r="S450" s="143"/>
      <c r="T450" s="143"/>
      <c r="U450" s="143"/>
      <c r="V450" s="143"/>
      <c r="W450" s="143"/>
      <c r="X450" s="143"/>
    </row>
    <row r="451" spans="1:24" ht="15.75" customHeight="1" x14ac:dyDescent="0.25">
      <c r="A451" s="55"/>
      <c r="B451" s="55"/>
      <c r="C451" s="13"/>
      <c r="D451" s="18"/>
      <c r="E451" s="13"/>
      <c r="F451" s="13"/>
      <c r="G451" s="13"/>
      <c r="H451" s="13"/>
      <c r="I451" s="13"/>
      <c r="J451" s="18"/>
      <c r="K451" s="13"/>
      <c r="L451" s="18"/>
      <c r="M451" s="143"/>
      <c r="N451" s="143"/>
      <c r="O451" s="13"/>
      <c r="P451" s="13"/>
      <c r="Q451" s="28"/>
      <c r="R451" s="143"/>
      <c r="S451" s="143"/>
      <c r="T451" s="143"/>
      <c r="U451" s="143"/>
      <c r="V451" s="143"/>
      <c r="W451" s="143"/>
      <c r="X451" s="143"/>
    </row>
    <row r="452" spans="1:24" ht="15.75" customHeight="1" x14ac:dyDescent="0.25">
      <c r="A452" s="55"/>
      <c r="B452" s="55"/>
      <c r="C452" s="15"/>
      <c r="D452" s="19"/>
      <c r="E452" s="15"/>
      <c r="F452" s="15"/>
      <c r="G452" s="15"/>
      <c r="H452" s="15"/>
      <c r="I452" s="15"/>
      <c r="J452" s="19"/>
      <c r="K452" s="15"/>
      <c r="L452" s="19"/>
      <c r="M452" s="143"/>
      <c r="N452" s="143"/>
      <c r="O452" s="15"/>
      <c r="P452" s="15"/>
      <c r="Q452" s="28"/>
      <c r="R452" s="143"/>
      <c r="S452" s="143"/>
      <c r="T452" s="143"/>
      <c r="U452" s="143"/>
      <c r="V452" s="143"/>
      <c r="W452" s="143"/>
      <c r="X452" s="143"/>
    </row>
    <row r="453" spans="1:24" ht="15.75" customHeight="1" x14ac:dyDescent="0.25">
      <c r="A453" s="55"/>
      <c r="B453" s="55"/>
      <c r="C453" s="13"/>
      <c r="D453" s="18"/>
      <c r="E453" s="13"/>
      <c r="F453" s="13"/>
      <c r="G453" s="13"/>
      <c r="H453" s="13"/>
      <c r="I453" s="13"/>
      <c r="J453" s="18"/>
      <c r="K453" s="13"/>
      <c r="L453" s="18"/>
      <c r="M453" s="143"/>
      <c r="N453" s="143"/>
      <c r="O453" s="13"/>
      <c r="P453" s="13"/>
      <c r="Q453" s="28"/>
      <c r="R453" s="143"/>
      <c r="S453" s="143"/>
      <c r="T453" s="143"/>
      <c r="U453" s="143"/>
      <c r="V453" s="143"/>
      <c r="W453" s="143"/>
      <c r="X453" s="143"/>
    </row>
    <row r="454" spans="1:24" ht="15.75" customHeight="1" x14ac:dyDescent="0.25">
      <c r="A454" s="55"/>
      <c r="B454" s="55"/>
      <c r="C454" s="15"/>
      <c r="D454" s="19"/>
      <c r="E454" s="15"/>
      <c r="F454" s="15"/>
      <c r="G454" s="15"/>
      <c r="H454" s="15"/>
      <c r="I454" s="15"/>
      <c r="J454" s="19"/>
      <c r="K454" s="15"/>
      <c r="L454" s="19"/>
      <c r="M454" s="143"/>
      <c r="N454" s="143"/>
      <c r="O454" s="15"/>
      <c r="P454" s="15"/>
      <c r="Q454" s="28"/>
      <c r="R454" s="143"/>
      <c r="S454" s="143"/>
      <c r="T454" s="143"/>
      <c r="U454" s="143"/>
      <c r="V454" s="143"/>
      <c r="W454" s="143"/>
      <c r="X454" s="143"/>
    </row>
    <row r="455" spans="1:24" ht="15.75" customHeight="1" x14ac:dyDescent="0.25">
      <c r="A455" s="55"/>
      <c r="B455" s="55"/>
      <c r="C455" s="13"/>
      <c r="D455" s="18"/>
      <c r="E455" s="13"/>
      <c r="F455" s="13"/>
      <c r="G455" s="13"/>
      <c r="H455" s="13"/>
      <c r="I455" s="13"/>
      <c r="J455" s="18"/>
      <c r="K455" s="13"/>
      <c r="L455" s="18"/>
      <c r="M455" s="143"/>
      <c r="N455" s="143"/>
      <c r="O455" s="13"/>
      <c r="P455" s="13"/>
      <c r="Q455" s="28"/>
      <c r="R455" s="143"/>
      <c r="S455" s="143"/>
      <c r="T455" s="143"/>
      <c r="U455" s="143"/>
      <c r="V455" s="143"/>
      <c r="W455" s="143"/>
      <c r="X455" s="143"/>
    </row>
    <row r="456" spans="1:24" ht="21.75" customHeight="1" x14ac:dyDescent="0.25">
      <c r="A456" s="55"/>
      <c r="B456" s="55"/>
      <c r="C456" s="15"/>
      <c r="D456" s="19"/>
      <c r="E456" s="15"/>
      <c r="F456" s="15"/>
      <c r="G456" s="15"/>
      <c r="H456" s="15"/>
      <c r="I456" s="15"/>
      <c r="J456" s="19"/>
      <c r="K456" s="15"/>
      <c r="L456" s="19"/>
      <c r="M456" s="143"/>
      <c r="N456" s="143"/>
      <c r="O456" s="15"/>
      <c r="P456" s="15"/>
      <c r="Q456" s="28"/>
      <c r="R456" s="143"/>
      <c r="S456" s="143"/>
      <c r="T456" s="143"/>
      <c r="U456" s="143"/>
      <c r="V456" s="143"/>
      <c r="W456" s="143"/>
      <c r="X456" s="143"/>
    </row>
    <row r="457" spans="1:24" ht="15.75" customHeight="1" x14ac:dyDescent="0.25">
      <c r="A457" s="55"/>
      <c r="B457" s="55"/>
      <c r="C457" s="13"/>
      <c r="D457" s="18"/>
      <c r="E457" s="13"/>
      <c r="F457" s="13"/>
      <c r="G457" s="143"/>
      <c r="H457" s="13"/>
      <c r="I457" s="13"/>
      <c r="J457" s="18"/>
      <c r="K457" s="13"/>
      <c r="L457" s="18"/>
      <c r="M457" s="143"/>
      <c r="N457" s="143"/>
      <c r="O457" s="13"/>
      <c r="P457" s="13"/>
      <c r="Q457" s="28"/>
      <c r="R457" s="143"/>
      <c r="S457" s="143"/>
      <c r="T457" s="143"/>
      <c r="U457" s="143"/>
      <c r="V457" s="143"/>
      <c r="W457" s="143"/>
      <c r="X457" s="143"/>
    </row>
    <row r="458" spans="1:24" ht="15.75" customHeight="1" x14ac:dyDescent="0.25">
      <c r="A458" s="55"/>
      <c r="B458" s="55"/>
      <c r="C458" s="15"/>
      <c r="D458" s="19"/>
      <c r="E458" s="15"/>
      <c r="F458" s="15"/>
      <c r="G458" s="143"/>
      <c r="H458" s="15"/>
      <c r="I458" s="15"/>
      <c r="J458" s="19"/>
      <c r="K458" s="15"/>
      <c r="L458" s="19"/>
      <c r="M458" s="143"/>
      <c r="N458" s="143"/>
      <c r="O458" s="15"/>
      <c r="P458" s="15"/>
      <c r="Q458" s="28"/>
      <c r="R458" s="143"/>
      <c r="S458" s="143"/>
      <c r="T458" s="143"/>
      <c r="U458" s="143"/>
      <c r="V458" s="143"/>
      <c r="W458" s="143"/>
      <c r="X458" s="143"/>
    </row>
    <row r="459" spans="1:24" ht="15.75" customHeight="1" x14ac:dyDescent="0.25">
      <c r="A459" s="55"/>
      <c r="B459" s="55"/>
      <c r="C459" s="13"/>
      <c r="D459" s="18"/>
      <c r="E459" s="13"/>
      <c r="F459" s="13"/>
      <c r="G459" s="143"/>
      <c r="H459" s="13"/>
      <c r="I459" s="13"/>
      <c r="J459" s="18"/>
      <c r="K459" s="13"/>
      <c r="L459" s="18"/>
      <c r="M459" s="143"/>
      <c r="N459" s="143"/>
      <c r="O459" s="13"/>
      <c r="P459" s="13"/>
      <c r="Q459" s="28"/>
      <c r="R459" s="143"/>
      <c r="S459" s="143"/>
      <c r="T459" s="143"/>
      <c r="U459" s="143"/>
      <c r="V459" s="143"/>
      <c r="W459" s="143"/>
      <c r="X459" s="143"/>
    </row>
    <row r="460" spans="1:24" ht="15.75" customHeight="1" x14ac:dyDescent="0.25">
      <c r="A460" s="55"/>
      <c r="B460" s="55"/>
      <c r="C460" s="15"/>
      <c r="D460" s="19"/>
      <c r="E460" s="15"/>
      <c r="F460" s="15"/>
      <c r="G460" s="143"/>
      <c r="H460" s="15"/>
      <c r="I460" s="15"/>
      <c r="J460" s="19"/>
      <c r="K460" s="15"/>
      <c r="L460" s="19"/>
      <c r="M460" s="143"/>
      <c r="N460" s="143"/>
      <c r="O460" s="15"/>
      <c r="P460" s="15"/>
      <c r="Q460" s="28"/>
      <c r="R460" s="143"/>
      <c r="S460" s="143"/>
      <c r="T460" s="143"/>
      <c r="U460" s="143"/>
      <c r="V460" s="143"/>
      <c r="W460" s="143"/>
      <c r="X460" s="143"/>
    </row>
    <row r="461" spans="1:24" ht="15.75" customHeight="1" x14ac:dyDescent="0.25">
      <c r="A461" s="55"/>
      <c r="B461" s="55"/>
      <c r="C461" s="13"/>
      <c r="D461" s="18"/>
      <c r="E461" s="13"/>
      <c r="F461" s="13"/>
      <c r="G461" s="143"/>
      <c r="H461" s="13"/>
      <c r="I461" s="13"/>
      <c r="J461" s="18"/>
      <c r="K461" s="13"/>
      <c r="L461" s="18"/>
      <c r="M461" s="143"/>
      <c r="N461" s="143"/>
      <c r="O461" s="13"/>
      <c r="P461" s="13"/>
      <c r="Q461" s="28"/>
      <c r="R461" s="143"/>
      <c r="S461" s="143"/>
      <c r="T461" s="143"/>
      <c r="U461" s="143"/>
      <c r="V461" s="143"/>
      <c r="W461" s="143"/>
      <c r="X461" s="143"/>
    </row>
    <row r="462" spans="1:24" ht="15.75" customHeight="1" x14ac:dyDescent="0.25">
      <c r="A462" s="55"/>
      <c r="B462" s="55"/>
      <c r="C462" s="15"/>
      <c r="D462" s="19"/>
      <c r="E462" s="15"/>
      <c r="F462" s="15"/>
      <c r="G462" s="143"/>
      <c r="H462" s="15"/>
      <c r="I462" s="15"/>
      <c r="J462" s="19"/>
      <c r="K462" s="15"/>
      <c r="L462" s="19"/>
      <c r="M462" s="143"/>
      <c r="N462" s="143"/>
      <c r="O462" s="15"/>
      <c r="P462" s="15"/>
      <c r="Q462" s="28"/>
      <c r="R462" s="143"/>
      <c r="S462" s="143"/>
      <c r="T462" s="143"/>
      <c r="U462" s="143"/>
      <c r="V462" s="143"/>
      <c r="W462" s="143"/>
      <c r="X462" s="143"/>
    </row>
    <row r="463" spans="1:24" ht="15.75" customHeight="1" x14ac:dyDescent="0.25">
      <c r="A463" s="55"/>
      <c r="B463" s="55"/>
      <c r="C463" s="13"/>
      <c r="D463" s="18"/>
      <c r="E463" s="13"/>
      <c r="F463" s="13"/>
      <c r="G463" s="143"/>
      <c r="H463" s="13"/>
      <c r="I463" s="13"/>
      <c r="J463" s="18"/>
      <c r="K463" s="13"/>
      <c r="L463" s="18"/>
      <c r="M463" s="143"/>
      <c r="N463" s="143"/>
      <c r="O463" s="13"/>
      <c r="P463" s="13"/>
      <c r="Q463" s="28"/>
      <c r="R463" s="143"/>
      <c r="S463" s="143"/>
      <c r="T463" s="143"/>
      <c r="U463" s="143"/>
      <c r="V463" s="143"/>
      <c r="W463" s="143"/>
      <c r="X463" s="143"/>
    </row>
    <row r="464" spans="1:24" ht="15.75" customHeight="1" x14ac:dyDescent="0.25">
      <c r="A464" s="55"/>
      <c r="B464" s="55"/>
      <c r="C464" s="15"/>
      <c r="D464" s="19"/>
      <c r="E464" s="15"/>
      <c r="F464" s="15"/>
      <c r="G464" s="143"/>
      <c r="H464" s="15"/>
      <c r="I464" s="15"/>
      <c r="J464" s="19"/>
      <c r="K464" s="15"/>
      <c r="L464" s="19"/>
      <c r="M464" s="143"/>
      <c r="N464" s="143"/>
      <c r="O464" s="15"/>
      <c r="P464" s="15"/>
      <c r="Q464" s="28"/>
      <c r="R464" s="143"/>
      <c r="S464" s="143"/>
      <c r="T464" s="143"/>
      <c r="U464" s="143"/>
      <c r="V464" s="143"/>
      <c r="W464" s="143"/>
      <c r="X464" s="143"/>
    </row>
    <row r="465" spans="1:24" ht="15.75" customHeight="1" x14ac:dyDescent="0.25">
      <c r="A465" s="55"/>
      <c r="B465" s="55"/>
      <c r="C465" s="13"/>
      <c r="D465" s="18"/>
      <c r="E465" s="13"/>
      <c r="F465" s="13"/>
      <c r="G465" s="143"/>
      <c r="H465" s="13"/>
      <c r="I465" s="13"/>
      <c r="J465" s="18"/>
      <c r="K465" s="13"/>
      <c r="L465" s="18"/>
      <c r="M465" s="143"/>
      <c r="N465" s="143"/>
      <c r="O465" s="13"/>
      <c r="P465" s="13"/>
      <c r="Q465" s="28"/>
      <c r="R465" s="143"/>
      <c r="S465" s="143"/>
      <c r="T465" s="143"/>
      <c r="U465" s="143"/>
      <c r="V465" s="143"/>
      <c r="W465" s="143"/>
      <c r="X465" s="143"/>
    </row>
    <row r="466" spans="1:24" ht="15.75" customHeight="1" x14ac:dyDescent="0.25">
      <c r="A466" s="55"/>
      <c r="B466" s="55"/>
      <c r="C466" s="15"/>
      <c r="D466" s="19"/>
      <c r="E466" s="15"/>
      <c r="F466" s="15"/>
      <c r="G466" s="143"/>
      <c r="H466" s="15"/>
      <c r="I466" s="15"/>
      <c r="J466" s="19"/>
      <c r="K466" s="15"/>
      <c r="L466" s="19"/>
      <c r="M466" s="143"/>
      <c r="N466" s="143"/>
      <c r="O466" s="15"/>
      <c r="P466" s="15"/>
      <c r="Q466" s="28"/>
      <c r="R466" s="143"/>
      <c r="S466" s="143"/>
      <c r="T466" s="143"/>
      <c r="U466" s="143"/>
      <c r="V466" s="143"/>
      <c r="W466" s="143"/>
      <c r="X466" s="143"/>
    </row>
    <row r="467" spans="1:24" ht="15.75" customHeight="1" x14ac:dyDescent="0.25">
      <c r="A467" s="55"/>
      <c r="B467" s="55"/>
      <c r="C467" s="13"/>
      <c r="D467" s="18"/>
      <c r="E467" s="13"/>
      <c r="F467" s="13"/>
      <c r="G467" s="143"/>
      <c r="H467" s="13"/>
      <c r="I467" s="13"/>
      <c r="J467" s="18"/>
      <c r="K467" s="13"/>
      <c r="L467" s="18"/>
      <c r="M467" s="143"/>
      <c r="N467" s="143"/>
      <c r="O467" s="13"/>
      <c r="P467" s="13"/>
      <c r="Q467" s="28"/>
      <c r="R467" s="143"/>
      <c r="S467" s="143"/>
      <c r="T467" s="143"/>
      <c r="U467" s="143"/>
      <c r="V467" s="143"/>
      <c r="W467" s="143"/>
      <c r="X467" s="143"/>
    </row>
    <row r="468" spans="1:24" ht="15.75" customHeight="1" x14ac:dyDescent="0.25">
      <c r="A468" s="55"/>
      <c r="B468" s="55"/>
      <c r="C468" s="15"/>
      <c r="D468" s="19"/>
      <c r="E468" s="15"/>
      <c r="F468" s="15"/>
      <c r="G468" s="143"/>
      <c r="H468" s="15"/>
      <c r="I468" s="15"/>
      <c r="J468" s="19"/>
      <c r="K468" s="15"/>
      <c r="L468" s="19"/>
      <c r="M468" s="143"/>
      <c r="N468" s="143"/>
      <c r="O468" s="15"/>
      <c r="P468" s="15"/>
      <c r="Q468" s="28"/>
      <c r="R468" s="143"/>
      <c r="S468" s="143"/>
      <c r="T468" s="143"/>
      <c r="U468" s="143"/>
      <c r="V468" s="143"/>
      <c r="W468" s="143"/>
      <c r="X468" s="143"/>
    </row>
    <row r="469" spans="1:24" ht="15.75" customHeight="1" x14ac:dyDescent="0.25">
      <c r="A469" s="55"/>
      <c r="B469" s="55"/>
      <c r="C469" s="13"/>
      <c r="D469" s="18"/>
      <c r="E469" s="13"/>
      <c r="F469" s="13"/>
      <c r="G469" s="143"/>
      <c r="H469" s="13"/>
      <c r="I469" s="13"/>
      <c r="J469" s="18"/>
      <c r="K469" s="13"/>
      <c r="L469" s="18"/>
      <c r="M469" s="143"/>
      <c r="N469" s="143"/>
      <c r="O469" s="13"/>
      <c r="P469" s="13"/>
      <c r="Q469" s="28"/>
      <c r="R469" s="143"/>
      <c r="S469" s="143"/>
      <c r="T469" s="143"/>
      <c r="U469" s="143"/>
      <c r="V469" s="143"/>
      <c r="W469" s="143"/>
      <c r="X469" s="143"/>
    </row>
    <row r="470" spans="1:24" ht="15.75" customHeight="1" x14ac:dyDescent="0.25">
      <c r="A470" s="55"/>
      <c r="B470" s="55"/>
      <c r="C470" s="15"/>
      <c r="D470" s="19"/>
      <c r="E470" s="15"/>
      <c r="F470" s="15"/>
      <c r="G470" s="143"/>
      <c r="H470" s="15"/>
      <c r="I470" s="15"/>
      <c r="J470" s="19"/>
      <c r="K470" s="15"/>
      <c r="L470" s="19"/>
      <c r="M470" s="143"/>
      <c r="N470" s="143"/>
      <c r="O470" s="15"/>
      <c r="P470" s="15"/>
      <c r="Q470" s="28"/>
      <c r="R470" s="143"/>
      <c r="S470" s="143"/>
      <c r="T470" s="143"/>
      <c r="U470" s="143"/>
      <c r="V470" s="143"/>
      <c r="W470" s="143"/>
      <c r="X470" s="143"/>
    </row>
    <row r="471" spans="1:24" ht="15.75" customHeight="1" x14ac:dyDescent="0.25">
      <c r="A471" s="55"/>
      <c r="B471" s="55"/>
      <c r="C471" s="13"/>
      <c r="D471" s="18"/>
      <c r="E471" s="13"/>
      <c r="F471" s="13"/>
      <c r="G471" s="143"/>
      <c r="H471" s="13"/>
      <c r="I471" s="13"/>
      <c r="J471" s="18"/>
      <c r="K471" s="13"/>
      <c r="L471" s="18"/>
      <c r="M471" s="143"/>
      <c r="N471" s="143"/>
      <c r="O471" s="13"/>
      <c r="P471" s="13"/>
      <c r="Q471" s="28"/>
      <c r="R471" s="143"/>
      <c r="S471" s="143"/>
      <c r="T471" s="143"/>
      <c r="U471" s="143"/>
      <c r="V471" s="143"/>
      <c r="W471" s="143"/>
      <c r="X471" s="143"/>
    </row>
    <row r="472" spans="1:24" ht="15.75" customHeight="1" x14ac:dyDescent="0.25">
      <c r="A472" s="55"/>
      <c r="B472" s="55"/>
      <c r="C472" s="15"/>
      <c r="D472" s="19"/>
      <c r="E472" s="15"/>
      <c r="F472" s="15"/>
      <c r="G472" s="143"/>
      <c r="H472" s="15"/>
      <c r="I472" s="15"/>
      <c r="J472" s="19"/>
      <c r="K472" s="15"/>
      <c r="L472" s="19"/>
      <c r="M472" s="143"/>
      <c r="N472" s="143"/>
      <c r="O472" s="15"/>
      <c r="P472" s="15"/>
      <c r="Q472" s="28"/>
      <c r="R472" s="143"/>
      <c r="S472" s="143"/>
      <c r="T472" s="143"/>
      <c r="U472" s="143"/>
      <c r="V472" s="143"/>
      <c r="W472" s="143"/>
      <c r="X472" s="143"/>
    </row>
    <row r="473" spans="1:24" ht="15.75" customHeight="1" x14ac:dyDescent="0.25">
      <c r="A473" s="55"/>
      <c r="B473" s="55"/>
      <c r="C473" s="13"/>
      <c r="D473" s="18"/>
      <c r="E473" s="13"/>
      <c r="F473" s="13"/>
      <c r="G473" s="143"/>
      <c r="H473" s="13"/>
      <c r="I473" s="13"/>
      <c r="J473" s="18"/>
      <c r="K473" s="13"/>
      <c r="L473" s="18"/>
      <c r="M473" s="143"/>
      <c r="N473" s="143"/>
      <c r="O473" s="13"/>
      <c r="P473" s="13"/>
      <c r="Q473" s="28"/>
      <c r="R473" s="143"/>
      <c r="S473" s="143"/>
      <c r="T473" s="143"/>
      <c r="U473" s="143"/>
      <c r="V473" s="143"/>
      <c r="W473" s="143"/>
      <c r="X473" s="143"/>
    </row>
    <row r="474" spans="1:24" ht="15.75" customHeight="1" x14ac:dyDescent="0.25">
      <c r="A474" s="55"/>
      <c r="B474" s="55"/>
      <c r="C474" s="15"/>
      <c r="D474" s="19"/>
      <c r="E474" s="15"/>
      <c r="F474" s="15"/>
      <c r="G474" s="143"/>
      <c r="H474" s="15"/>
      <c r="I474" s="15"/>
      <c r="J474" s="19"/>
      <c r="K474" s="15"/>
      <c r="L474" s="19"/>
      <c r="M474" s="143"/>
      <c r="N474" s="143"/>
      <c r="O474" s="15"/>
      <c r="P474" s="15"/>
      <c r="Q474" s="28"/>
      <c r="R474" s="143"/>
      <c r="S474" s="143"/>
      <c r="T474" s="143"/>
      <c r="U474" s="143"/>
      <c r="V474" s="143"/>
      <c r="W474" s="143"/>
      <c r="X474" s="143"/>
    </row>
    <row r="475" spans="1:24" ht="15.75" customHeight="1" x14ac:dyDescent="0.25">
      <c r="A475" s="55"/>
      <c r="B475" s="55"/>
      <c r="C475" s="13"/>
      <c r="D475" s="18"/>
      <c r="E475" s="13"/>
      <c r="F475" s="13"/>
      <c r="G475" s="143"/>
      <c r="H475" s="13"/>
      <c r="I475" s="13"/>
      <c r="J475" s="18"/>
      <c r="K475" s="13"/>
      <c r="L475" s="18"/>
      <c r="M475" s="143"/>
      <c r="N475" s="143"/>
      <c r="O475" s="13"/>
      <c r="P475" s="13"/>
      <c r="Q475" s="28"/>
      <c r="R475" s="143"/>
      <c r="S475" s="143"/>
      <c r="T475" s="143"/>
      <c r="U475" s="143"/>
      <c r="V475" s="143"/>
      <c r="W475" s="143"/>
      <c r="X475" s="143"/>
    </row>
    <row r="476" spans="1:24" ht="15.75" customHeight="1" x14ac:dyDescent="0.25">
      <c r="A476" s="55"/>
      <c r="B476" s="55"/>
      <c r="C476" s="15"/>
      <c r="D476" s="19"/>
      <c r="E476" s="15"/>
      <c r="F476" s="15"/>
      <c r="G476" s="143"/>
      <c r="H476" s="15"/>
      <c r="I476" s="15"/>
      <c r="J476" s="19"/>
      <c r="K476" s="15"/>
      <c r="L476" s="19"/>
      <c r="M476" s="143"/>
      <c r="N476" s="143"/>
      <c r="O476" s="15"/>
      <c r="P476" s="15"/>
      <c r="Q476" s="28"/>
      <c r="R476" s="143"/>
      <c r="S476" s="143"/>
      <c r="T476" s="143"/>
      <c r="U476" s="143"/>
      <c r="V476" s="143"/>
      <c r="W476" s="143"/>
      <c r="X476" s="143"/>
    </row>
    <row r="477" spans="1:24" ht="15.75" customHeight="1" x14ac:dyDescent="0.25">
      <c r="A477" s="55"/>
      <c r="B477" s="55"/>
      <c r="C477" s="13"/>
      <c r="D477" s="18"/>
      <c r="E477" s="13"/>
      <c r="F477" s="13"/>
      <c r="G477" s="143"/>
      <c r="H477" s="13"/>
      <c r="I477" s="13"/>
      <c r="J477" s="18"/>
      <c r="K477" s="13"/>
      <c r="L477" s="18"/>
      <c r="M477" s="143"/>
      <c r="N477" s="143"/>
      <c r="O477" s="13"/>
      <c r="P477" s="13"/>
      <c r="Q477" s="28"/>
      <c r="R477" s="143"/>
      <c r="S477" s="143"/>
      <c r="T477" s="143"/>
      <c r="U477" s="143"/>
      <c r="V477" s="143"/>
      <c r="W477" s="143"/>
      <c r="X477" s="143"/>
    </row>
    <row r="478" spans="1:24" ht="15.75" customHeight="1" x14ac:dyDescent="0.25">
      <c r="A478" s="55"/>
      <c r="B478" s="55"/>
      <c r="C478" s="15"/>
      <c r="D478" s="19"/>
      <c r="E478" s="15"/>
      <c r="F478" s="15"/>
      <c r="G478" s="143"/>
      <c r="H478" s="15"/>
      <c r="I478" s="15"/>
      <c r="J478" s="19"/>
      <c r="K478" s="15"/>
      <c r="L478" s="19"/>
      <c r="M478" s="143"/>
      <c r="N478" s="143"/>
      <c r="O478" s="15"/>
      <c r="P478" s="15"/>
      <c r="Q478" s="28"/>
      <c r="R478" s="143"/>
      <c r="S478" s="143"/>
      <c r="T478" s="143"/>
      <c r="U478" s="143"/>
      <c r="V478" s="143"/>
      <c r="W478" s="143"/>
      <c r="X478" s="143"/>
    </row>
    <row r="479" spans="1:24" ht="15.75" customHeight="1" x14ac:dyDescent="0.25">
      <c r="A479" s="55"/>
      <c r="B479" s="55"/>
      <c r="C479" s="13"/>
      <c r="D479" s="18"/>
      <c r="E479" s="13"/>
      <c r="F479" s="13"/>
      <c r="G479" s="143"/>
      <c r="H479" s="13"/>
      <c r="I479" s="13"/>
      <c r="J479" s="18"/>
      <c r="K479" s="13"/>
      <c r="L479" s="18"/>
      <c r="M479" s="143"/>
      <c r="N479" s="143"/>
      <c r="O479" s="13"/>
      <c r="P479" s="13"/>
      <c r="Q479" s="28"/>
      <c r="R479" s="143"/>
      <c r="S479" s="143"/>
      <c r="T479" s="143"/>
      <c r="U479" s="143"/>
      <c r="V479" s="143"/>
      <c r="W479" s="143"/>
      <c r="X479" s="143"/>
    </row>
    <row r="480" spans="1:24" ht="15.75" customHeight="1" x14ac:dyDescent="0.25">
      <c r="A480" s="55"/>
      <c r="B480" s="55"/>
      <c r="C480" s="15"/>
      <c r="D480" s="19"/>
      <c r="E480" s="15"/>
      <c r="F480" s="15"/>
      <c r="G480" s="143"/>
      <c r="H480" s="15"/>
      <c r="I480" s="15"/>
      <c r="J480" s="19"/>
      <c r="K480" s="15"/>
      <c r="L480" s="19"/>
      <c r="M480" s="143"/>
      <c r="N480" s="143"/>
      <c r="O480" s="15"/>
      <c r="P480" s="15"/>
      <c r="Q480" s="28"/>
      <c r="R480" s="143"/>
      <c r="S480" s="143"/>
      <c r="T480" s="143"/>
      <c r="U480" s="143"/>
      <c r="V480" s="143"/>
      <c r="W480" s="143"/>
      <c r="X480" s="143"/>
    </row>
    <row r="481" spans="1:24" ht="15.75" customHeight="1" x14ac:dyDescent="0.25">
      <c r="A481" s="55"/>
      <c r="B481" s="55"/>
      <c r="C481" s="13"/>
      <c r="D481" s="18"/>
      <c r="E481" s="13"/>
      <c r="F481" s="13"/>
      <c r="G481" s="143"/>
      <c r="H481" s="13"/>
      <c r="I481" s="13"/>
      <c r="J481" s="18"/>
      <c r="K481" s="13"/>
      <c r="L481" s="18"/>
      <c r="M481" s="143"/>
      <c r="N481" s="143"/>
      <c r="O481" s="13"/>
      <c r="P481" s="13"/>
      <c r="Q481" s="28"/>
      <c r="R481" s="143"/>
      <c r="S481" s="143"/>
      <c r="T481" s="143"/>
      <c r="U481" s="143"/>
      <c r="V481" s="143"/>
      <c r="W481" s="143"/>
      <c r="X481" s="143"/>
    </row>
    <row r="482" spans="1:24" ht="15.75" customHeight="1" x14ac:dyDescent="0.25">
      <c r="A482" s="55"/>
      <c r="B482" s="55"/>
      <c r="C482" s="15"/>
      <c r="D482" s="19"/>
      <c r="E482" s="15"/>
      <c r="F482" s="15"/>
      <c r="G482" s="143"/>
      <c r="H482" s="15"/>
      <c r="I482" s="15"/>
      <c r="J482" s="19"/>
      <c r="K482" s="15"/>
      <c r="L482" s="19"/>
      <c r="M482" s="143"/>
      <c r="N482" s="143"/>
      <c r="O482" s="15"/>
      <c r="P482" s="15"/>
      <c r="Q482" s="28"/>
      <c r="R482" s="143"/>
      <c r="S482" s="143"/>
      <c r="T482" s="143"/>
      <c r="U482" s="143"/>
      <c r="V482" s="143"/>
      <c r="W482" s="143"/>
      <c r="X482" s="143"/>
    </row>
    <row r="483" spans="1:24" ht="15.75" customHeight="1" x14ac:dyDescent="0.25">
      <c r="A483" s="55"/>
      <c r="B483" s="55"/>
      <c r="C483" s="13"/>
      <c r="D483" s="18"/>
      <c r="E483" s="13"/>
      <c r="F483" s="13"/>
      <c r="G483" s="143"/>
      <c r="H483" s="13"/>
      <c r="I483" s="13"/>
      <c r="J483" s="18"/>
      <c r="K483" s="13"/>
      <c r="L483" s="18"/>
      <c r="M483" s="143"/>
      <c r="N483" s="143"/>
      <c r="O483" s="13"/>
      <c r="P483" s="13"/>
      <c r="Q483" s="28"/>
      <c r="R483" s="143"/>
      <c r="S483" s="143"/>
      <c r="T483" s="143"/>
      <c r="U483" s="143"/>
      <c r="V483" s="143"/>
      <c r="W483" s="143"/>
      <c r="X483" s="143"/>
    </row>
    <row r="484" spans="1:24" ht="15.75" customHeight="1" x14ac:dyDescent="0.25">
      <c r="A484" s="55"/>
      <c r="B484" s="55"/>
      <c r="C484" s="15"/>
      <c r="D484" s="19"/>
      <c r="E484" s="15"/>
      <c r="F484" s="15"/>
      <c r="G484" s="143"/>
      <c r="H484" s="15"/>
      <c r="I484" s="15"/>
      <c r="J484" s="19"/>
      <c r="K484" s="15"/>
      <c r="L484" s="19"/>
      <c r="M484" s="143"/>
      <c r="N484" s="143"/>
      <c r="O484" s="15"/>
      <c r="P484" s="15"/>
      <c r="Q484" s="28"/>
      <c r="R484" s="143"/>
      <c r="S484" s="143"/>
      <c r="T484" s="143"/>
      <c r="U484" s="143"/>
      <c r="V484" s="143"/>
      <c r="W484" s="143"/>
      <c r="X484" s="143"/>
    </row>
    <row r="485" spans="1:24" ht="15.75" customHeight="1" x14ac:dyDescent="0.25">
      <c r="A485" s="55"/>
      <c r="B485" s="55"/>
      <c r="C485" s="13"/>
      <c r="D485" s="18"/>
      <c r="E485" s="13"/>
      <c r="F485" s="13"/>
      <c r="G485" s="143"/>
      <c r="H485" s="13"/>
      <c r="I485" s="13"/>
      <c r="J485" s="18"/>
      <c r="K485" s="13"/>
      <c r="L485" s="18"/>
      <c r="M485" s="143"/>
      <c r="N485" s="143"/>
      <c r="O485" s="13"/>
      <c r="P485" s="13"/>
      <c r="Q485" s="28"/>
      <c r="R485" s="143"/>
      <c r="S485" s="143"/>
      <c r="T485" s="143"/>
      <c r="U485" s="143"/>
      <c r="V485" s="143"/>
      <c r="W485" s="143"/>
      <c r="X485" s="143"/>
    </row>
    <row r="486" spans="1:24" ht="15.75" customHeight="1" x14ac:dyDescent="0.25">
      <c r="A486" s="55"/>
      <c r="B486" s="55"/>
      <c r="C486" s="15"/>
      <c r="D486" s="19"/>
      <c r="E486" s="15"/>
      <c r="F486" s="15"/>
      <c r="G486" s="143"/>
      <c r="H486" s="15"/>
      <c r="I486" s="15"/>
      <c r="J486" s="19"/>
      <c r="K486" s="15"/>
      <c r="L486" s="19"/>
      <c r="M486" s="143"/>
      <c r="N486" s="143"/>
      <c r="O486" s="15"/>
      <c r="P486" s="15"/>
      <c r="Q486" s="28"/>
      <c r="R486" s="143"/>
      <c r="S486" s="143"/>
      <c r="T486" s="143"/>
      <c r="U486" s="143"/>
      <c r="V486" s="143"/>
      <c r="W486" s="143"/>
      <c r="X486" s="143"/>
    </row>
    <row r="487" spans="1:24" ht="15.75" customHeight="1" x14ac:dyDescent="0.25">
      <c r="A487" s="55"/>
      <c r="B487" s="55"/>
      <c r="C487" s="13"/>
      <c r="D487" s="18"/>
      <c r="E487" s="13"/>
      <c r="F487" s="13"/>
      <c r="G487" s="143"/>
      <c r="H487" s="13"/>
      <c r="I487" s="13"/>
      <c r="J487" s="18"/>
      <c r="K487" s="13"/>
      <c r="L487" s="18"/>
      <c r="M487" s="143"/>
      <c r="N487" s="143"/>
      <c r="O487" s="13"/>
      <c r="P487" s="13"/>
      <c r="Q487" s="28"/>
      <c r="R487" s="143"/>
      <c r="S487" s="143"/>
      <c r="T487" s="143"/>
      <c r="U487" s="143"/>
      <c r="V487" s="143"/>
      <c r="W487" s="143"/>
      <c r="X487" s="143"/>
    </row>
    <row r="488" spans="1:24" ht="15.75" customHeight="1" x14ac:dyDescent="0.25">
      <c r="A488" s="55"/>
      <c r="B488" s="55"/>
      <c r="C488" s="15"/>
      <c r="D488" s="19"/>
      <c r="E488" s="15"/>
      <c r="F488" s="15"/>
      <c r="G488" s="143"/>
      <c r="H488" s="15"/>
      <c r="I488" s="15"/>
      <c r="J488" s="19"/>
      <c r="K488" s="15"/>
      <c r="L488" s="19"/>
      <c r="M488" s="143"/>
      <c r="N488" s="143"/>
      <c r="O488" s="15"/>
      <c r="P488" s="15"/>
      <c r="Q488" s="28"/>
      <c r="R488" s="143"/>
      <c r="S488" s="143"/>
      <c r="T488" s="143"/>
      <c r="U488" s="143"/>
      <c r="V488" s="143"/>
      <c r="W488" s="143"/>
      <c r="X488" s="143"/>
    </row>
    <row r="489" spans="1:24" ht="15.75" customHeight="1" x14ac:dyDescent="0.25">
      <c r="A489" s="55"/>
      <c r="B489" s="55"/>
      <c r="C489" s="13"/>
      <c r="D489" s="18"/>
      <c r="E489" s="13"/>
      <c r="F489" s="13"/>
      <c r="G489" s="143"/>
      <c r="H489" s="13"/>
      <c r="I489" s="13"/>
      <c r="J489" s="18"/>
      <c r="K489" s="13"/>
      <c r="L489" s="18"/>
      <c r="M489" s="143"/>
      <c r="N489" s="143"/>
      <c r="O489" s="13"/>
      <c r="P489" s="13"/>
      <c r="Q489" s="28"/>
      <c r="R489" s="143"/>
      <c r="S489" s="143"/>
      <c r="T489" s="143"/>
      <c r="U489" s="143"/>
      <c r="V489" s="143"/>
      <c r="W489" s="143"/>
      <c r="X489" s="143"/>
    </row>
    <row r="490" spans="1:24" ht="15.75" customHeight="1" x14ac:dyDescent="0.25">
      <c r="A490" s="55"/>
      <c r="B490" s="55"/>
      <c r="C490" s="15"/>
      <c r="D490" s="19"/>
      <c r="E490" s="15"/>
      <c r="F490" s="15"/>
      <c r="G490" s="143"/>
      <c r="H490" s="15"/>
      <c r="I490" s="15"/>
      <c r="J490" s="19"/>
      <c r="K490" s="15"/>
      <c r="L490" s="19"/>
      <c r="M490" s="143"/>
      <c r="N490" s="143"/>
      <c r="O490" s="15"/>
      <c r="P490" s="15"/>
      <c r="Q490" s="28"/>
      <c r="R490" s="143"/>
      <c r="S490" s="143"/>
      <c r="T490" s="143"/>
      <c r="U490" s="143"/>
      <c r="V490" s="143"/>
      <c r="W490" s="143"/>
      <c r="X490" s="143"/>
    </row>
    <row r="491" spans="1:24" ht="15.75" customHeight="1" x14ac:dyDescent="0.25">
      <c r="A491" s="55"/>
      <c r="B491" s="55"/>
      <c r="C491" s="13"/>
      <c r="D491" s="18"/>
      <c r="E491" s="13"/>
      <c r="F491" s="13"/>
      <c r="G491" s="143"/>
      <c r="H491" s="13"/>
      <c r="I491" s="13"/>
      <c r="J491" s="18"/>
      <c r="K491" s="13"/>
      <c r="L491" s="18"/>
      <c r="M491" s="143"/>
      <c r="N491" s="143"/>
      <c r="O491" s="13"/>
      <c r="P491" s="13"/>
      <c r="Q491" s="28"/>
      <c r="R491" s="143"/>
      <c r="S491" s="143"/>
      <c r="T491" s="143"/>
      <c r="U491" s="143"/>
      <c r="V491" s="143"/>
      <c r="W491" s="143"/>
      <c r="X491" s="143"/>
    </row>
    <row r="492" spans="1:24" ht="15.75" customHeight="1" x14ac:dyDescent="0.25">
      <c r="A492" s="55"/>
      <c r="B492" s="55"/>
      <c r="C492" s="15"/>
      <c r="D492" s="19"/>
      <c r="E492" s="15"/>
      <c r="F492" s="15"/>
      <c r="G492" s="143"/>
      <c r="H492" s="15"/>
      <c r="I492" s="15"/>
      <c r="J492" s="19"/>
      <c r="K492" s="15"/>
      <c r="L492" s="19"/>
      <c r="M492" s="143"/>
      <c r="N492" s="143"/>
      <c r="O492" s="15"/>
      <c r="P492" s="15"/>
      <c r="Q492" s="28"/>
      <c r="R492" s="143"/>
      <c r="S492" s="143"/>
      <c r="T492" s="143"/>
      <c r="U492" s="143"/>
      <c r="V492" s="143"/>
      <c r="W492" s="143"/>
      <c r="X492" s="143"/>
    </row>
    <row r="493" spans="1:24" ht="15.75" customHeight="1" x14ac:dyDescent="0.25">
      <c r="A493" s="55"/>
      <c r="B493" s="55"/>
      <c r="C493" s="13"/>
      <c r="D493" s="18"/>
      <c r="E493" s="13"/>
      <c r="F493" s="13"/>
      <c r="G493" s="143"/>
      <c r="H493" s="13"/>
      <c r="I493" s="13"/>
      <c r="J493" s="18"/>
      <c r="K493" s="13"/>
      <c r="L493" s="18"/>
      <c r="M493" s="143"/>
      <c r="N493" s="143"/>
      <c r="O493" s="13"/>
      <c r="P493" s="13"/>
      <c r="Q493" s="28"/>
      <c r="R493" s="143"/>
      <c r="S493" s="143"/>
      <c r="T493" s="143"/>
      <c r="U493" s="143"/>
      <c r="V493" s="143"/>
      <c r="W493" s="143"/>
      <c r="X493" s="143"/>
    </row>
    <row r="494" spans="1:24" ht="15.75" customHeight="1" x14ac:dyDescent="0.25">
      <c r="A494" s="55"/>
      <c r="B494" s="55"/>
      <c r="C494" s="15"/>
      <c r="D494" s="19"/>
      <c r="E494" s="15"/>
      <c r="F494" s="15"/>
      <c r="G494" s="143"/>
      <c r="H494" s="15"/>
      <c r="I494" s="15"/>
      <c r="J494" s="19"/>
      <c r="K494" s="15"/>
      <c r="L494" s="19"/>
      <c r="M494" s="143"/>
      <c r="N494" s="143"/>
      <c r="O494" s="15"/>
      <c r="P494" s="15"/>
      <c r="Q494" s="28"/>
      <c r="R494" s="143"/>
      <c r="S494" s="143"/>
      <c r="T494" s="143"/>
      <c r="U494" s="143"/>
      <c r="V494" s="143"/>
      <c r="W494" s="143"/>
      <c r="X494" s="143"/>
    </row>
    <row r="495" spans="1:24" ht="15.75" customHeight="1" x14ac:dyDescent="0.25">
      <c r="A495" s="55"/>
      <c r="B495" s="55"/>
      <c r="C495" s="13"/>
      <c r="D495" s="18"/>
      <c r="E495" s="13"/>
      <c r="F495" s="13"/>
      <c r="G495" s="143"/>
      <c r="H495" s="13"/>
      <c r="I495" s="13"/>
      <c r="J495" s="18"/>
      <c r="K495" s="13"/>
      <c r="L495" s="18"/>
      <c r="M495" s="143"/>
      <c r="N495" s="143"/>
      <c r="O495" s="13"/>
      <c r="P495" s="13"/>
      <c r="Q495" s="28"/>
      <c r="R495" s="143"/>
      <c r="S495" s="143"/>
      <c r="T495" s="143"/>
      <c r="U495" s="143"/>
      <c r="V495" s="143"/>
      <c r="W495" s="143"/>
      <c r="X495" s="143"/>
    </row>
    <row r="496" spans="1:24" ht="15.75" customHeight="1" x14ac:dyDescent="0.25">
      <c r="A496" s="55"/>
      <c r="B496" s="55"/>
      <c r="C496" s="15"/>
      <c r="D496" s="19"/>
      <c r="E496" s="15"/>
      <c r="F496" s="15"/>
      <c r="G496" s="143"/>
      <c r="H496" s="15"/>
      <c r="I496" s="15"/>
      <c r="J496" s="19"/>
      <c r="K496" s="15"/>
      <c r="L496" s="19"/>
      <c r="M496" s="143"/>
      <c r="N496" s="143"/>
      <c r="O496" s="15"/>
      <c r="P496" s="15"/>
      <c r="Q496" s="28"/>
      <c r="R496" s="143"/>
      <c r="S496" s="143"/>
      <c r="T496" s="143"/>
      <c r="U496" s="143"/>
      <c r="V496" s="143"/>
      <c r="W496" s="143"/>
      <c r="X496" s="143"/>
    </row>
    <row r="497" spans="1:24" ht="15.75" customHeight="1" x14ac:dyDescent="0.25">
      <c r="A497" s="55"/>
      <c r="B497" s="55"/>
      <c r="C497" s="13"/>
      <c r="D497" s="18"/>
      <c r="E497" s="13"/>
      <c r="F497" s="13"/>
      <c r="G497" s="143"/>
      <c r="H497" s="13"/>
      <c r="I497" s="13"/>
      <c r="J497" s="18"/>
      <c r="K497" s="13"/>
      <c r="L497" s="18"/>
      <c r="M497" s="143"/>
      <c r="N497" s="143"/>
      <c r="O497" s="13"/>
      <c r="P497" s="13"/>
      <c r="Q497" s="28"/>
      <c r="R497" s="143"/>
      <c r="S497" s="143"/>
      <c r="T497" s="143"/>
      <c r="U497" s="143"/>
      <c r="V497" s="143"/>
      <c r="W497" s="143"/>
      <c r="X497" s="143"/>
    </row>
    <row r="498" spans="1:24" ht="15.75" customHeight="1" x14ac:dyDescent="0.25">
      <c r="A498" s="55"/>
      <c r="B498" s="55"/>
      <c r="C498" s="15"/>
      <c r="D498" s="19"/>
      <c r="E498" s="15"/>
      <c r="F498" s="15"/>
      <c r="G498" s="143"/>
      <c r="H498" s="15"/>
      <c r="I498" s="15"/>
      <c r="J498" s="19"/>
      <c r="K498" s="15"/>
      <c r="L498" s="19"/>
      <c r="M498" s="143"/>
      <c r="N498" s="143"/>
      <c r="O498" s="15"/>
      <c r="P498" s="15"/>
      <c r="Q498" s="28"/>
      <c r="R498" s="143"/>
      <c r="S498" s="143"/>
      <c r="T498" s="143"/>
      <c r="U498" s="143"/>
      <c r="V498" s="143"/>
      <c r="W498" s="143"/>
      <c r="X498" s="143"/>
    </row>
    <row r="499" spans="1:24" ht="15.75" customHeight="1" x14ac:dyDescent="0.25">
      <c r="A499" s="55"/>
      <c r="B499" s="55"/>
      <c r="C499" s="13"/>
      <c r="D499" s="18"/>
      <c r="E499" s="13"/>
      <c r="F499" s="13"/>
      <c r="G499" s="143"/>
      <c r="H499" s="13"/>
      <c r="I499" s="13"/>
      <c r="J499" s="18"/>
      <c r="K499" s="13"/>
      <c r="L499" s="18"/>
      <c r="M499" s="143"/>
      <c r="N499" s="143"/>
      <c r="O499" s="13"/>
      <c r="P499" s="13"/>
      <c r="Q499" s="28"/>
      <c r="R499" s="143"/>
      <c r="S499" s="143"/>
      <c r="T499" s="143"/>
      <c r="U499" s="143"/>
      <c r="V499" s="143"/>
      <c r="W499" s="143"/>
      <c r="X499" s="143"/>
    </row>
    <row r="500" spans="1:24" ht="15.75" customHeight="1" x14ac:dyDescent="0.25">
      <c r="A500" s="55"/>
      <c r="B500" s="55"/>
      <c r="C500" s="15"/>
      <c r="D500" s="19"/>
      <c r="E500" s="15"/>
      <c r="F500" s="15"/>
      <c r="G500" s="143"/>
      <c r="H500" s="15"/>
      <c r="I500" s="15"/>
      <c r="J500" s="19"/>
      <c r="K500" s="15"/>
      <c r="L500" s="19"/>
      <c r="M500" s="143"/>
      <c r="N500" s="143"/>
      <c r="O500" s="15"/>
      <c r="P500" s="15"/>
      <c r="Q500" s="28"/>
      <c r="R500" s="143"/>
      <c r="S500" s="143"/>
      <c r="T500" s="143"/>
      <c r="U500" s="143"/>
      <c r="V500" s="143"/>
      <c r="W500" s="143"/>
      <c r="X500" s="143"/>
    </row>
    <row r="501" spans="1:24" ht="15.75" customHeight="1" x14ac:dyDescent="0.25">
      <c r="A501" s="55"/>
      <c r="B501" s="55"/>
      <c r="C501" s="13"/>
      <c r="D501" s="18"/>
      <c r="E501" s="13"/>
      <c r="F501" s="13"/>
      <c r="G501" s="13"/>
      <c r="H501" s="143"/>
      <c r="I501" s="13"/>
      <c r="J501" s="18"/>
      <c r="K501" s="13"/>
      <c r="L501" s="18"/>
      <c r="M501" s="143"/>
      <c r="N501" s="143"/>
      <c r="O501" s="13"/>
      <c r="P501" s="13"/>
      <c r="Q501" s="28"/>
      <c r="R501" s="143"/>
      <c r="S501" s="143"/>
      <c r="T501" s="143"/>
      <c r="U501" s="143"/>
      <c r="V501" s="143"/>
      <c r="W501" s="143"/>
      <c r="X501" s="143"/>
    </row>
    <row r="502" spans="1:24" ht="15.75" customHeight="1" x14ac:dyDescent="0.25">
      <c r="A502" s="55"/>
      <c r="B502" s="55"/>
      <c r="C502" s="15"/>
      <c r="D502" s="19"/>
      <c r="E502" s="15"/>
      <c r="F502" s="15"/>
      <c r="G502" s="15"/>
      <c r="H502" s="143"/>
      <c r="I502" s="15"/>
      <c r="J502" s="19"/>
      <c r="K502" s="15"/>
      <c r="L502" s="19"/>
      <c r="M502" s="143"/>
      <c r="N502" s="143"/>
      <c r="O502" s="15"/>
      <c r="P502" s="15"/>
      <c r="Q502" s="28"/>
      <c r="R502" s="143"/>
      <c r="S502" s="143"/>
      <c r="T502" s="143"/>
      <c r="U502" s="143"/>
      <c r="V502" s="143"/>
      <c r="W502" s="143"/>
      <c r="X502" s="143"/>
    </row>
    <row r="503" spans="1:24" ht="15.75" customHeight="1" x14ac:dyDescent="0.25">
      <c r="A503" s="55"/>
      <c r="B503" s="55"/>
      <c r="C503" s="13"/>
      <c r="D503" s="18"/>
      <c r="E503" s="13"/>
      <c r="F503" s="13"/>
      <c r="G503" s="13"/>
      <c r="H503" s="143"/>
      <c r="I503" s="13"/>
      <c r="J503" s="18"/>
      <c r="K503" s="13"/>
      <c r="L503" s="18"/>
      <c r="M503" s="143"/>
      <c r="N503" s="143"/>
      <c r="O503" s="13"/>
      <c r="P503" s="13"/>
      <c r="Q503" s="28"/>
      <c r="R503" s="143"/>
      <c r="S503" s="143"/>
      <c r="T503" s="143"/>
      <c r="U503" s="143"/>
      <c r="V503" s="143"/>
      <c r="W503" s="143"/>
      <c r="X503" s="143"/>
    </row>
    <row r="504" spans="1:24" ht="15.75" customHeight="1" x14ac:dyDescent="0.25">
      <c r="A504" s="55"/>
      <c r="B504" s="55"/>
      <c r="C504" s="15"/>
      <c r="D504" s="19"/>
      <c r="E504" s="15"/>
      <c r="F504" s="15"/>
      <c r="G504" s="15"/>
      <c r="H504" s="143"/>
      <c r="I504" s="15"/>
      <c r="J504" s="19"/>
      <c r="K504" s="15"/>
      <c r="L504" s="19"/>
      <c r="M504" s="143"/>
      <c r="N504" s="143"/>
      <c r="O504" s="15"/>
      <c r="P504" s="15"/>
      <c r="Q504" s="28"/>
      <c r="R504" s="143"/>
      <c r="S504" s="143"/>
      <c r="T504" s="143"/>
      <c r="U504" s="143"/>
      <c r="V504" s="143"/>
      <c r="W504" s="143"/>
      <c r="X504" s="143"/>
    </row>
    <row r="505" spans="1:24" ht="15.75" customHeight="1" x14ac:dyDescent="0.25">
      <c r="A505" s="55"/>
      <c r="B505" s="55"/>
      <c r="C505" s="13"/>
      <c r="D505" s="18"/>
      <c r="E505" s="13"/>
      <c r="F505" s="13"/>
      <c r="G505" s="13"/>
      <c r="H505" s="143"/>
      <c r="I505" s="13"/>
      <c r="J505" s="18"/>
      <c r="K505" s="13"/>
      <c r="L505" s="18"/>
      <c r="M505" s="143"/>
      <c r="N505" s="143"/>
      <c r="O505" s="13"/>
      <c r="P505" s="13"/>
      <c r="Q505" s="28"/>
      <c r="R505" s="143"/>
      <c r="S505" s="143"/>
      <c r="T505" s="143"/>
      <c r="U505" s="143"/>
      <c r="V505" s="143"/>
      <c r="W505" s="143"/>
      <c r="X505" s="143"/>
    </row>
    <row r="506" spans="1:24" ht="15.75" customHeight="1" x14ac:dyDescent="0.25">
      <c r="A506" s="55"/>
      <c r="B506" s="55"/>
      <c r="C506" s="15"/>
      <c r="D506" s="19"/>
      <c r="E506" s="15"/>
      <c r="F506" s="15"/>
      <c r="G506" s="15"/>
      <c r="H506" s="143"/>
      <c r="I506" s="15"/>
      <c r="J506" s="19"/>
      <c r="K506" s="15"/>
      <c r="L506" s="19"/>
      <c r="M506" s="143"/>
      <c r="N506" s="143"/>
      <c r="O506" s="15"/>
      <c r="P506" s="15"/>
      <c r="Q506" s="28"/>
      <c r="R506" s="143"/>
      <c r="S506" s="143"/>
      <c r="T506" s="143"/>
      <c r="U506" s="143"/>
      <c r="V506" s="143"/>
      <c r="W506" s="143"/>
      <c r="X506" s="143"/>
    </row>
    <row r="507" spans="1:24" ht="15.75" customHeight="1" x14ac:dyDescent="0.25">
      <c r="A507" s="55"/>
      <c r="B507" s="55"/>
      <c r="C507" s="13"/>
      <c r="D507" s="18"/>
      <c r="E507" s="13"/>
      <c r="F507" s="13"/>
      <c r="G507" s="13"/>
      <c r="H507" s="143"/>
      <c r="I507" s="13"/>
      <c r="J507" s="18"/>
      <c r="K507" s="13"/>
      <c r="L507" s="18"/>
      <c r="M507" s="143"/>
      <c r="N507" s="143"/>
      <c r="O507" s="13"/>
      <c r="P507" s="13"/>
      <c r="Q507" s="28"/>
      <c r="R507" s="143"/>
      <c r="S507" s="143"/>
      <c r="T507" s="143"/>
      <c r="U507" s="143"/>
      <c r="V507" s="143"/>
      <c r="W507" s="143"/>
      <c r="X507" s="143"/>
    </row>
    <row r="508" spans="1:24" ht="15.75" customHeight="1" x14ac:dyDescent="0.25">
      <c r="A508" s="55"/>
      <c r="B508" s="55"/>
      <c r="C508" s="15"/>
      <c r="D508" s="19"/>
      <c r="E508" s="15"/>
      <c r="F508" s="15"/>
      <c r="G508" s="15"/>
      <c r="H508" s="143"/>
      <c r="I508" s="15"/>
      <c r="J508" s="19"/>
      <c r="K508" s="15"/>
      <c r="L508" s="19"/>
      <c r="M508" s="143"/>
      <c r="N508" s="143"/>
      <c r="O508" s="15"/>
      <c r="P508" s="15"/>
      <c r="Q508" s="28"/>
      <c r="R508" s="143"/>
      <c r="S508" s="143"/>
      <c r="T508" s="143"/>
      <c r="U508" s="143"/>
      <c r="V508" s="143"/>
      <c r="W508" s="143"/>
      <c r="X508" s="143"/>
    </row>
    <row r="509" spans="1:24" ht="15.75" customHeight="1" x14ac:dyDescent="0.25">
      <c r="A509" s="55"/>
      <c r="B509" s="55"/>
      <c r="C509" s="13"/>
      <c r="D509" s="18"/>
      <c r="E509" s="13"/>
      <c r="F509" s="13"/>
      <c r="G509" s="13"/>
      <c r="H509" s="143"/>
      <c r="I509" s="13"/>
      <c r="J509" s="18"/>
      <c r="K509" s="13"/>
      <c r="L509" s="18"/>
      <c r="M509" s="143"/>
      <c r="N509" s="143"/>
      <c r="O509" s="13"/>
      <c r="P509" s="13"/>
      <c r="Q509" s="28"/>
      <c r="R509" s="143"/>
      <c r="S509" s="143"/>
      <c r="T509" s="143"/>
      <c r="U509" s="143"/>
      <c r="V509" s="143"/>
      <c r="W509" s="143"/>
      <c r="X509" s="143"/>
    </row>
    <row r="510" spans="1:24" ht="15.75" customHeight="1" x14ac:dyDescent="0.25">
      <c r="A510" s="55"/>
      <c r="B510" s="55"/>
      <c r="C510" s="15"/>
      <c r="D510" s="19"/>
      <c r="E510" s="15"/>
      <c r="F510" s="15"/>
      <c r="G510" s="15"/>
      <c r="H510" s="143"/>
      <c r="I510" s="15"/>
      <c r="J510" s="19"/>
      <c r="K510" s="15"/>
      <c r="L510" s="19"/>
      <c r="M510" s="143"/>
      <c r="N510" s="143"/>
      <c r="O510" s="15"/>
      <c r="P510" s="15"/>
      <c r="Q510" s="28"/>
      <c r="R510" s="143"/>
      <c r="S510" s="143"/>
      <c r="T510" s="143"/>
      <c r="U510" s="143"/>
      <c r="V510" s="143"/>
      <c r="W510" s="143"/>
      <c r="X510" s="143"/>
    </row>
    <row r="511" spans="1:24" ht="15.75" customHeight="1" x14ac:dyDescent="0.25">
      <c r="A511" s="55"/>
      <c r="B511" s="55"/>
      <c r="C511" s="13"/>
      <c r="D511" s="18"/>
      <c r="E511" s="13"/>
      <c r="F511" s="13"/>
      <c r="G511" s="13"/>
      <c r="H511" s="143"/>
      <c r="I511" s="13"/>
      <c r="J511" s="18"/>
      <c r="K511" s="13"/>
      <c r="L511" s="18"/>
      <c r="M511" s="143"/>
      <c r="N511" s="143"/>
      <c r="O511" s="13"/>
      <c r="P511" s="13"/>
      <c r="Q511" s="28"/>
      <c r="R511" s="143"/>
      <c r="S511" s="143"/>
      <c r="T511" s="143"/>
      <c r="U511" s="143"/>
      <c r="V511" s="143"/>
      <c r="W511" s="143"/>
      <c r="X511" s="143"/>
    </row>
    <row r="512" spans="1:24" ht="15.75" customHeight="1" x14ac:dyDescent="0.25">
      <c r="A512" s="55"/>
      <c r="B512" s="55"/>
      <c r="C512" s="15"/>
      <c r="D512" s="19"/>
      <c r="E512" s="15"/>
      <c r="F512" s="15"/>
      <c r="G512" s="15"/>
      <c r="H512" s="143"/>
      <c r="I512" s="15"/>
      <c r="J512" s="19"/>
      <c r="K512" s="15"/>
      <c r="L512" s="19"/>
      <c r="M512" s="143"/>
      <c r="N512" s="143"/>
      <c r="O512" s="15"/>
      <c r="P512" s="15"/>
      <c r="Q512" s="28"/>
      <c r="R512" s="143"/>
      <c r="S512" s="143"/>
      <c r="T512" s="143"/>
      <c r="U512" s="143"/>
      <c r="V512" s="143"/>
      <c r="W512" s="143"/>
      <c r="X512" s="143"/>
    </row>
    <row r="513" spans="1:24" ht="15.75" customHeight="1" x14ac:dyDescent="0.25">
      <c r="A513" s="55"/>
      <c r="B513" s="55"/>
      <c r="C513" s="13"/>
      <c r="D513" s="18"/>
      <c r="E513" s="13"/>
      <c r="F513" s="13"/>
      <c r="G513" s="13"/>
      <c r="H513" s="143"/>
      <c r="I513" s="13"/>
      <c r="J513" s="18"/>
      <c r="K513" s="13"/>
      <c r="L513" s="18"/>
      <c r="M513" s="143"/>
      <c r="N513" s="143"/>
      <c r="O513" s="13"/>
      <c r="P513" s="13"/>
      <c r="Q513" s="28"/>
      <c r="R513" s="143"/>
      <c r="S513" s="143"/>
      <c r="T513" s="143"/>
      <c r="U513" s="143"/>
      <c r="V513" s="143"/>
      <c r="W513" s="143"/>
      <c r="X513" s="143"/>
    </row>
    <row r="514" spans="1:24" ht="15.75" customHeight="1" x14ac:dyDescent="0.25">
      <c r="A514" s="55"/>
      <c r="B514" s="55"/>
      <c r="C514" s="15"/>
      <c r="D514" s="19"/>
      <c r="E514" s="15"/>
      <c r="F514" s="15"/>
      <c r="G514" s="15"/>
      <c r="H514" s="143"/>
      <c r="I514" s="15"/>
      <c r="J514" s="19"/>
      <c r="K514" s="15"/>
      <c r="L514" s="19"/>
      <c r="M514" s="143"/>
      <c r="N514" s="143"/>
      <c r="O514" s="15"/>
      <c r="P514" s="15"/>
      <c r="Q514" s="28"/>
      <c r="R514" s="143"/>
      <c r="S514" s="143"/>
      <c r="T514" s="143"/>
      <c r="U514" s="143"/>
      <c r="V514" s="143"/>
      <c r="W514" s="143"/>
      <c r="X514" s="143"/>
    </row>
    <row r="515" spans="1:24" ht="15.75" customHeight="1" x14ac:dyDescent="0.25">
      <c r="A515" s="55"/>
      <c r="B515" s="55"/>
      <c r="C515" s="13"/>
      <c r="D515" s="18"/>
      <c r="E515" s="13"/>
      <c r="F515" s="13"/>
      <c r="G515" s="143"/>
      <c r="H515" s="13"/>
      <c r="I515" s="13"/>
      <c r="J515" s="18"/>
      <c r="K515" s="13"/>
      <c r="L515" s="18"/>
      <c r="M515" s="143"/>
      <c r="N515" s="143"/>
      <c r="O515" s="13"/>
      <c r="P515" s="13"/>
      <c r="Q515" s="28"/>
      <c r="R515" s="143"/>
      <c r="S515" s="143"/>
      <c r="T515" s="143"/>
      <c r="U515" s="143"/>
      <c r="V515" s="143"/>
      <c r="W515" s="143"/>
      <c r="X515" s="143"/>
    </row>
    <row r="516" spans="1:24" ht="15.75" customHeight="1" x14ac:dyDescent="0.25">
      <c r="A516" s="55"/>
      <c r="B516" s="55"/>
      <c r="C516" s="15"/>
      <c r="D516" s="19"/>
      <c r="E516" s="15"/>
      <c r="F516" s="15"/>
      <c r="G516" s="143"/>
      <c r="H516" s="15"/>
      <c r="I516" s="15"/>
      <c r="J516" s="19"/>
      <c r="K516" s="15"/>
      <c r="L516" s="19"/>
      <c r="M516" s="143"/>
      <c r="N516" s="143"/>
      <c r="O516" s="15"/>
      <c r="P516" s="15"/>
      <c r="Q516" s="28"/>
      <c r="R516" s="143"/>
      <c r="S516" s="143"/>
      <c r="T516" s="143"/>
      <c r="U516" s="143"/>
      <c r="V516" s="143"/>
      <c r="W516" s="143"/>
      <c r="X516" s="143"/>
    </row>
    <row r="517" spans="1:24" ht="15.75" customHeight="1" x14ac:dyDescent="0.25">
      <c r="A517" s="55"/>
      <c r="B517" s="55"/>
      <c r="C517" s="13"/>
      <c r="D517" s="18"/>
      <c r="E517" s="13"/>
      <c r="F517" s="13"/>
      <c r="G517" s="143"/>
      <c r="H517" s="13"/>
      <c r="I517" s="13"/>
      <c r="J517" s="18"/>
      <c r="K517" s="13"/>
      <c r="L517" s="18"/>
      <c r="M517" s="143"/>
      <c r="N517" s="143"/>
      <c r="O517" s="13"/>
      <c r="P517" s="13"/>
      <c r="Q517" s="28"/>
      <c r="R517" s="143"/>
      <c r="S517" s="143"/>
      <c r="T517" s="143"/>
      <c r="U517" s="143"/>
      <c r="V517" s="143"/>
      <c r="W517" s="143"/>
      <c r="X517" s="143"/>
    </row>
    <row r="518" spans="1:24" ht="15.75" customHeight="1" x14ac:dyDescent="0.25">
      <c r="A518" s="55"/>
      <c r="B518" s="55"/>
      <c r="C518" s="15"/>
      <c r="D518" s="19"/>
      <c r="E518" s="15"/>
      <c r="F518" s="15"/>
      <c r="G518" s="15"/>
      <c r="H518" s="15"/>
      <c r="I518" s="15"/>
      <c r="J518" s="19"/>
      <c r="K518" s="15"/>
      <c r="L518" s="19"/>
      <c r="M518" s="143"/>
      <c r="N518" s="143"/>
      <c r="O518" s="15"/>
      <c r="P518" s="15"/>
      <c r="Q518" s="28"/>
      <c r="R518" s="143"/>
      <c r="S518" s="143"/>
      <c r="T518" s="143"/>
      <c r="U518" s="143"/>
      <c r="V518" s="143"/>
      <c r="W518" s="143"/>
      <c r="X518" s="143"/>
    </row>
    <row r="519" spans="1:24" ht="15.75" customHeight="1" x14ac:dyDescent="0.25">
      <c r="A519" s="55"/>
      <c r="B519" s="55"/>
      <c r="C519" s="13"/>
      <c r="D519" s="18"/>
      <c r="E519" s="13"/>
      <c r="F519" s="13"/>
      <c r="G519" s="13"/>
      <c r="H519" s="13"/>
      <c r="I519" s="13"/>
      <c r="J519" s="18"/>
      <c r="K519" s="13"/>
      <c r="L519" s="18"/>
      <c r="M519" s="143"/>
      <c r="N519" s="143"/>
      <c r="O519" s="13"/>
      <c r="P519" s="13"/>
      <c r="Q519" s="28"/>
      <c r="R519" s="143"/>
      <c r="S519" s="143"/>
      <c r="T519" s="143"/>
      <c r="U519" s="143"/>
      <c r="V519" s="143"/>
      <c r="W519" s="143"/>
      <c r="X519" s="143"/>
    </row>
    <row r="520" spans="1:24" ht="15.75" customHeight="1" x14ac:dyDescent="0.25">
      <c r="A520" s="55"/>
      <c r="B520" s="55"/>
      <c r="C520" s="15"/>
      <c r="D520" s="19"/>
      <c r="E520" s="15"/>
      <c r="F520" s="15"/>
      <c r="G520" s="15"/>
      <c r="H520" s="15"/>
      <c r="I520" s="15"/>
      <c r="J520" s="19"/>
      <c r="K520" s="15"/>
      <c r="L520" s="19"/>
      <c r="M520" s="143"/>
      <c r="N520" s="143"/>
      <c r="O520" s="15"/>
      <c r="P520" s="15"/>
      <c r="Q520" s="28"/>
      <c r="R520" s="143"/>
      <c r="S520" s="143"/>
      <c r="T520" s="143"/>
      <c r="U520" s="143"/>
      <c r="V520" s="143"/>
      <c r="W520" s="143"/>
      <c r="X520" s="143"/>
    </row>
    <row r="521" spans="1:24" ht="15.75" customHeight="1" x14ac:dyDescent="0.25">
      <c r="A521" s="55"/>
      <c r="B521" s="55"/>
      <c r="C521" s="13"/>
      <c r="D521" s="18"/>
      <c r="E521" s="13"/>
      <c r="F521" s="13"/>
      <c r="G521" s="13"/>
      <c r="H521" s="13"/>
      <c r="I521" s="13"/>
      <c r="J521" s="18"/>
      <c r="K521" s="13"/>
      <c r="L521" s="18"/>
      <c r="M521" s="143"/>
      <c r="N521" s="143"/>
      <c r="O521" s="13"/>
      <c r="P521" s="13"/>
      <c r="Q521" s="28"/>
      <c r="R521" s="143"/>
      <c r="S521" s="143"/>
      <c r="T521" s="143"/>
      <c r="U521" s="143"/>
      <c r="V521" s="143"/>
      <c r="W521" s="143"/>
      <c r="X521" s="143"/>
    </row>
    <row r="522" spans="1:24" ht="15.75" customHeight="1" x14ac:dyDescent="0.25">
      <c r="A522" s="55"/>
      <c r="B522" s="55"/>
      <c r="C522" s="15"/>
      <c r="D522" s="19"/>
      <c r="E522" s="15"/>
      <c r="F522" s="15"/>
      <c r="G522" s="15"/>
      <c r="H522" s="15"/>
      <c r="I522" s="15"/>
      <c r="J522" s="19"/>
      <c r="K522" s="15"/>
      <c r="L522" s="19"/>
      <c r="M522" s="143"/>
      <c r="N522" s="143"/>
      <c r="O522" s="15"/>
      <c r="P522" s="15"/>
      <c r="Q522" s="28"/>
      <c r="R522" s="143"/>
      <c r="S522" s="143"/>
      <c r="T522" s="143"/>
      <c r="U522" s="143"/>
      <c r="V522" s="143"/>
      <c r="W522" s="143"/>
      <c r="X522" s="143"/>
    </row>
    <row r="523" spans="1:24" ht="15.75" customHeight="1" x14ac:dyDescent="0.25">
      <c r="A523" s="55"/>
      <c r="B523" s="55"/>
      <c r="C523" s="13"/>
      <c r="D523" s="18"/>
      <c r="E523" s="13"/>
      <c r="F523" s="13"/>
      <c r="G523" s="13"/>
      <c r="H523" s="13"/>
      <c r="I523" s="13"/>
      <c r="J523" s="18"/>
      <c r="K523" s="13"/>
      <c r="L523" s="18"/>
      <c r="M523" s="143"/>
      <c r="N523" s="143"/>
      <c r="O523" s="13"/>
      <c r="P523" s="13"/>
      <c r="Q523" s="28"/>
      <c r="R523" s="143"/>
      <c r="S523" s="143"/>
      <c r="T523" s="143"/>
      <c r="U523" s="143"/>
      <c r="V523" s="143"/>
      <c r="W523" s="143"/>
      <c r="X523" s="143"/>
    </row>
    <row r="524" spans="1:24" ht="15.75" customHeight="1" x14ac:dyDescent="0.25">
      <c r="A524" s="55"/>
      <c r="B524" s="55"/>
      <c r="C524" s="58"/>
      <c r="D524" s="59"/>
      <c r="E524" s="60">
        <v>112310.99</v>
      </c>
      <c r="F524" s="60"/>
      <c r="G524" s="58"/>
      <c r="H524" s="58">
        <v>595</v>
      </c>
      <c r="I524" s="58"/>
      <c r="J524" s="59">
        <v>595</v>
      </c>
      <c r="K524" s="58">
        <v>28</v>
      </c>
      <c r="L524" s="59">
        <v>14697.42</v>
      </c>
      <c r="M524" s="143"/>
      <c r="N524" s="143"/>
      <c r="O524" s="58"/>
      <c r="P524" s="58"/>
      <c r="Q524" s="28"/>
      <c r="R524" s="143"/>
      <c r="S524" s="143"/>
      <c r="T524" s="143"/>
      <c r="U524" s="143"/>
      <c r="V524" s="143"/>
      <c r="W524" s="143"/>
      <c r="X524" s="143"/>
    </row>
    <row r="525" spans="1:24" ht="15.75" customHeight="1" x14ac:dyDescent="0.25">
      <c r="A525" s="55"/>
      <c r="B525" s="55"/>
      <c r="C525" s="15"/>
      <c r="D525" s="15"/>
      <c r="E525" s="15"/>
      <c r="F525" s="15"/>
      <c r="G525" s="15"/>
      <c r="H525" s="19"/>
      <c r="I525" s="15"/>
      <c r="J525" s="15"/>
      <c r="K525" s="19"/>
      <c r="L525" s="19"/>
      <c r="M525" s="143"/>
      <c r="N525" s="143"/>
      <c r="O525" s="15"/>
      <c r="P525" s="28"/>
      <c r="Q525" s="28"/>
      <c r="R525" s="143"/>
      <c r="S525" s="143"/>
      <c r="T525" s="143"/>
      <c r="U525" s="143"/>
      <c r="V525" s="143"/>
      <c r="W525" s="143"/>
      <c r="X525" s="143"/>
    </row>
    <row r="526" spans="1:24" ht="15.75" customHeight="1" x14ac:dyDescent="0.25">
      <c r="A526" s="55"/>
      <c r="B526" s="55"/>
      <c r="C526" s="15"/>
      <c r="D526" s="15"/>
      <c r="E526" s="15"/>
      <c r="F526" s="15"/>
      <c r="G526" s="15"/>
      <c r="H526" s="19"/>
      <c r="I526" s="15"/>
      <c r="J526" s="15"/>
      <c r="K526" s="19"/>
      <c r="L526" s="19"/>
      <c r="M526" s="143"/>
      <c r="N526" s="143"/>
      <c r="O526" s="15"/>
      <c r="P526" s="28"/>
      <c r="Q526" s="28"/>
      <c r="R526" s="143"/>
      <c r="S526" s="143"/>
      <c r="T526" s="143"/>
      <c r="U526" s="143"/>
      <c r="V526" s="143"/>
      <c r="W526" s="143"/>
      <c r="X526" s="143"/>
    </row>
    <row r="527" spans="1:24" ht="15.75" customHeight="1" x14ac:dyDescent="0.25">
      <c r="A527" s="55"/>
      <c r="B527" s="55"/>
      <c r="C527" s="15"/>
      <c r="D527" s="15"/>
      <c r="E527" s="15"/>
      <c r="F527" s="15"/>
      <c r="G527" s="15"/>
      <c r="H527" s="19"/>
      <c r="I527" s="15"/>
      <c r="J527" s="15"/>
      <c r="K527" s="19"/>
      <c r="L527" s="19"/>
      <c r="M527" s="143"/>
      <c r="N527" s="143"/>
      <c r="O527" s="15"/>
      <c r="P527" s="28"/>
      <c r="Q527" s="28"/>
      <c r="R527" s="143"/>
      <c r="S527" s="143"/>
      <c r="T527" s="143"/>
      <c r="U527" s="143"/>
      <c r="V527" s="143"/>
      <c r="W527" s="143"/>
      <c r="X527" s="143"/>
    </row>
    <row r="528" spans="1:24" ht="15.75" customHeight="1" x14ac:dyDescent="0.25">
      <c r="A528" s="55"/>
      <c r="B528" s="55"/>
      <c r="C528" s="15"/>
      <c r="D528" s="15"/>
      <c r="E528" s="15"/>
      <c r="F528" s="15"/>
      <c r="G528" s="15"/>
      <c r="H528" s="19"/>
      <c r="I528" s="15"/>
      <c r="J528" s="15"/>
      <c r="K528" s="19"/>
      <c r="L528" s="19"/>
      <c r="M528" s="143"/>
      <c r="N528" s="143"/>
      <c r="O528" s="15"/>
      <c r="P528" s="28"/>
      <c r="Q528" s="28"/>
      <c r="R528" s="143"/>
      <c r="S528" s="143"/>
      <c r="T528" s="143"/>
      <c r="U528" s="143"/>
      <c r="V528" s="143"/>
      <c r="W528" s="143"/>
      <c r="X528" s="143"/>
    </row>
    <row r="529" spans="1:24" ht="15.75" customHeight="1" x14ac:dyDescent="0.25">
      <c r="A529" s="55"/>
      <c r="B529" s="55"/>
      <c r="C529" s="15"/>
      <c r="D529" s="15"/>
      <c r="E529" s="15"/>
      <c r="F529" s="15"/>
      <c r="G529" s="15"/>
      <c r="H529" s="19"/>
      <c r="I529" s="15"/>
      <c r="J529" s="15"/>
      <c r="K529" s="19"/>
      <c r="L529" s="19"/>
      <c r="M529" s="143"/>
      <c r="N529" s="143"/>
      <c r="O529" s="15"/>
      <c r="P529" s="28"/>
      <c r="Q529" s="28"/>
      <c r="R529" s="143"/>
      <c r="S529" s="143"/>
      <c r="T529" s="143"/>
      <c r="U529" s="143"/>
      <c r="V529" s="143"/>
      <c r="W529" s="143"/>
      <c r="X529" s="143"/>
    </row>
    <row r="530" spans="1:24" ht="15.75" customHeight="1" x14ac:dyDescent="0.25">
      <c r="A530" s="55"/>
      <c r="B530" s="55"/>
      <c r="C530" s="15"/>
      <c r="D530" s="15"/>
      <c r="E530" s="15"/>
      <c r="F530" s="15"/>
      <c r="G530" s="15"/>
      <c r="H530" s="19"/>
      <c r="I530" s="15"/>
      <c r="J530" s="15"/>
      <c r="K530" s="19"/>
      <c r="L530" s="19"/>
      <c r="M530" s="143"/>
      <c r="N530" s="143"/>
      <c r="O530" s="15"/>
      <c r="P530" s="28"/>
      <c r="Q530" s="28"/>
      <c r="R530" s="143"/>
      <c r="S530" s="143"/>
      <c r="T530" s="143"/>
      <c r="U530" s="143"/>
      <c r="V530" s="143"/>
      <c r="W530" s="143"/>
      <c r="X530" s="143"/>
    </row>
    <row r="531" spans="1:24" ht="15.75" customHeight="1" x14ac:dyDescent="0.25">
      <c r="A531" s="55"/>
      <c r="B531" s="55"/>
      <c r="C531" s="15"/>
      <c r="D531" s="15"/>
      <c r="E531" s="15"/>
      <c r="F531" s="15"/>
      <c r="G531" s="15"/>
      <c r="H531" s="19"/>
      <c r="I531" s="15"/>
      <c r="J531" s="15"/>
      <c r="K531" s="19"/>
      <c r="L531" s="19"/>
      <c r="M531" s="143"/>
      <c r="N531" s="143"/>
      <c r="O531" s="15"/>
      <c r="P531" s="28"/>
      <c r="Q531" s="28"/>
      <c r="R531" s="143"/>
      <c r="S531" s="143"/>
      <c r="T531" s="143"/>
      <c r="U531" s="143"/>
      <c r="V531" s="143"/>
      <c r="W531" s="143"/>
      <c r="X531" s="143"/>
    </row>
    <row r="532" spans="1:24" ht="15.75" customHeight="1" x14ac:dyDescent="0.25">
      <c r="A532" s="55"/>
      <c r="B532" s="55"/>
      <c r="C532" s="15"/>
      <c r="D532" s="15"/>
      <c r="E532" s="15"/>
      <c r="F532" s="15"/>
      <c r="G532" s="15"/>
      <c r="H532" s="19"/>
      <c r="I532" s="15"/>
      <c r="J532" s="15"/>
      <c r="K532" s="19"/>
      <c r="L532" s="19"/>
      <c r="M532" s="143"/>
      <c r="N532" s="143"/>
      <c r="O532" s="15"/>
      <c r="P532" s="28"/>
      <c r="Q532" s="28"/>
      <c r="R532" s="143"/>
      <c r="S532" s="143"/>
      <c r="T532" s="143"/>
      <c r="U532" s="143"/>
      <c r="V532" s="143"/>
      <c r="W532" s="143"/>
      <c r="X532" s="143"/>
    </row>
    <row r="533" spans="1:24" ht="15.75" customHeight="1" x14ac:dyDescent="0.25">
      <c r="A533" s="55"/>
      <c r="B533" s="55"/>
      <c r="C533" s="15"/>
      <c r="D533" s="15"/>
      <c r="E533" s="15"/>
      <c r="F533" s="15"/>
      <c r="G533" s="15"/>
      <c r="H533" s="19"/>
      <c r="I533" s="15"/>
      <c r="J533" s="15"/>
      <c r="K533" s="19"/>
      <c r="L533" s="19"/>
      <c r="M533" s="143"/>
      <c r="N533" s="143"/>
      <c r="O533" s="15"/>
      <c r="P533" s="28"/>
      <c r="Q533" s="28"/>
      <c r="R533" s="143"/>
      <c r="S533" s="143"/>
      <c r="T533" s="143"/>
      <c r="U533" s="143"/>
      <c r="V533" s="143"/>
      <c r="W533" s="143"/>
      <c r="X533" s="143"/>
    </row>
    <row r="534" spans="1:24" ht="15.75" customHeight="1" x14ac:dyDescent="0.25">
      <c r="A534" s="55"/>
      <c r="B534" s="55"/>
      <c r="C534" s="15"/>
      <c r="D534" s="15"/>
      <c r="E534" s="15"/>
      <c r="F534" s="15"/>
      <c r="G534" s="15"/>
      <c r="H534" s="19"/>
      <c r="I534" s="15"/>
      <c r="J534" s="15"/>
      <c r="K534" s="19"/>
      <c r="L534" s="19"/>
      <c r="M534" s="143"/>
      <c r="N534" s="143"/>
      <c r="O534" s="15"/>
      <c r="P534" s="28"/>
      <c r="Q534" s="28"/>
      <c r="R534" s="143"/>
      <c r="S534" s="143"/>
      <c r="T534" s="143"/>
      <c r="U534" s="143"/>
      <c r="V534" s="143"/>
      <c r="W534" s="143"/>
      <c r="X534" s="143"/>
    </row>
    <row r="535" spans="1:24" ht="15.75" customHeight="1" x14ac:dyDescent="0.25">
      <c r="A535" s="55"/>
      <c r="B535" s="55"/>
      <c r="C535" s="15"/>
      <c r="D535" s="15"/>
      <c r="E535" s="15"/>
      <c r="F535" s="15"/>
      <c r="G535" s="15"/>
      <c r="H535" s="19"/>
      <c r="I535" s="15"/>
      <c r="J535" s="15"/>
      <c r="K535" s="19"/>
      <c r="L535" s="19"/>
      <c r="M535" s="143"/>
      <c r="N535" s="143"/>
      <c r="O535" s="15"/>
      <c r="P535" s="28"/>
      <c r="Q535" s="28"/>
      <c r="R535" s="143"/>
      <c r="S535" s="143"/>
      <c r="T535" s="143"/>
      <c r="U535" s="143"/>
      <c r="V535" s="143"/>
      <c r="W535" s="143"/>
      <c r="X535" s="143"/>
    </row>
    <row r="536" spans="1:24" ht="15.75" customHeight="1" x14ac:dyDescent="0.25">
      <c r="A536" s="55"/>
      <c r="B536" s="55"/>
      <c r="C536" s="15"/>
      <c r="D536" s="15"/>
      <c r="E536" s="15"/>
      <c r="F536" s="15"/>
      <c r="G536" s="15"/>
      <c r="H536" s="19"/>
      <c r="I536" s="15"/>
      <c r="J536" s="15"/>
      <c r="K536" s="19"/>
      <c r="L536" s="19"/>
      <c r="M536" s="143"/>
      <c r="N536" s="143"/>
      <c r="O536" s="15"/>
      <c r="P536" s="28"/>
      <c r="Q536" s="28"/>
      <c r="R536" s="143"/>
      <c r="S536" s="143"/>
      <c r="T536" s="143"/>
      <c r="U536" s="143"/>
      <c r="V536" s="143"/>
      <c r="W536" s="143"/>
      <c r="X536" s="143"/>
    </row>
    <row r="537" spans="1:24" ht="15.75" customHeight="1" x14ac:dyDescent="0.25">
      <c r="A537" s="55"/>
      <c r="B537" s="55"/>
      <c r="C537" s="15"/>
      <c r="D537" s="15"/>
      <c r="E537" s="15"/>
      <c r="F537" s="15"/>
      <c r="G537" s="15"/>
      <c r="H537" s="19"/>
      <c r="I537" s="15"/>
      <c r="J537" s="15"/>
      <c r="K537" s="19"/>
      <c r="L537" s="19"/>
      <c r="M537" s="143"/>
      <c r="N537" s="143"/>
      <c r="O537" s="15"/>
      <c r="P537" s="28"/>
      <c r="Q537" s="28"/>
      <c r="R537" s="143"/>
      <c r="S537" s="143"/>
      <c r="T537" s="143"/>
      <c r="U537" s="143"/>
      <c r="V537" s="143"/>
      <c r="W537" s="143"/>
      <c r="X537" s="143"/>
    </row>
    <row r="538" spans="1:24" ht="15.75" customHeight="1" x14ac:dyDescent="0.25">
      <c r="A538" s="55"/>
      <c r="B538" s="55"/>
      <c r="C538" s="15"/>
      <c r="D538" s="15"/>
      <c r="E538" s="15"/>
      <c r="F538" s="15"/>
      <c r="G538" s="15"/>
      <c r="H538" s="19"/>
      <c r="I538" s="15"/>
      <c r="J538" s="15"/>
      <c r="K538" s="19"/>
      <c r="L538" s="19"/>
      <c r="M538" s="143"/>
      <c r="N538" s="143"/>
      <c r="O538" s="15"/>
      <c r="P538" s="28"/>
      <c r="Q538" s="28"/>
      <c r="R538" s="143"/>
      <c r="S538" s="143"/>
      <c r="T538" s="143"/>
      <c r="U538" s="143"/>
      <c r="V538" s="143"/>
      <c r="W538" s="143"/>
      <c r="X538" s="143"/>
    </row>
    <row r="539" spans="1:24" ht="15.75" customHeight="1" x14ac:dyDescent="0.25">
      <c r="A539" s="55"/>
      <c r="B539" s="55"/>
      <c r="C539" s="15"/>
      <c r="D539" s="15"/>
      <c r="E539" s="15"/>
      <c r="F539" s="15"/>
      <c r="G539" s="15"/>
      <c r="H539" s="19"/>
      <c r="I539" s="15"/>
      <c r="J539" s="15"/>
      <c r="K539" s="19"/>
      <c r="L539" s="19"/>
      <c r="M539" s="143"/>
      <c r="N539" s="143"/>
      <c r="O539" s="15"/>
      <c r="P539" s="28"/>
      <c r="Q539" s="28"/>
      <c r="R539" s="143"/>
      <c r="S539" s="143"/>
      <c r="T539" s="143"/>
      <c r="U539" s="143"/>
      <c r="V539" s="143"/>
      <c r="W539" s="143"/>
      <c r="X539" s="143"/>
    </row>
    <row r="540" spans="1:24" ht="15.75" customHeight="1" x14ac:dyDescent="0.25">
      <c r="A540" s="55"/>
      <c r="B540" s="55"/>
      <c r="C540" s="15"/>
      <c r="D540" s="15"/>
      <c r="E540" s="15"/>
      <c r="F540" s="15"/>
      <c r="G540" s="15"/>
      <c r="H540" s="19"/>
      <c r="I540" s="15"/>
      <c r="J540" s="15"/>
      <c r="K540" s="19"/>
      <c r="L540" s="19"/>
      <c r="M540" s="143"/>
      <c r="N540" s="143"/>
      <c r="O540" s="15"/>
      <c r="P540" s="28"/>
      <c r="Q540" s="28"/>
      <c r="R540" s="143"/>
      <c r="S540" s="143"/>
      <c r="T540" s="143"/>
      <c r="U540" s="143"/>
      <c r="V540" s="143"/>
      <c r="W540" s="143"/>
      <c r="X540" s="143"/>
    </row>
    <row r="541" spans="1:24" ht="15.75" customHeight="1" x14ac:dyDescent="0.25">
      <c r="A541" s="55"/>
      <c r="B541" s="55"/>
      <c r="C541" s="15"/>
      <c r="D541" s="15"/>
      <c r="E541" s="15"/>
      <c r="F541" s="15"/>
      <c r="G541" s="15"/>
      <c r="H541" s="19"/>
      <c r="I541" s="15"/>
      <c r="J541" s="15"/>
      <c r="K541" s="19"/>
      <c r="L541" s="19"/>
      <c r="M541" s="143"/>
      <c r="N541" s="143"/>
      <c r="O541" s="15"/>
      <c r="P541" s="28"/>
      <c r="Q541" s="28"/>
      <c r="R541" s="143"/>
      <c r="S541" s="143"/>
      <c r="T541" s="143"/>
      <c r="U541" s="143"/>
      <c r="V541" s="143"/>
      <c r="W541" s="143"/>
      <c r="X541" s="143"/>
    </row>
    <row r="542" spans="1:24" ht="15.75" customHeight="1" x14ac:dyDescent="0.25">
      <c r="A542" s="55"/>
      <c r="B542" s="55"/>
      <c r="C542" s="15"/>
      <c r="D542" s="15"/>
      <c r="E542" s="15"/>
      <c r="F542" s="15"/>
      <c r="G542" s="15"/>
      <c r="H542" s="19"/>
      <c r="I542" s="15"/>
      <c r="J542" s="15"/>
      <c r="K542" s="19"/>
      <c r="L542" s="19"/>
      <c r="M542" s="143"/>
      <c r="N542" s="143"/>
      <c r="O542" s="15"/>
      <c r="P542" s="28"/>
      <c r="Q542" s="28"/>
      <c r="R542" s="143"/>
      <c r="S542" s="143"/>
      <c r="T542" s="143"/>
      <c r="U542" s="143"/>
      <c r="V542" s="143"/>
      <c r="W542" s="143"/>
      <c r="X542" s="143"/>
    </row>
    <row r="543" spans="1:24" ht="15.75" customHeight="1" x14ac:dyDescent="0.25">
      <c r="A543" s="55"/>
      <c r="B543" s="55"/>
      <c r="C543" s="15"/>
      <c r="D543" s="15"/>
      <c r="E543" s="15"/>
      <c r="F543" s="15"/>
      <c r="G543" s="15"/>
      <c r="H543" s="19"/>
      <c r="I543" s="15"/>
      <c r="J543" s="15"/>
      <c r="K543" s="19"/>
      <c r="L543" s="19"/>
      <c r="M543" s="143"/>
      <c r="N543" s="143"/>
      <c r="O543" s="15"/>
      <c r="P543" s="28"/>
      <c r="Q543" s="28"/>
      <c r="R543" s="143"/>
      <c r="S543" s="143"/>
      <c r="T543" s="143"/>
      <c r="U543" s="143"/>
      <c r="V543" s="143"/>
      <c r="W543" s="143"/>
      <c r="X543" s="143"/>
    </row>
    <row r="544" spans="1:24" ht="15.75" customHeight="1" x14ac:dyDescent="0.25">
      <c r="A544" s="55"/>
      <c r="B544" s="55"/>
      <c r="C544" s="15"/>
      <c r="D544" s="15"/>
      <c r="E544" s="15"/>
      <c r="F544" s="15"/>
      <c r="G544" s="15"/>
      <c r="H544" s="19"/>
      <c r="I544" s="15"/>
      <c r="J544" s="15"/>
      <c r="K544" s="19"/>
      <c r="L544" s="19"/>
      <c r="M544" s="143"/>
      <c r="N544" s="143"/>
      <c r="O544" s="15"/>
      <c r="P544" s="28"/>
      <c r="Q544" s="28"/>
      <c r="R544" s="143"/>
      <c r="S544" s="143"/>
      <c r="T544" s="143"/>
      <c r="U544" s="143"/>
      <c r="V544" s="143"/>
      <c r="W544" s="143"/>
      <c r="X544" s="143"/>
    </row>
    <row r="545" spans="1:24" ht="15.75" customHeight="1" x14ac:dyDescent="0.25">
      <c r="A545" s="55"/>
      <c r="B545" s="55"/>
      <c r="C545" s="15"/>
      <c r="D545" s="15"/>
      <c r="E545" s="15"/>
      <c r="F545" s="15"/>
      <c r="G545" s="15"/>
      <c r="H545" s="19"/>
      <c r="I545" s="15"/>
      <c r="J545" s="15"/>
      <c r="K545" s="19"/>
      <c r="L545" s="19"/>
      <c r="M545" s="143"/>
      <c r="N545" s="143"/>
      <c r="O545" s="15"/>
      <c r="P545" s="28"/>
      <c r="Q545" s="28"/>
      <c r="R545" s="143"/>
      <c r="S545" s="143"/>
      <c r="T545" s="143"/>
      <c r="U545" s="143"/>
      <c r="V545" s="143"/>
      <c r="W545" s="143"/>
      <c r="X545" s="143"/>
    </row>
    <row r="546" spans="1:24" ht="15.75" customHeight="1" x14ac:dyDescent="0.25">
      <c r="A546" s="55"/>
      <c r="B546" s="55"/>
      <c r="C546" s="15"/>
      <c r="D546" s="15"/>
      <c r="E546" s="15"/>
      <c r="F546" s="15"/>
      <c r="G546" s="15"/>
      <c r="H546" s="19"/>
      <c r="I546" s="15"/>
      <c r="J546" s="15"/>
      <c r="K546" s="19"/>
      <c r="L546" s="19"/>
      <c r="M546" s="143"/>
      <c r="N546" s="143"/>
      <c r="O546" s="15"/>
      <c r="P546" s="28"/>
      <c r="Q546" s="28"/>
      <c r="R546" s="143"/>
      <c r="S546" s="143"/>
      <c r="T546" s="143"/>
      <c r="U546" s="143"/>
      <c r="V546" s="143"/>
      <c r="W546" s="143"/>
      <c r="X546" s="143"/>
    </row>
    <row r="547" spans="1:24" ht="15.75" customHeight="1" x14ac:dyDescent="0.25">
      <c r="A547" s="55"/>
      <c r="B547" s="55"/>
      <c r="C547" s="15"/>
      <c r="D547" s="15"/>
      <c r="E547" s="15"/>
      <c r="F547" s="15"/>
      <c r="G547" s="15"/>
      <c r="H547" s="19"/>
      <c r="I547" s="15"/>
      <c r="J547" s="15"/>
      <c r="K547" s="19"/>
      <c r="L547" s="19"/>
      <c r="M547" s="143"/>
      <c r="N547" s="143"/>
      <c r="O547" s="15"/>
      <c r="P547" s="28"/>
      <c r="Q547" s="28"/>
      <c r="R547" s="143"/>
      <c r="S547" s="143"/>
      <c r="T547" s="143"/>
      <c r="U547" s="143"/>
      <c r="V547" s="143"/>
      <c r="W547" s="143"/>
      <c r="X547" s="143"/>
    </row>
    <row r="548" spans="1:24" ht="15.75" customHeight="1" x14ac:dyDescent="0.25">
      <c r="A548" s="55"/>
      <c r="B548" s="55"/>
      <c r="C548" s="15"/>
      <c r="D548" s="15"/>
      <c r="E548" s="15"/>
      <c r="F548" s="15"/>
      <c r="G548" s="15"/>
      <c r="H548" s="19"/>
      <c r="I548" s="15"/>
      <c r="J548" s="15"/>
      <c r="K548" s="19"/>
      <c r="L548" s="19"/>
      <c r="M548" s="143"/>
      <c r="N548" s="143"/>
      <c r="O548" s="15"/>
      <c r="P548" s="28"/>
      <c r="Q548" s="28"/>
      <c r="R548" s="143"/>
      <c r="S548" s="143"/>
      <c r="T548" s="143"/>
      <c r="U548" s="143"/>
      <c r="V548" s="143"/>
      <c r="W548" s="143"/>
      <c r="X548" s="143"/>
    </row>
    <row r="549" spans="1:24" ht="15.75" customHeight="1" x14ac:dyDescent="0.25">
      <c r="A549" s="55"/>
      <c r="B549" s="55"/>
      <c r="C549" s="15"/>
      <c r="D549" s="15"/>
      <c r="E549" s="15"/>
      <c r="F549" s="15"/>
      <c r="G549" s="15"/>
      <c r="H549" s="19"/>
      <c r="I549" s="15"/>
      <c r="J549" s="15"/>
      <c r="K549" s="19"/>
      <c r="L549" s="19"/>
      <c r="M549" s="143"/>
      <c r="N549" s="143"/>
      <c r="O549" s="15"/>
      <c r="P549" s="28"/>
      <c r="Q549" s="28"/>
      <c r="R549" s="143"/>
      <c r="S549" s="143"/>
      <c r="T549" s="143"/>
      <c r="U549" s="143"/>
      <c r="V549" s="143"/>
      <c r="W549" s="143"/>
      <c r="X549" s="143"/>
    </row>
    <row r="550" spans="1:24" ht="15.75" customHeight="1" x14ac:dyDescent="0.25">
      <c r="A550" s="55"/>
      <c r="B550" s="55"/>
      <c r="C550" s="15"/>
      <c r="D550" s="15"/>
      <c r="E550" s="15"/>
      <c r="F550" s="15"/>
      <c r="G550" s="15"/>
      <c r="H550" s="19"/>
      <c r="I550" s="15"/>
      <c r="J550" s="15"/>
      <c r="K550" s="19"/>
      <c r="L550" s="19"/>
      <c r="M550" s="143"/>
      <c r="N550" s="143"/>
      <c r="O550" s="15"/>
      <c r="P550" s="28"/>
      <c r="Q550" s="28"/>
      <c r="R550" s="143"/>
      <c r="S550" s="143"/>
      <c r="T550" s="143"/>
      <c r="U550" s="143"/>
      <c r="V550" s="143"/>
      <c r="W550" s="143"/>
      <c r="X550" s="143"/>
    </row>
    <row r="551" spans="1:24" ht="15" customHeight="1" x14ac:dyDescent="0.25">
      <c r="A551" s="55"/>
      <c r="B551" s="55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143"/>
      <c r="N551" s="143"/>
      <c r="O551" s="28"/>
      <c r="P551" s="28"/>
      <c r="Q551" s="28"/>
      <c r="R551" s="143"/>
      <c r="S551" s="143"/>
      <c r="T551" s="143"/>
      <c r="U551" s="143"/>
      <c r="V551" s="143"/>
      <c r="W551" s="143"/>
      <c r="X551" s="143"/>
    </row>
    <row r="552" spans="1:24" ht="15" customHeight="1" x14ac:dyDescent="0.25">
      <c r="A552" s="55"/>
      <c r="B552" s="55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143"/>
      <c r="N552" s="143"/>
      <c r="O552" s="28"/>
      <c r="P552" s="28"/>
      <c r="Q552" s="28"/>
      <c r="R552" s="143"/>
      <c r="S552" s="143"/>
      <c r="T552" s="143"/>
      <c r="U552" s="143"/>
      <c r="V552" s="143"/>
      <c r="W552" s="143"/>
      <c r="X552" s="143"/>
    </row>
    <row r="553" spans="1:24" ht="15" customHeight="1" x14ac:dyDescent="0.25">
      <c r="A553" s="55"/>
      <c r="B553" s="55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143"/>
      <c r="N553" s="143"/>
      <c r="O553" s="28"/>
      <c r="P553" s="28"/>
      <c r="Q553" s="28"/>
      <c r="R553" s="143"/>
      <c r="S553" s="143"/>
      <c r="T553" s="143"/>
      <c r="U553" s="143"/>
      <c r="V553" s="143"/>
      <c r="W553" s="143"/>
      <c r="X553" s="143"/>
    </row>
    <row r="554" spans="1:24" ht="15" customHeight="1" x14ac:dyDescent="0.25">
      <c r="A554" s="55"/>
      <c r="B554" s="55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143"/>
      <c r="N554" s="143"/>
      <c r="O554" s="28"/>
      <c r="P554" s="28"/>
      <c r="Q554" s="28"/>
      <c r="R554" s="143"/>
      <c r="S554" s="143"/>
      <c r="T554" s="143"/>
      <c r="U554" s="143"/>
      <c r="V554" s="143"/>
      <c r="W554" s="143"/>
      <c r="X554" s="143"/>
    </row>
    <row r="555" spans="1:24" ht="15" customHeight="1" x14ac:dyDescent="0.25">
      <c r="A555" s="55"/>
      <c r="B555" s="55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143"/>
      <c r="N555" s="143"/>
      <c r="O555" s="28"/>
      <c r="P555" s="28"/>
      <c r="Q555" s="28"/>
      <c r="R555" s="143"/>
      <c r="S555" s="143"/>
      <c r="T555" s="143"/>
      <c r="U555" s="143"/>
      <c r="V555" s="143"/>
      <c r="W555" s="143"/>
      <c r="X555" s="143"/>
    </row>
    <row r="556" spans="1:24" ht="15" customHeight="1" x14ac:dyDescent="0.25">
      <c r="A556" s="55"/>
      <c r="B556" s="55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143"/>
      <c r="N556" s="143"/>
      <c r="O556" s="28"/>
      <c r="P556" s="28"/>
      <c r="Q556" s="28"/>
      <c r="R556" s="143"/>
      <c r="S556" s="143"/>
      <c r="T556" s="143"/>
      <c r="U556" s="143"/>
      <c r="V556" s="143"/>
      <c r="W556" s="143"/>
      <c r="X556" s="143"/>
    </row>
    <row r="557" spans="1:24" ht="15" customHeight="1" x14ac:dyDescent="0.25">
      <c r="A557" s="55"/>
      <c r="B557" s="55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143"/>
      <c r="N557" s="143"/>
      <c r="O557" s="28"/>
      <c r="P557" s="28"/>
      <c r="Q557" s="28"/>
      <c r="R557" s="143"/>
      <c r="S557" s="143"/>
      <c r="T557" s="143"/>
      <c r="U557" s="143"/>
      <c r="V557" s="143"/>
      <c r="W557" s="143"/>
      <c r="X557" s="143"/>
    </row>
    <row r="558" spans="1:24" ht="15" customHeight="1" x14ac:dyDescent="0.25">
      <c r="A558" s="55"/>
      <c r="B558" s="55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143"/>
      <c r="N558" s="143"/>
      <c r="O558" s="28"/>
      <c r="P558" s="28"/>
      <c r="Q558" s="28"/>
      <c r="R558" s="143"/>
      <c r="S558" s="143"/>
      <c r="T558" s="143"/>
      <c r="U558" s="143"/>
      <c r="V558" s="143"/>
      <c r="W558" s="143"/>
      <c r="X558" s="143"/>
    </row>
    <row r="559" spans="1:24" ht="15" customHeight="1" x14ac:dyDescent="0.25">
      <c r="A559" s="55"/>
      <c r="B559" s="55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143"/>
      <c r="N559" s="143"/>
      <c r="O559" s="28"/>
      <c r="P559" s="28"/>
      <c r="Q559" s="28"/>
      <c r="R559" s="143"/>
      <c r="S559" s="143"/>
      <c r="T559" s="143"/>
      <c r="U559" s="143"/>
      <c r="V559" s="143"/>
      <c r="W559" s="143"/>
      <c r="X559" s="143"/>
    </row>
    <row r="560" spans="1:24" ht="15" customHeight="1" x14ac:dyDescent="0.25">
      <c r="A560" s="55"/>
      <c r="B560" s="55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143"/>
      <c r="N560" s="143"/>
      <c r="O560" s="28"/>
      <c r="P560" s="28"/>
      <c r="Q560" s="28"/>
      <c r="R560" s="143"/>
      <c r="S560" s="143"/>
      <c r="T560" s="143"/>
      <c r="U560" s="143"/>
      <c r="V560" s="143"/>
      <c r="W560" s="143"/>
      <c r="X560" s="143"/>
    </row>
    <row r="561" spans="1:24" ht="15" customHeight="1" x14ac:dyDescent="0.25">
      <c r="A561" s="55"/>
      <c r="B561" s="55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143"/>
      <c r="N561" s="143"/>
      <c r="O561" s="28"/>
      <c r="P561" s="28"/>
      <c r="Q561" s="28"/>
      <c r="R561" s="143"/>
      <c r="S561" s="143"/>
      <c r="T561" s="143"/>
      <c r="U561" s="143"/>
      <c r="V561" s="143"/>
      <c r="W561" s="143"/>
      <c r="X561" s="143"/>
    </row>
    <row r="562" spans="1:24" ht="15" customHeight="1" x14ac:dyDescent="0.25">
      <c r="A562" s="55"/>
      <c r="B562" s="55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143"/>
      <c r="N562" s="143"/>
      <c r="O562" s="28"/>
      <c r="P562" s="28"/>
      <c r="Q562" s="28"/>
      <c r="R562" s="143"/>
      <c r="S562" s="143"/>
      <c r="T562" s="143"/>
      <c r="U562" s="143"/>
      <c r="V562" s="143"/>
      <c r="W562" s="143"/>
      <c r="X562" s="143"/>
    </row>
    <row r="563" spans="1:24" ht="15" customHeight="1" x14ac:dyDescent="0.25">
      <c r="A563" s="55"/>
      <c r="B563" s="55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143"/>
      <c r="N563" s="143"/>
      <c r="O563" s="28"/>
      <c r="P563" s="28"/>
      <c r="Q563" s="28"/>
      <c r="R563" s="143"/>
      <c r="S563" s="143"/>
      <c r="T563" s="143"/>
      <c r="U563" s="143"/>
      <c r="V563" s="143"/>
      <c r="W563" s="143"/>
      <c r="X563" s="143"/>
    </row>
    <row r="564" spans="1:24" ht="15" customHeight="1" x14ac:dyDescent="0.25">
      <c r="A564" s="55"/>
      <c r="B564" s="55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143"/>
      <c r="N564" s="143"/>
      <c r="O564" s="28"/>
      <c r="P564" s="28"/>
      <c r="Q564" s="28"/>
      <c r="R564" s="143"/>
      <c r="S564" s="143"/>
      <c r="T564" s="143"/>
      <c r="U564" s="143"/>
      <c r="V564" s="143"/>
      <c r="W564" s="143"/>
      <c r="X564" s="143"/>
    </row>
    <row r="565" spans="1:24" ht="15" customHeight="1" x14ac:dyDescent="0.25">
      <c r="A565" s="55"/>
      <c r="B565" s="55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143"/>
      <c r="N565" s="143"/>
      <c r="O565" s="28"/>
      <c r="P565" s="28"/>
      <c r="Q565" s="28"/>
      <c r="R565" s="143"/>
      <c r="S565" s="143"/>
      <c r="T565" s="143"/>
      <c r="U565" s="143"/>
      <c r="V565" s="143"/>
      <c r="W565" s="143"/>
      <c r="X565" s="143"/>
    </row>
    <row r="566" spans="1:24" ht="15" customHeight="1" x14ac:dyDescent="0.25">
      <c r="A566" s="55"/>
      <c r="B566" s="55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143"/>
      <c r="N566" s="143"/>
      <c r="O566" s="28"/>
      <c r="P566" s="28"/>
      <c r="Q566" s="28"/>
      <c r="R566" s="143"/>
      <c r="S566" s="143"/>
      <c r="T566" s="143"/>
      <c r="U566" s="143"/>
      <c r="V566" s="143"/>
      <c r="W566" s="143"/>
      <c r="X566" s="143"/>
    </row>
    <row r="567" spans="1:24" ht="15" customHeight="1" x14ac:dyDescent="0.25">
      <c r="A567" s="55"/>
      <c r="B567" s="55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143"/>
      <c r="N567" s="143"/>
      <c r="O567" s="28"/>
      <c r="P567" s="28"/>
      <c r="Q567" s="28"/>
      <c r="R567" s="143"/>
      <c r="S567" s="143"/>
      <c r="T567" s="143"/>
      <c r="U567" s="143"/>
      <c r="V567" s="143"/>
      <c r="W567" s="143"/>
      <c r="X567" s="143"/>
    </row>
    <row r="568" spans="1:24" ht="15" customHeight="1" x14ac:dyDescent="0.25">
      <c r="A568" s="55"/>
      <c r="B568" s="55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143"/>
      <c r="N568" s="143"/>
      <c r="O568" s="28"/>
      <c r="P568" s="28"/>
      <c r="Q568" s="28"/>
      <c r="R568" s="143"/>
      <c r="S568" s="143"/>
      <c r="T568" s="143"/>
      <c r="U568" s="143"/>
      <c r="V568" s="143"/>
      <c r="W568" s="143"/>
      <c r="X568" s="143"/>
    </row>
    <row r="569" spans="1:24" ht="15" customHeight="1" x14ac:dyDescent="0.25">
      <c r="A569" s="55"/>
      <c r="B569" s="55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143"/>
      <c r="N569" s="143"/>
      <c r="O569" s="28"/>
      <c r="P569" s="28"/>
      <c r="Q569" s="28"/>
      <c r="R569" s="143"/>
      <c r="S569" s="143"/>
      <c r="T569" s="143"/>
      <c r="U569" s="143"/>
      <c r="V569" s="143"/>
      <c r="W569" s="143"/>
      <c r="X569" s="143"/>
    </row>
    <row r="570" spans="1:24" ht="15" customHeight="1" x14ac:dyDescent="0.25">
      <c r="A570" s="55"/>
      <c r="B570" s="55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143"/>
      <c r="N570" s="143"/>
      <c r="O570" s="28"/>
      <c r="P570" s="28"/>
      <c r="Q570" s="28"/>
      <c r="R570" s="143"/>
      <c r="S570" s="143"/>
      <c r="T570" s="143"/>
      <c r="U570" s="143"/>
      <c r="V570" s="143"/>
      <c r="W570" s="143"/>
      <c r="X570" s="143"/>
    </row>
    <row r="571" spans="1:24" ht="15" customHeight="1" x14ac:dyDescent="0.25">
      <c r="A571" s="55"/>
      <c r="B571" s="55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143"/>
      <c r="N571" s="143"/>
      <c r="O571" s="28"/>
      <c r="P571" s="28"/>
      <c r="Q571" s="28"/>
      <c r="R571" s="143"/>
      <c r="S571" s="143"/>
      <c r="T571" s="143"/>
      <c r="U571" s="143"/>
      <c r="V571" s="143"/>
      <c r="W571" s="143"/>
      <c r="X571" s="143"/>
    </row>
    <row r="572" spans="1:24" ht="15" customHeight="1" x14ac:dyDescent="0.25">
      <c r="A572" s="55"/>
      <c r="B572" s="55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143"/>
      <c r="N572" s="143"/>
      <c r="O572" s="28"/>
      <c r="P572" s="28"/>
      <c r="Q572" s="28"/>
      <c r="R572" s="143"/>
      <c r="S572" s="143"/>
      <c r="T572" s="143"/>
      <c r="U572" s="143"/>
      <c r="V572" s="143"/>
      <c r="W572" s="143"/>
      <c r="X572" s="143"/>
    </row>
    <row r="573" spans="1:24" ht="15" customHeight="1" x14ac:dyDescent="0.25">
      <c r="A573" s="55"/>
      <c r="B573" s="55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143"/>
      <c r="N573" s="143"/>
      <c r="O573" s="28"/>
      <c r="P573" s="28"/>
      <c r="Q573" s="28"/>
      <c r="R573" s="143"/>
      <c r="S573" s="143"/>
      <c r="T573" s="143"/>
      <c r="U573" s="143"/>
      <c r="V573" s="143"/>
      <c r="W573" s="143"/>
      <c r="X573" s="143"/>
    </row>
    <row r="574" spans="1:24" ht="15" customHeight="1" x14ac:dyDescent="0.25">
      <c r="A574" s="55"/>
      <c r="B574" s="55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143"/>
      <c r="N574" s="143"/>
      <c r="O574" s="28"/>
      <c r="P574" s="28"/>
      <c r="Q574" s="28"/>
      <c r="R574" s="143"/>
      <c r="S574" s="143"/>
      <c r="T574" s="143"/>
      <c r="U574" s="143"/>
      <c r="V574" s="143"/>
      <c r="W574" s="143"/>
      <c r="X574" s="143"/>
    </row>
    <row r="575" spans="1:24" ht="15" customHeight="1" x14ac:dyDescent="0.25">
      <c r="A575" s="55"/>
      <c r="B575" s="55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143"/>
      <c r="N575" s="143"/>
      <c r="O575" s="28"/>
      <c r="P575" s="28"/>
      <c r="Q575" s="28"/>
      <c r="R575" s="143"/>
      <c r="S575" s="143"/>
      <c r="T575" s="143"/>
      <c r="U575" s="143"/>
      <c r="V575" s="143"/>
      <c r="W575" s="143"/>
      <c r="X575" s="143"/>
    </row>
    <row r="576" spans="1:24" ht="15" customHeight="1" x14ac:dyDescent="0.25">
      <c r="A576" s="55"/>
      <c r="B576" s="55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143"/>
      <c r="N576" s="143"/>
      <c r="O576" s="28"/>
      <c r="P576" s="28"/>
      <c r="Q576" s="28"/>
      <c r="R576" s="143"/>
      <c r="S576" s="143"/>
      <c r="T576" s="143"/>
      <c r="U576" s="143"/>
      <c r="V576" s="143"/>
      <c r="W576" s="143"/>
      <c r="X576" s="143"/>
    </row>
    <row r="577" spans="1:24" ht="15" customHeight="1" x14ac:dyDescent="0.25">
      <c r="A577" s="55"/>
      <c r="B577" s="55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143"/>
      <c r="N577" s="143"/>
      <c r="O577" s="28"/>
      <c r="P577" s="28"/>
      <c r="Q577" s="28"/>
      <c r="R577" s="143"/>
      <c r="S577" s="143"/>
      <c r="T577" s="143"/>
      <c r="U577" s="143"/>
      <c r="V577" s="143"/>
      <c r="W577" s="143"/>
      <c r="X577" s="143"/>
    </row>
    <row r="578" spans="1:24" ht="15" customHeight="1" x14ac:dyDescent="0.25">
      <c r="A578" s="55"/>
      <c r="B578" s="55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143"/>
      <c r="N578" s="143"/>
      <c r="O578" s="28"/>
      <c r="P578" s="28"/>
      <c r="Q578" s="28"/>
      <c r="R578" s="143"/>
      <c r="S578" s="143"/>
      <c r="T578" s="143"/>
      <c r="U578" s="143"/>
      <c r="V578" s="143"/>
      <c r="W578" s="143"/>
      <c r="X578" s="143"/>
    </row>
    <row r="579" spans="1:24" ht="15" customHeight="1" x14ac:dyDescent="0.25">
      <c r="A579" s="55"/>
      <c r="B579" s="55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143"/>
      <c r="N579" s="143"/>
      <c r="O579" s="28"/>
      <c r="P579" s="28"/>
      <c r="Q579" s="28"/>
      <c r="R579" s="143"/>
      <c r="S579" s="143"/>
      <c r="T579" s="143"/>
      <c r="U579" s="143"/>
      <c r="V579" s="143"/>
      <c r="W579" s="143"/>
      <c r="X579" s="143"/>
    </row>
    <row r="580" spans="1:24" ht="15" customHeight="1" x14ac:dyDescent="0.25">
      <c r="A580" s="55"/>
      <c r="B580" s="55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143"/>
      <c r="N580" s="143"/>
      <c r="O580" s="28"/>
      <c r="P580" s="28"/>
      <c r="Q580" s="28"/>
      <c r="R580" s="143"/>
      <c r="S580" s="143"/>
      <c r="T580" s="143"/>
      <c r="U580" s="143"/>
      <c r="V580" s="143"/>
      <c r="W580" s="143"/>
      <c r="X580" s="143"/>
    </row>
    <row r="581" spans="1:24" ht="15" customHeight="1" x14ac:dyDescent="0.25">
      <c r="A581" s="55"/>
      <c r="B581" s="55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143"/>
      <c r="N581" s="143"/>
      <c r="O581" s="28"/>
      <c r="P581" s="28"/>
      <c r="Q581" s="28"/>
      <c r="R581" s="143"/>
      <c r="S581" s="143"/>
      <c r="T581" s="143"/>
      <c r="U581" s="143"/>
      <c r="V581" s="143"/>
      <c r="W581" s="143"/>
      <c r="X581" s="143"/>
    </row>
    <row r="582" spans="1:24" ht="15" customHeight="1" x14ac:dyDescent="0.25">
      <c r="A582" s="55"/>
      <c r="B582" s="55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143"/>
      <c r="N582" s="143"/>
      <c r="O582" s="28"/>
      <c r="P582" s="28"/>
      <c r="Q582" s="28"/>
      <c r="R582" s="143"/>
      <c r="S582" s="143"/>
      <c r="T582" s="143"/>
      <c r="U582" s="143"/>
      <c r="V582" s="143"/>
      <c r="W582" s="143"/>
      <c r="X582" s="143"/>
    </row>
    <row r="583" spans="1:24" ht="15" customHeight="1" x14ac:dyDescent="0.25">
      <c r="A583" s="55"/>
      <c r="B583" s="55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143"/>
      <c r="N583" s="143"/>
      <c r="O583" s="28"/>
      <c r="P583" s="28"/>
      <c r="Q583" s="28"/>
      <c r="R583" s="143"/>
      <c r="S583" s="143"/>
      <c r="T583" s="143"/>
      <c r="U583" s="143"/>
      <c r="V583" s="143"/>
      <c r="W583" s="143"/>
      <c r="X583" s="143"/>
    </row>
    <row r="584" spans="1:24" ht="15" customHeight="1" x14ac:dyDescent="0.25">
      <c r="A584" s="55"/>
      <c r="B584" s="55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143"/>
      <c r="N584" s="143"/>
      <c r="O584" s="28"/>
      <c r="P584" s="28"/>
      <c r="Q584" s="28"/>
      <c r="R584" s="143"/>
      <c r="S584" s="143"/>
      <c r="T584" s="143"/>
      <c r="U584" s="143"/>
      <c r="V584" s="143"/>
      <c r="W584" s="143"/>
      <c r="X584" s="143"/>
    </row>
    <row r="585" spans="1:24" ht="15" customHeight="1" x14ac:dyDescent="0.25">
      <c r="A585" s="55"/>
      <c r="B585" s="55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143"/>
      <c r="N585" s="143"/>
      <c r="O585" s="28"/>
      <c r="P585" s="28"/>
      <c r="Q585" s="28"/>
      <c r="R585" s="143"/>
      <c r="S585" s="143"/>
      <c r="T585" s="143"/>
      <c r="U585" s="143"/>
      <c r="V585" s="143"/>
      <c r="W585" s="143"/>
      <c r="X585" s="143"/>
    </row>
    <row r="586" spans="1:24" ht="15" customHeight="1" x14ac:dyDescent="0.25">
      <c r="A586" s="55"/>
      <c r="B586" s="55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143"/>
      <c r="N586" s="143"/>
      <c r="O586" s="28"/>
      <c r="P586" s="28"/>
      <c r="Q586" s="28"/>
      <c r="R586" s="143"/>
      <c r="S586" s="143"/>
      <c r="T586" s="143"/>
      <c r="U586" s="143"/>
      <c r="V586" s="143"/>
      <c r="W586" s="143"/>
      <c r="X586" s="143"/>
    </row>
    <row r="587" spans="1:24" ht="15" customHeight="1" x14ac:dyDescent="0.25">
      <c r="A587" s="55"/>
      <c r="B587" s="55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143"/>
      <c r="N587" s="143"/>
      <c r="O587" s="28"/>
      <c r="P587" s="28"/>
      <c r="Q587" s="28"/>
      <c r="R587" s="143"/>
      <c r="S587" s="143"/>
      <c r="T587" s="143"/>
      <c r="U587" s="143"/>
      <c r="V587" s="143"/>
      <c r="W587" s="143"/>
      <c r="X587" s="143"/>
    </row>
    <row r="588" spans="1:24" ht="15" customHeight="1" x14ac:dyDescent="0.25">
      <c r="A588" s="55"/>
      <c r="B588" s="55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143"/>
      <c r="N588" s="143"/>
      <c r="O588" s="28"/>
      <c r="P588" s="28"/>
      <c r="Q588" s="28"/>
      <c r="R588" s="143"/>
      <c r="S588" s="143"/>
      <c r="T588" s="143"/>
      <c r="U588" s="143"/>
      <c r="V588" s="143"/>
      <c r="W588" s="143"/>
      <c r="X588" s="143"/>
    </row>
    <row r="589" spans="1:24" ht="15" customHeight="1" x14ac:dyDescent="0.25">
      <c r="A589" s="55"/>
      <c r="B589" s="55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143"/>
      <c r="N589" s="143"/>
      <c r="O589" s="28"/>
      <c r="P589" s="28"/>
      <c r="Q589" s="28"/>
      <c r="R589" s="143"/>
      <c r="S589" s="143"/>
      <c r="T589" s="143"/>
      <c r="U589" s="143"/>
      <c r="V589" s="143"/>
      <c r="W589" s="143"/>
      <c r="X589" s="143"/>
    </row>
    <row r="590" spans="1:24" ht="15" customHeight="1" x14ac:dyDescent="0.25">
      <c r="A590" s="55"/>
      <c r="B590" s="55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143"/>
      <c r="N590" s="143"/>
      <c r="O590" s="28"/>
      <c r="P590" s="28"/>
      <c r="Q590" s="28"/>
      <c r="R590" s="143"/>
      <c r="S590" s="143"/>
      <c r="T590" s="143"/>
      <c r="U590" s="143"/>
      <c r="V590" s="143"/>
      <c r="W590" s="143"/>
      <c r="X590" s="143"/>
    </row>
    <row r="591" spans="1:24" ht="15" customHeight="1" x14ac:dyDescent="0.25">
      <c r="A591" s="55"/>
      <c r="B591" s="55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143"/>
      <c r="N591" s="143"/>
      <c r="O591" s="28"/>
      <c r="P591" s="28"/>
      <c r="Q591" s="28"/>
      <c r="R591" s="143"/>
      <c r="S591" s="143"/>
      <c r="T591" s="143"/>
      <c r="U591" s="143"/>
      <c r="V591" s="143"/>
      <c r="W591" s="143"/>
      <c r="X591" s="143"/>
    </row>
    <row r="592" spans="1:24" ht="15" customHeight="1" x14ac:dyDescent="0.25">
      <c r="A592" s="55"/>
      <c r="B592" s="55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143"/>
      <c r="N592" s="143"/>
      <c r="O592" s="28"/>
      <c r="P592" s="28"/>
      <c r="Q592" s="28"/>
      <c r="R592" s="143"/>
      <c r="S592" s="143"/>
      <c r="T592" s="143"/>
      <c r="U592" s="143"/>
      <c r="V592" s="143"/>
      <c r="W592" s="143"/>
      <c r="X592" s="143"/>
    </row>
    <row r="593" spans="1:24" ht="15" customHeight="1" x14ac:dyDescent="0.25">
      <c r="A593" s="55"/>
      <c r="B593" s="55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143"/>
      <c r="N593" s="143"/>
      <c r="O593" s="28"/>
      <c r="P593" s="28"/>
      <c r="Q593" s="28"/>
      <c r="R593" s="143"/>
      <c r="S593" s="143"/>
      <c r="T593" s="143"/>
      <c r="U593" s="143"/>
      <c r="V593" s="143"/>
      <c r="W593" s="143"/>
      <c r="X593" s="143"/>
    </row>
    <row r="594" spans="1:24" ht="15" customHeight="1" x14ac:dyDescent="0.25">
      <c r="A594" s="55"/>
      <c r="B594" s="55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143"/>
      <c r="N594" s="143"/>
      <c r="O594" s="28"/>
      <c r="P594" s="28"/>
      <c r="Q594" s="28"/>
      <c r="R594" s="143"/>
      <c r="S594" s="143"/>
      <c r="T594" s="143"/>
      <c r="U594" s="143"/>
      <c r="V594" s="143"/>
      <c r="W594" s="143"/>
      <c r="X594" s="143"/>
    </row>
    <row r="595" spans="1:24" ht="15" customHeight="1" x14ac:dyDescent="0.25">
      <c r="A595" s="55"/>
      <c r="B595" s="55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143"/>
      <c r="N595" s="143"/>
      <c r="O595" s="28"/>
      <c r="P595" s="28"/>
      <c r="Q595" s="28"/>
      <c r="R595" s="143"/>
      <c r="S595" s="143"/>
      <c r="T595" s="143"/>
      <c r="U595" s="143"/>
      <c r="V595" s="143"/>
      <c r="W595" s="143"/>
      <c r="X595" s="143"/>
    </row>
    <row r="596" spans="1:24" ht="15" customHeight="1" x14ac:dyDescent="0.25">
      <c r="A596" s="55"/>
      <c r="B596" s="55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143"/>
      <c r="N596" s="143"/>
      <c r="O596" s="28"/>
      <c r="P596" s="28"/>
      <c r="Q596" s="28"/>
      <c r="R596" s="143"/>
      <c r="S596" s="143"/>
      <c r="T596" s="143"/>
      <c r="U596" s="143"/>
      <c r="V596" s="143"/>
      <c r="W596" s="143"/>
      <c r="X596" s="143"/>
    </row>
    <row r="597" spans="1:24" ht="15" customHeight="1" x14ac:dyDescent="0.25">
      <c r="A597" s="55"/>
      <c r="B597" s="55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143"/>
      <c r="N597" s="143"/>
      <c r="O597" s="28"/>
      <c r="P597" s="28"/>
      <c r="Q597" s="28"/>
      <c r="R597" s="143"/>
      <c r="S597" s="143"/>
      <c r="T597" s="143"/>
      <c r="U597" s="143"/>
      <c r="V597" s="143"/>
      <c r="W597" s="143"/>
      <c r="X597" s="143"/>
    </row>
    <row r="598" spans="1:24" ht="15" customHeight="1" x14ac:dyDescent="0.25">
      <c r="A598" s="55"/>
      <c r="B598" s="55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143"/>
      <c r="N598" s="143"/>
      <c r="O598" s="28"/>
      <c r="P598" s="28"/>
      <c r="Q598" s="28"/>
      <c r="R598" s="143"/>
      <c r="S598" s="143"/>
      <c r="T598" s="143"/>
      <c r="U598" s="143"/>
      <c r="V598" s="143"/>
      <c r="W598" s="143"/>
      <c r="X598" s="143"/>
    </row>
    <row r="599" spans="1:24" ht="15" customHeight="1" x14ac:dyDescent="0.25">
      <c r="A599" s="55"/>
      <c r="B599" s="55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143"/>
      <c r="N599" s="143"/>
      <c r="O599" s="28"/>
      <c r="P599" s="28"/>
      <c r="Q599" s="28"/>
      <c r="R599" s="143"/>
      <c r="S599" s="143"/>
      <c r="T599" s="143"/>
      <c r="U599" s="143"/>
      <c r="V599" s="143"/>
      <c r="W599" s="143"/>
      <c r="X599" s="143"/>
    </row>
    <row r="600" spans="1:24" ht="15" customHeight="1" x14ac:dyDescent="0.25">
      <c r="A600" s="55"/>
      <c r="B600" s="55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143"/>
      <c r="N600" s="143"/>
      <c r="O600" s="28"/>
      <c r="P600" s="28"/>
      <c r="Q600" s="28"/>
      <c r="R600" s="143"/>
      <c r="S600" s="143"/>
      <c r="T600" s="143"/>
      <c r="U600" s="143"/>
      <c r="V600" s="143"/>
      <c r="W600" s="143"/>
      <c r="X600" s="143"/>
    </row>
    <row r="601" spans="1:24" ht="15" customHeight="1" x14ac:dyDescent="0.25">
      <c r="A601" s="55"/>
      <c r="B601" s="55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143"/>
      <c r="N601" s="143"/>
      <c r="O601" s="28"/>
      <c r="P601" s="28"/>
      <c r="Q601" s="28"/>
      <c r="R601" s="143"/>
      <c r="S601" s="143"/>
      <c r="T601" s="143"/>
      <c r="U601" s="143"/>
      <c r="V601" s="143"/>
      <c r="W601" s="143"/>
      <c r="X601" s="143"/>
    </row>
    <row r="602" spans="1:24" ht="15" customHeight="1" x14ac:dyDescent="0.25">
      <c r="A602" s="55"/>
      <c r="B602" s="55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143"/>
      <c r="N602" s="143"/>
      <c r="O602" s="28"/>
      <c r="P602" s="28"/>
      <c r="Q602" s="28"/>
      <c r="R602" s="143"/>
      <c r="S602" s="143"/>
      <c r="T602" s="143"/>
      <c r="U602" s="143"/>
      <c r="V602" s="143"/>
      <c r="W602" s="143"/>
      <c r="X602" s="143"/>
    </row>
    <row r="603" spans="1:24" ht="15" customHeight="1" x14ac:dyDescent="0.25">
      <c r="A603" s="55"/>
      <c r="B603" s="55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143"/>
      <c r="N603" s="143"/>
      <c r="O603" s="28"/>
      <c r="P603" s="28"/>
      <c r="Q603" s="28"/>
      <c r="R603" s="143"/>
      <c r="S603" s="143"/>
      <c r="T603" s="143"/>
      <c r="U603" s="143"/>
      <c r="V603" s="143"/>
      <c r="W603" s="143"/>
      <c r="X603" s="143"/>
    </row>
    <row r="604" spans="1:24" ht="15" customHeight="1" x14ac:dyDescent="0.25">
      <c r="A604" s="55"/>
      <c r="B604" s="55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143"/>
      <c r="N604" s="143"/>
      <c r="O604" s="28"/>
      <c r="P604" s="28"/>
      <c r="Q604" s="28"/>
      <c r="R604" s="143"/>
      <c r="S604" s="143"/>
      <c r="T604" s="143"/>
      <c r="U604" s="143"/>
      <c r="V604" s="143"/>
      <c r="W604" s="143"/>
      <c r="X604" s="143"/>
    </row>
    <row r="605" spans="1:24" ht="15" customHeight="1" x14ac:dyDescent="0.25">
      <c r="A605" s="55"/>
      <c r="B605" s="55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143"/>
      <c r="N605" s="143"/>
      <c r="O605" s="28"/>
      <c r="P605" s="28"/>
      <c r="Q605" s="28"/>
      <c r="R605" s="143"/>
      <c r="S605" s="143"/>
      <c r="T605" s="143"/>
      <c r="U605" s="143"/>
      <c r="V605" s="143"/>
      <c r="W605" s="143"/>
      <c r="X605" s="143"/>
    </row>
    <row r="606" spans="1:24" ht="15" customHeight="1" x14ac:dyDescent="0.25">
      <c r="A606" s="55"/>
      <c r="B606" s="55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143"/>
      <c r="N606" s="143"/>
      <c r="O606" s="28"/>
      <c r="P606" s="28"/>
      <c r="Q606" s="28"/>
      <c r="R606" s="143"/>
      <c r="S606" s="143"/>
      <c r="T606" s="143"/>
      <c r="U606" s="143"/>
      <c r="V606" s="143"/>
      <c r="W606" s="143"/>
      <c r="X606" s="143"/>
    </row>
    <row r="607" spans="1:24" ht="15" customHeight="1" x14ac:dyDescent="0.25">
      <c r="A607" s="55"/>
      <c r="B607" s="55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143"/>
      <c r="N607" s="143"/>
      <c r="O607" s="28"/>
      <c r="P607" s="28"/>
      <c r="Q607" s="28"/>
      <c r="R607" s="143"/>
      <c r="S607" s="143"/>
      <c r="T607" s="143"/>
      <c r="U607" s="143"/>
      <c r="V607" s="143"/>
      <c r="W607" s="143"/>
      <c r="X607" s="143"/>
    </row>
    <row r="608" spans="1:24" ht="15" customHeight="1" x14ac:dyDescent="0.25">
      <c r="A608" s="55"/>
      <c r="B608" s="55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143"/>
      <c r="N608" s="143"/>
      <c r="O608" s="28"/>
      <c r="P608" s="28"/>
      <c r="Q608" s="28"/>
      <c r="R608" s="143"/>
      <c r="S608" s="143"/>
      <c r="T608" s="143"/>
      <c r="U608" s="143"/>
      <c r="V608" s="143"/>
      <c r="W608" s="143"/>
      <c r="X608" s="143"/>
    </row>
    <row r="609" spans="1:24" ht="15" customHeight="1" x14ac:dyDescent="0.25">
      <c r="A609" s="55"/>
      <c r="B609" s="55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143"/>
      <c r="N609" s="143"/>
      <c r="O609" s="28"/>
      <c r="P609" s="28"/>
      <c r="Q609" s="28"/>
      <c r="R609" s="143"/>
      <c r="S609" s="143"/>
      <c r="T609" s="143"/>
      <c r="U609" s="143"/>
      <c r="V609" s="143"/>
      <c r="W609" s="143"/>
      <c r="X609" s="143"/>
    </row>
    <row r="610" spans="1:24" ht="15" customHeight="1" x14ac:dyDescent="0.25">
      <c r="A610" s="55"/>
      <c r="B610" s="55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143"/>
      <c r="N610" s="143"/>
      <c r="O610" s="28"/>
      <c r="P610" s="28"/>
      <c r="Q610" s="28"/>
      <c r="R610" s="143"/>
      <c r="S610" s="143"/>
      <c r="T610" s="143"/>
      <c r="U610" s="143"/>
      <c r="V610" s="143"/>
      <c r="W610" s="143"/>
      <c r="X610" s="143"/>
    </row>
    <row r="611" spans="1:24" ht="15" customHeight="1" x14ac:dyDescent="0.25">
      <c r="A611" s="55"/>
      <c r="B611" s="55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143"/>
      <c r="N611" s="143"/>
      <c r="O611" s="28"/>
      <c r="P611" s="28"/>
      <c r="Q611" s="28"/>
      <c r="R611" s="143"/>
      <c r="S611" s="143"/>
      <c r="T611" s="143"/>
      <c r="U611" s="143"/>
      <c r="V611" s="143"/>
      <c r="W611" s="143"/>
      <c r="X611" s="143"/>
    </row>
    <row r="612" spans="1:24" ht="15" customHeight="1" x14ac:dyDescent="0.25">
      <c r="A612" s="55"/>
      <c r="B612" s="55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143"/>
      <c r="N612" s="143"/>
      <c r="O612" s="28"/>
      <c r="P612" s="28"/>
      <c r="Q612" s="28"/>
      <c r="R612" s="143"/>
      <c r="S612" s="143"/>
      <c r="T612" s="143"/>
      <c r="U612" s="143"/>
      <c r="V612" s="143"/>
      <c r="W612" s="143"/>
      <c r="X612" s="143"/>
    </row>
    <row r="613" spans="1:24" ht="15" customHeight="1" x14ac:dyDescent="0.25">
      <c r="A613" s="55"/>
      <c r="B613" s="55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143"/>
      <c r="N613" s="143"/>
      <c r="O613" s="28"/>
      <c r="P613" s="28"/>
      <c r="Q613" s="28"/>
      <c r="R613" s="143"/>
      <c r="S613" s="143"/>
      <c r="T613" s="143"/>
      <c r="U613" s="143"/>
      <c r="V613" s="143"/>
      <c r="W613" s="143"/>
      <c r="X613" s="143"/>
    </row>
    <row r="614" spans="1:24" ht="15" customHeight="1" x14ac:dyDescent="0.25">
      <c r="A614" s="55"/>
      <c r="B614" s="55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143"/>
      <c r="N614" s="143"/>
      <c r="O614" s="28"/>
      <c r="P614" s="28"/>
      <c r="Q614" s="28"/>
      <c r="R614" s="143"/>
      <c r="S614" s="143"/>
      <c r="T614" s="143"/>
      <c r="U614" s="143"/>
      <c r="V614" s="143"/>
      <c r="W614" s="143"/>
      <c r="X614" s="143"/>
    </row>
    <row r="615" spans="1:24" ht="15" customHeight="1" x14ac:dyDescent="0.25">
      <c r="A615" s="55"/>
      <c r="B615" s="55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143"/>
      <c r="N615" s="143"/>
      <c r="O615" s="28"/>
      <c r="P615" s="28"/>
      <c r="Q615" s="28"/>
      <c r="R615" s="143"/>
      <c r="S615" s="143"/>
      <c r="T615" s="143"/>
      <c r="U615" s="143"/>
      <c r="V615" s="143"/>
      <c r="W615" s="143"/>
      <c r="X615" s="143"/>
    </row>
    <row r="616" spans="1:24" ht="15" customHeight="1" x14ac:dyDescent="0.25">
      <c r="A616" s="55"/>
      <c r="B616" s="55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143"/>
      <c r="N616" s="143"/>
      <c r="O616" s="28"/>
      <c r="P616" s="28"/>
      <c r="Q616" s="28"/>
      <c r="R616" s="143"/>
      <c r="S616" s="143"/>
      <c r="T616" s="143"/>
      <c r="U616" s="143"/>
      <c r="V616" s="143"/>
      <c r="W616" s="143"/>
      <c r="X616" s="143"/>
    </row>
    <row r="617" spans="1:24" ht="15" customHeight="1" x14ac:dyDescent="0.25">
      <c r="A617" s="55"/>
      <c r="B617" s="55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143"/>
      <c r="N617" s="143"/>
      <c r="O617" s="28"/>
      <c r="P617" s="28"/>
      <c r="Q617" s="28"/>
      <c r="R617" s="143"/>
      <c r="S617" s="143"/>
      <c r="T617" s="143"/>
      <c r="U617" s="143"/>
      <c r="V617" s="143"/>
      <c r="W617" s="143"/>
      <c r="X617" s="143"/>
    </row>
    <row r="618" spans="1:24" ht="15" customHeight="1" x14ac:dyDescent="0.25">
      <c r="A618" s="55"/>
      <c r="B618" s="55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143"/>
      <c r="N618" s="143"/>
      <c r="O618" s="28"/>
      <c r="P618" s="28"/>
      <c r="Q618" s="28"/>
      <c r="R618" s="143"/>
      <c r="S618" s="143"/>
      <c r="T618" s="143"/>
      <c r="U618" s="143"/>
      <c r="V618" s="143"/>
      <c r="W618" s="143"/>
      <c r="X618" s="143"/>
    </row>
    <row r="619" spans="1:24" ht="15" customHeight="1" x14ac:dyDescent="0.25">
      <c r="A619" s="55"/>
      <c r="B619" s="55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143"/>
      <c r="N619" s="143"/>
      <c r="O619" s="28"/>
      <c r="P619" s="28"/>
      <c r="Q619" s="28"/>
      <c r="R619" s="143"/>
      <c r="S619" s="143"/>
      <c r="T619" s="143"/>
      <c r="U619" s="143"/>
      <c r="V619" s="143"/>
      <c r="W619" s="143"/>
      <c r="X619" s="143"/>
    </row>
    <row r="620" spans="1:24" ht="15" customHeight="1" x14ac:dyDescent="0.25">
      <c r="A620" s="55"/>
      <c r="B620" s="55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143"/>
      <c r="N620" s="143"/>
      <c r="O620" s="28"/>
      <c r="P620" s="28"/>
      <c r="Q620" s="28"/>
      <c r="R620" s="143"/>
      <c r="S620" s="143"/>
      <c r="T620" s="143"/>
      <c r="U620" s="143"/>
      <c r="V620" s="143"/>
      <c r="W620" s="143"/>
      <c r="X620" s="143"/>
    </row>
    <row r="621" spans="1:24" ht="15" customHeight="1" x14ac:dyDescent="0.25">
      <c r="A621" s="55"/>
      <c r="B621" s="55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143"/>
      <c r="N621" s="143"/>
      <c r="O621" s="28"/>
      <c r="P621" s="28"/>
      <c r="Q621" s="28"/>
      <c r="R621" s="143"/>
      <c r="S621" s="143"/>
      <c r="T621" s="143"/>
      <c r="U621" s="143"/>
      <c r="V621" s="143"/>
      <c r="W621" s="143"/>
      <c r="X621" s="143"/>
    </row>
    <row r="622" spans="1:24" ht="15" customHeight="1" x14ac:dyDescent="0.25">
      <c r="A622" s="55"/>
      <c r="B622" s="55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143"/>
      <c r="N622" s="143"/>
      <c r="O622" s="28"/>
      <c r="P622" s="28"/>
      <c r="Q622" s="28"/>
      <c r="R622" s="143"/>
      <c r="S622" s="143"/>
      <c r="T622" s="143"/>
      <c r="U622" s="143"/>
      <c r="V622" s="143"/>
      <c r="W622" s="143"/>
      <c r="X622" s="143"/>
    </row>
    <row r="623" spans="1:24" ht="15" customHeight="1" x14ac:dyDescent="0.25">
      <c r="A623" s="55"/>
      <c r="B623" s="55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143"/>
      <c r="N623" s="143"/>
      <c r="O623" s="28"/>
      <c r="P623" s="28"/>
      <c r="Q623" s="28"/>
      <c r="R623" s="143"/>
      <c r="S623" s="143"/>
      <c r="T623" s="143"/>
      <c r="U623" s="143"/>
      <c r="V623" s="143"/>
      <c r="W623" s="143"/>
      <c r="X623" s="143"/>
    </row>
    <row r="624" spans="1:24" ht="15" customHeight="1" x14ac:dyDescent="0.25">
      <c r="A624" s="55"/>
      <c r="B624" s="55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143"/>
      <c r="N624" s="143"/>
      <c r="O624" s="28"/>
      <c r="P624" s="28"/>
      <c r="Q624" s="28"/>
      <c r="R624" s="143"/>
      <c r="S624" s="143"/>
      <c r="T624" s="143"/>
      <c r="U624" s="143"/>
      <c r="V624" s="143"/>
      <c r="W624" s="143"/>
      <c r="X624" s="143"/>
    </row>
    <row r="625" spans="1:24" ht="15" customHeight="1" x14ac:dyDescent="0.25">
      <c r="A625" s="55"/>
      <c r="B625" s="55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143"/>
      <c r="N625" s="143"/>
      <c r="O625" s="28"/>
      <c r="P625" s="28"/>
      <c r="Q625" s="28"/>
      <c r="R625" s="143"/>
      <c r="S625" s="143"/>
      <c r="T625" s="143"/>
      <c r="U625" s="143"/>
      <c r="V625" s="143"/>
      <c r="W625" s="143"/>
      <c r="X625" s="143"/>
    </row>
    <row r="626" spans="1:24" ht="15" customHeight="1" x14ac:dyDescent="0.25">
      <c r="A626" s="55"/>
      <c r="B626" s="55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143"/>
      <c r="N626" s="143"/>
      <c r="O626" s="28"/>
      <c r="P626" s="28"/>
      <c r="Q626" s="28"/>
      <c r="R626" s="143"/>
      <c r="S626" s="143"/>
      <c r="T626" s="143"/>
      <c r="U626" s="143"/>
      <c r="V626" s="143"/>
      <c r="W626" s="143"/>
      <c r="X626" s="143"/>
    </row>
    <row r="627" spans="1:24" ht="15" customHeight="1" x14ac:dyDescent="0.25">
      <c r="A627" s="55"/>
      <c r="B627" s="55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143"/>
      <c r="N627" s="143"/>
      <c r="O627" s="28"/>
      <c r="P627" s="28"/>
      <c r="Q627" s="28"/>
      <c r="R627" s="143"/>
      <c r="S627" s="143"/>
      <c r="T627" s="143"/>
      <c r="U627" s="143"/>
      <c r="V627" s="143"/>
      <c r="W627" s="143"/>
      <c r="X627" s="143"/>
    </row>
    <row r="628" spans="1:24" ht="15" customHeight="1" x14ac:dyDescent="0.25">
      <c r="A628" s="55"/>
      <c r="B628" s="55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143"/>
      <c r="N628" s="143"/>
      <c r="O628" s="28"/>
      <c r="P628" s="28"/>
      <c r="Q628" s="28"/>
      <c r="R628" s="143"/>
      <c r="S628" s="143"/>
      <c r="T628" s="143"/>
      <c r="U628" s="143"/>
      <c r="V628" s="143"/>
      <c r="W628" s="143"/>
      <c r="X628" s="143"/>
    </row>
    <row r="629" spans="1:24" ht="15" customHeight="1" x14ac:dyDescent="0.25">
      <c r="A629" s="55"/>
      <c r="B629" s="55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143"/>
      <c r="N629" s="143"/>
      <c r="O629" s="28"/>
      <c r="P629" s="28"/>
      <c r="Q629" s="28"/>
      <c r="R629" s="143"/>
      <c r="S629" s="143"/>
      <c r="T629" s="143"/>
      <c r="U629" s="143"/>
      <c r="V629" s="143"/>
      <c r="W629" s="143"/>
      <c r="X629" s="143"/>
    </row>
    <row r="630" spans="1:24" ht="15" customHeight="1" x14ac:dyDescent="0.25">
      <c r="A630" s="55"/>
      <c r="B630" s="55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143"/>
      <c r="N630" s="143"/>
      <c r="O630" s="28"/>
      <c r="P630" s="28"/>
      <c r="Q630" s="28"/>
      <c r="R630" s="143"/>
      <c r="S630" s="143"/>
      <c r="T630" s="143"/>
      <c r="U630" s="143"/>
      <c r="V630" s="143"/>
      <c r="W630" s="143"/>
      <c r="X630" s="143"/>
    </row>
    <row r="631" spans="1:24" ht="15" customHeight="1" x14ac:dyDescent="0.25">
      <c r="A631" s="55"/>
      <c r="B631" s="55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143"/>
      <c r="N631" s="143"/>
      <c r="O631" s="28"/>
      <c r="P631" s="28"/>
      <c r="Q631" s="28"/>
      <c r="R631" s="143"/>
      <c r="S631" s="143"/>
      <c r="T631" s="143"/>
      <c r="U631" s="143"/>
      <c r="V631" s="143"/>
      <c r="W631" s="143"/>
      <c r="X631" s="143"/>
    </row>
    <row r="632" spans="1:24" ht="15" customHeight="1" x14ac:dyDescent="0.25">
      <c r="A632" s="55"/>
      <c r="B632" s="55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143"/>
      <c r="N632" s="143"/>
      <c r="O632" s="28"/>
      <c r="P632" s="28"/>
      <c r="Q632" s="28"/>
      <c r="R632" s="143"/>
      <c r="S632" s="143"/>
      <c r="T632" s="143"/>
      <c r="U632" s="143"/>
      <c r="V632" s="143"/>
      <c r="W632" s="143"/>
      <c r="X632" s="143"/>
    </row>
    <row r="633" spans="1:24" ht="15" customHeight="1" x14ac:dyDescent="0.25">
      <c r="A633" s="55"/>
      <c r="B633" s="55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143"/>
      <c r="N633" s="143"/>
      <c r="O633" s="28"/>
      <c r="P633" s="28"/>
      <c r="Q633" s="28"/>
      <c r="R633" s="143"/>
      <c r="S633" s="143"/>
      <c r="T633" s="143"/>
      <c r="U633" s="143"/>
      <c r="V633" s="143"/>
      <c r="W633" s="143"/>
      <c r="X633" s="143"/>
    </row>
    <row r="634" spans="1:24" ht="15" customHeight="1" x14ac:dyDescent="0.25">
      <c r="A634" s="55"/>
      <c r="B634" s="55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143"/>
      <c r="N634" s="143"/>
      <c r="O634" s="28"/>
      <c r="P634" s="28"/>
      <c r="Q634" s="28"/>
      <c r="R634" s="143"/>
      <c r="S634" s="143"/>
      <c r="T634" s="143"/>
      <c r="U634" s="143"/>
      <c r="V634" s="143"/>
      <c r="W634" s="143"/>
      <c r="X634" s="143"/>
    </row>
    <row r="635" spans="1:24" ht="15" customHeight="1" x14ac:dyDescent="0.25">
      <c r="A635" s="55"/>
      <c r="B635" s="55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143"/>
      <c r="N635" s="143"/>
      <c r="O635" s="28"/>
      <c r="P635" s="28"/>
      <c r="Q635" s="28"/>
      <c r="R635" s="143"/>
      <c r="S635" s="143"/>
      <c r="T635" s="143"/>
      <c r="U635" s="143"/>
      <c r="V635" s="143"/>
      <c r="W635" s="143"/>
      <c r="X635" s="143"/>
    </row>
    <row r="636" spans="1:24" ht="15" customHeight="1" x14ac:dyDescent="0.25">
      <c r="A636" s="55"/>
      <c r="B636" s="55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143"/>
      <c r="N636" s="143"/>
      <c r="O636" s="28"/>
      <c r="P636" s="28"/>
      <c r="Q636" s="28"/>
      <c r="R636" s="143"/>
      <c r="S636" s="143"/>
      <c r="T636" s="143"/>
      <c r="U636" s="143"/>
      <c r="V636" s="143"/>
      <c r="W636" s="143"/>
      <c r="X636" s="143"/>
    </row>
    <row r="637" spans="1:24" ht="15" customHeight="1" x14ac:dyDescent="0.25">
      <c r="A637" s="55"/>
      <c r="B637" s="55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143"/>
      <c r="N637" s="143"/>
      <c r="O637" s="28"/>
      <c r="P637" s="28"/>
      <c r="Q637" s="28"/>
      <c r="R637" s="143"/>
      <c r="S637" s="143"/>
      <c r="T637" s="143"/>
      <c r="U637" s="143"/>
      <c r="V637" s="143"/>
      <c r="W637" s="143"/>
      <c r="X637" s="143"/>
    </row>
    <row r="638" spans="1:24" ht="15" customHeight="1" x14ac:dyDescent="0.25">
      <c r="A638" s="55"/>
      <c r="B638" s="55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143"/>
      <c r="N638" s="143"/>
      <c r="O638" s="28"/>
      <c r="P638" s="28"/>
      <c r="Q638" s="28"/>
      <c r="R638" s="143"/>
      <c r="S638" s="143"/>
      <c r="T638" s="143"/>
      <c r="U638" s="143"/>
      <c r="V638" s="143"/>
      <c r="W638" s="143"/>
      <c r="X638" s="143"/>
    </row>
    <row r="639" spans="1:24" ht="15" customHeight="1" x14ac:dyDescent="0.25">
      <c r="A639" s="55"/>
      <c r="B639" s="55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143"/>
      <c r="N639" s="143"/>
      <c r="O639" s="28"/>
      <c r="P639" s="28"/>
      <c r="Q639" s="28"/>
      <c r="R639" s="143"/>
      <c r="S639" s="143"/>
      <c r="T639" s="143"/>
      <c r="U639" s="143"/>
      <c r="V639" s="143"/>
      <c r="W639" s="143"/>
      <c r="X639" s="143"/>
    </row>
    <row r="640" spans="1:24" ht="15" customHeight="1" x14ac:dyDescent="0.25">
      <c r="A640" s="55"/>
      <c r="B640" s="55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143"/>
      <c r="N640" s="143"/>
      <c r="O640" s="28"/>
      <c r="P640" s="28"/>
      <c r="Q640" s="28"/>
      <c r="R640" s="143"/>
      <c r="S640" s="143"/>
      <c r="T640" s="143"/>
      <c r="U640" s="143"/>
      <c r="V640" s="143"/>
      <c r="W640" s="143"/>
      <c r="X640" s="143"/>
    </row>
    <row r="641" spans="1:24" ht="15" customHeight="1" x14ac:dyDescent="0.25">
      <c r="A641" s="55"/>
      <c r="B641" s="55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143"/>
      <c r="N641" s="143"/>
      <c r="O641" s="28"/>
      <c r="P641" s="28"/>
      <c r="Q641" s="28"/>
      <c r="R641" s="143"/>
      <c r="S641" s="143"/>
      <c r="T641" s="143"/>
      <c r="U641" s="143"/>
      <c r="V641" s="143"/>
      <c r="W641" s="143"/>
      <c r="X641" s="143"/>
    </row>
    <row r="642" spans="1:24" ht="15" customHeight="1" x14ac:dyDescent="0.25">
      <c r="A642" s="55"/>
      <c r="B642" s="55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143"/>
      <c r="N642" s="143"/>
      <c r="O642" s="28"/>
      <c r="P642" s="28"/>
      <c r="Q642" s="28"/>
      <c r="R642" s="143"/>
      <c r="S642" s="143"/>
      <c r="T642" s="143"/>
      <c r="U642" s="143"/>
      <c r="V642" s="143"/>
      <c r="W642" s="143"/>
      <c r="X642" s="143"/>
    </row>
    <row r="643" spans="1:24" ht="15" customHeight="1" x14ac:dyDescent="0.25">
      <c r="A643" s="55"/>
      <c r="B643" s="55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143"/>
      <c r="N643" s="143"/>
      <c r="O643" s="28"/>
      <c r="P643" s="28"/>
      <c r="Q643" s="28"/>
      <c r="R643" s="143"/>
      <c r="S643" s="143"/>
      <c r="T643" s="143"/>
      <c r="U643" s="143"/>
      <c r="V643" s="143"/>
      <c r="W643" s="143"/>
      <c r="X643" s="143"/>
    </row>
    <row r="644" spans="1:24" ht="15" customHeight="1" x14ac:dyDescent="0.25">
      <c r="A644" s="55"/>
      <c r="B644" s="55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143"/>
      <c r="N644" s="143"/>
      <c r="O644" s="28"/>
      <c r="P644" s="28"/>
      <c r="Q644" s="28"/>
      <c r="R644" s="143"/>
      <c r="S644" s="143"/>
      <c r="T644" s="143"/>
      <c r="U644" s="143"/>
      <c r="V644" s="143"/>
      <c r="W644" s="143"/>
      <c r="X644" s="143"/>
    </row>
    <row r="645" spans="1:24" ht="15" customHeight="1" x14ac:dyDescent="0.25">
      <c r="A645" s="55"/>
      <c r="B645" s="55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143"/>
      <c r="N645" s="143"/>
      <c r="O645" s="28"/>
      <c r="P645" s="28"/>
      <c r="Q645" s="28"/>
      <c r="R645" s="143"/>
      <c r="S645" s="143"/>
      <c r="T645" s="143"/>
      <c r="U645" s="143"/>
      <c r="V645" s="143"/>
      <c r="W645" s="143"/>
      <c r="X645" s="143"/>
    </row>
    <row r="646" spans="1:24" ht="15" customHeight="1" x14ac:dyDescent="0.25">
      <c r="A646" s="55"/>
      <c r="B646" s="55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143"/>
      <c r="N646" s="143"/>
      <c r="O646" s="28"/>
      <c r="P646" s="28"/>
      <c r="Q646" s="28"/>
      <c r="R646" s="143"/>
      <c r="S646" s="143"/>
      <c r="T646" s="143"/>
      <c r="U646" s="143"/>
      <c r="V646" s="143"/>
      <c r="W646" s="143"/>
      <c r="X646" s="143"/>
    </row>
    <row r="647" spans="1:24" ht="15" customHeight="1" x14ac:dyDescent="0.25">
      <c r="A647" s="55"/>
      <c r="B647" s="55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143"/>
      <c r="N647" s="143"/>
      <c r="O647" s="28"/>
      <c r="P647" s="28"/>
      <c r="Q647" s="28"/>
      <c r="R647" s="143"/>
      <c r="S647" s="143"/>
      <c r="T647" s="143"/>
      <c r="U647" s="143"/>
      <c r="V647" s="143"/>
      <c r="W647" s="143"/>
      <c r="X647" s="143"/>
    </row>
    <row r="648" spans="1:24" ht="15" customHeight="1" x14ac:dyDescent="0.25">
      <c r="A648" s="55"/>
      <c r="B648" s="55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143"/>
      <c r="N648" s="143"/>
      <c r="O648" s="28"/>
      <c r="P648" s="28"/>
      <c r="Q648" s="28"/>
      <c r="R648" s="143"/>
      <c r="S648" s="143"/>
      <c r="T648" s="143"/>
      <c r="U648" s="143"/>
      <c r="V648" s="143"/>
      <c r="W648" s="143"/>
      <c r="X648" s="143"/>
    </row>
    <row r="649" spans="1:24" ht="15" customHeight="1" x14ac:dyDescent="0.25">
      <c r="A649" s="55"/>
      <c r="B649" s="55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143"/>
      <c r="N649" s="143"/>
      <c r="O649" s="28"/>
      <c r="P649" s="28"/>
      <c r="Q649" s="28"/>
      <c r="R649" s="143"/>
      <c r="S649" s="143"/>
      <c r="T649" s="143"/>
      <c r="U649" s="143"/>
      <c r="V649" s="143"/>
      <c r="W649" s="143"/>
      <c r="X649" s="143"/>
    </row>
    <row r="650" spans="1:24" ht="15" customHeight="1" x14ac:dyDescent="0.25">
      <c r="A650" s="55"/>
      <c r="B650" s="55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143"/>
      <c r="N650" s="143"/>
      <c r="O650" s="28"/>
      <c r="P650" s="28"/>
      <c r="Q650" s="28"/>
      <c r="R650" s="143"/>
      <c r="S650" s="143"/>
      <c r="T650" s="143"/>
      <c r="U650" s="143"/>
      <c r="V650" s="143"/>
      <c r="W650" s="143"/>
      <c r="X650" s="143"/>
    </row>
    <row r="651" spans="1:24" ht="15" customHeight="1" x14ac:dyDescent="0.25">
      <c r="A651" s="55"/>
      <c r="B651" s="55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143"/>
      <c r="N651" s="143"/>
      <c r="O651" s="28"/>
      <c r="P651" s="28"/>
      <c r="Q651" s="28"/>
      <c r="R651" s="143"/>
      <c r="S651" s="143"/>
      <c r="T651" s="143"/>
      <c r="U651" s="143"/>
      <c r="V651" s="143"/>
      <c r="W651" s="143"/>
      <c r="X651" s="143"/>
    </row>
    <row r="652" spans="1:24" ht="15" customHeight="1" x14ac:dyDescent="0.25">
      <c r="A652" s="55"/>
      <c r="B652" s="55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143"/>
      <c r="N652" s="143"/>
      <c r="O652" s="28"/>
      <c r="P652" s="28"/>
      <c r="Q652" s="28"/>
      <c r="R652" s="143"/>
      <c r="S652" s="143"/>
      <c r="T652" s="143"/>
      <c r="U652" s="143"/>
      <c r="V652" s="143"/>
      <c r="W652" s="143"/>
      <c r="X652" s="143"/>
    </row>
    <row r="653" spans="1:24" ht="15" customHeight="1" x14ac:dyDescent="0.25">
      <c r="A653" s="55"/>
      <c r="B653" s="55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143"/>
      <c r="N653" s="143"/>
      <c r="O653" s="28"/>
      <c r="P653" s="28"/>
      <c r="Q653" s="28"/>
      <c r="R653" s="143"/>
      <c r="S653" s="143"/>
      <c r="T653" s="143"/>
      <c r="U653" s="143"/>
      <c r="V653" s="143"/>
      <c r="W653" s="143"/>
      <c r="X653" s="143"/>
    </row>
    <row r="654" spans="1:24" ht="15" customHeight="1" x14ac:dyDescent="0.25">
      <c r="A654" s="55"/>
      <c r="B654" s="55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143"/>
      <c r="N654" s="143"/>
      <c r="O654" s="28"/>
      <c r="P654" s="28"/>
      <c r="Q654" s="28"/>
      <c r="R654" s="143"/>
      <c r="S654" s="143"/>
      <c r="T654" s="143"/>
      <c r="U654" s="143"/>
      <c r="V654" s="143"/>
      <c r="W654" s="143"/>
      <c r="X654" s="143"/>
    </row>
    <row r="655" spans="1:24" ht="15" customHeight="1" x14ac:dyDescent="0.25">
      <c r="A655" s="55"/>
      <c r="B655" s="55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143"/>
      <c r="N655" s="143"/>
      <c r="O655" s="28"/>
      <c r="P655" s="28"/>
      <c r="Q655" s="28"/>
      <c r="R655" s="143"/>
      <c r="S655" s="143"/>
      <c r="T655" s="143"/>
      <c r="U655" s="143"/>
      <c r="V655" s="143"/>
      <c r="W655" s="143"/>
      <c r="X655" s="143"/>
    </row>
    <row r="656" spans="1:24" ht="15" customHeight="1" x14ac:dyDescent="0.25">
      <c r="A656" s="55"/>
      <c r="B656" s="55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143"/>
      <c r="N656" s="143"/>
      <c r="O656" s="28"/>
      <c r="P656" s="28"/>
      <c r="Q656" s="28"/>
      <c r="R656" s="143"/>
      <c r="S656" s="143"/>
      <c r="T656" s="143"/>
      <c r="U656" s="143"/>
      <c r="V656" s="143"/>
      <c r="W656" s="143"/>
      <c r="X656" s="143"/>
    </row>
    <row r="657" spans="1:24" ht="15" customHeight="1" x14ac:dyDescent="0.25">
      <c r="A657" s="55"/>
      <c r="B657" s="55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143"/>
      <c r="N657" s="143"/>
      <c r="O657" s="28"/>
      <c r="P657" s="28"/>
      <c r="Q657" s="28"/>
      <c r="R657" s="143"/>
      <c r="S657" s="143"/>
      <c r="T657" s="143"/>
      <c r="U657" s="143"/>
      <c r="V657" s="143"/>
      <c r="W657" s="143"/>
      <c r="X657" s="143"/>
    </row>
    <row r="658" spans="1:24" ht="15" customHeight="1" x14ac:dyDescent="0.25">
      <c r="A658" s="55"/>
      <c r="B658" s="55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143"/>
      <c r="N658" s="143"/>
      <c r="O658" s="28"/>
      <c r="P658" s="28"/>
      <c r="Q658" s="28"/>
      <c r="R658" s="143"/>
      <c r="S658" s="143"/>
      <c r="T658" s="143"/>
      <c r="U658" s="143"/>
      <c r="V658" s="143"/>
      <c r="W658" s="143"/>
      <c r="X658" s="143"/>
    </row>
    <row r="659" spans="1:24" ht="15" customHeight="1" x14ac:dyDescent="0.25">
      <c r="A659" s="55"/>
      <c r="B659" s="55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143"/>
      <c r="N659" s="143"/>
      <c r="O659" s="28"/>
      <c r="P659" s="28"/>
      <c r="Q659" s="28"/>
      <c r="R659" s="143"/>
      <c r="S659" s="143"/>
      <c r="T659" s="143"/>
      <c r="U659" s="143"/>
      <c r="V659" s="143"/>
      <c r="W659" s="143"/>
      <c r="X659" s="143"/>
    </row>
    <row r="660" spans="1:24" ht="15" customHeight="1" x14ac:dyDescent="0.25">
      <c r="A660" s="55"/>
      <c r="B660" s="55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143"/>
      <c r="N660" s="143"/>
      <c r="O660" s="28"/>
      <c r="P660" s="28"/>
      <c r="Q660" s="28"/>
      <c r="R660" s="143"/>
      <c r="S660" s="143"/>
      <c r="T660" s="143"/>
      <c r="U660" s="143"/>
      <c r="V660" s="143"/>
      <c r="W660" s="143"/>
      <c r="X660" s="143"/>
    </row>
    <row r="661" spans="1:24" ht="15" customHeight="1" x14ac:dyDescent="0.25">
      <c r="A661" s="55"/>
      <c r="B661" s="55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143"/>
      <c r="N661" s="143"/>
      <c r="O661" s="28"/>
      <c r="P661" s="28"/>
      <c r="Q661" s="28"/>
      <c r="R661" s="143"/>
      <c r="S661" s="143"/>
      <c r="T661" s="143"/>
      <c r="U661" s="143"/>
      <c r="V661" s="143"/>
      <c r="W661" s="143"/>
      <c r="X661" s="143"/>
    </row>
    <row r="662" spans="1:24" ht="15" customHeight="1" x14ac:dyDescent="0.25">
      <c r="A662" s="55"/>
      <c r="B662" s="55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143"/>
      <c r="N662" s="143"/>
      <c r="O662" s="28"/>
      <c r="P662" s="28"/>
      <c r="Q662" s="28"/>
      <c r="R662" s="143"/>
      <c r="S662" s="143"/>
      <c r="T662" s="143"/>
      <c r="U662" s="143"/>
      <c r="V662" s="143"/>
      <c r="W662" s="143"/>
      <c r="X662" s="143"/>
    </row>
    <row r="663" spans="1:24" ht="15" customHeight="1" x14ac:dyDescent="0.25">
      <c r="A663" s="55"/>
      <c r="B663" s="55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143"/>
      <c r="N663" s="143"/>
      <c r="O663" s="28"/>
      <c r="P663" s="28"/>
      <c r="Q663" s="28"/>
      <c r="R663" s="143"/>
      <c r="S663" s="143"/>
      <c r="T663" s="143"/>
      <c r="U663" s="143"/>
      <c r="V663" s="143"/>
      <c r="W663" s="143"/>
      <c r="X663" s="143"/>
    </row>
    <row r="664" spans="1:24" ht="15" customHeight="1" x14ac:dyDescent="0.25">
      <c r="A664" s="55"/>
      <c r="B664" s="55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143"/>
      <c r="N664" s="143"/>
      <c r="O664" s="28"/>
      <c r="P664" s="28"/>
      <c r="Q664" s="28"/>
      <c r="R664" s="143"/>
      <c r="S664" s="143"/>
      <c r="T664" s="143"/>
      <c r="U664" s="143"/>
      <c r="V664" s="143"/>
      <c r="W664" s="143"/>
      <c r="X664" s="143"/>
    </row>
    <row r="665" spans="1:24" ht="15" customHeight="1" x14ac:dyDescent="0.25">
      <c r="A665" s="55"/>
      <c r="B665" s="55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143"/>
      <c r="N665" s="143"/>
      <c r="O665" s="28"/>
      <c r="P665" s="28"/>
      <c r="Q665" s="28"/>
      <c r="R665" s="143"/>
      <c r="S665" s="143"/>
      <c r="T665" s="143"/>
      <c r="U665" s="143"/>
      <c r="V665" s="143"/>
      <c r="W665" s="143"/>
      <c r="X665" s="143"/>
    </row>
    <row r="666" spans="1:24" ht="15" customHeight="1" x14ac:dyDescent="0.25">
      <c r="A666" s="55"/>
      <c r="B666" s="55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143"/>
      <c r="N666" s="143"/>
      <c r="O666" s="28"/>
      <c r="P666" s="28"/>
      <c r="Q666" s="28"/>
      <c r="R666" s="143"/>
      <c r="S666" s="143"/>
      <c r="T666" s="143"/>
      <c r="U666" s="143"/>
      <c r="V666" s="143"/>
      <c r="W666" s="143"/>
      <c r="X666" s="143"/>
    </row>
    <row r="667" spans="1:24" ht="15" customHeight="1" x14ac:dyDescent="0.25">
      <c r="A667" s="55"/>
      <c r="B667" s="55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143"/>
      <c r="N667" s="143"/>
      <c r="O667" s="28"/>
      <c r="P667" s="28"/>
      <c r="Q667" s="28"/>
      <c r="R667" s="143"/>
      <c r="S667" s="143"/>
      <c r="T667" s="143"/>
      <c r="U667" s="143"/>
      <c r="V667" s="143"/>
      <c r="W667" s="143"/>
      <c r="X667" s="143"/>
    </row>
    <row r="668" spans="1:24" ht="15" customHeight="1" x14ac:dyDescent="0.25">
      <c r="A668" s="55"/>
      <c r="B668" s="55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143"/>
      <c r="N668" s="143"/>
      <c r="O668" s="28"/>
      <c r="P668" s="28"/>
      <c r="Q668" s="28"/>
      <c r="R668" s="143"/>
      <c r="S668" s="143"/>
      <c r="T668" s="143"/>
      <c r="U668" s="143"/>
      <c r="V668" s="143"/>
      <c r="W668" s="143"/>
      <c r="X668" s="143"/>
    </row>
    <row r="669" spans="1:24" ht="15" customHeight="1" x14ac:dyDescent="0.25">
      <c r="A669" s="55"/>
      <c r="B669" s="55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143"/>
      <c r="N669" s="143"/>
      <c r="O669" s="28"/>
      <c r="P669" s="28"/>
      <c r="Q669" s="28"/>
      <c r="R669" s="143"/>
      <c r="S669" s="143"/>
      <c r="T669" s="143"/>
      <c r="U669" s="143"/>
      <c r="V669" s="143"/>
      <c r="W669" s="143"/>
      <c r="X669" s="143"/>
    </row>
    <row r="670" spans="1:24" ht="15" customHeight="1" x14ac:dyDescent="0.25">
      <c r="A670" s="55"/>
      <c r="B670" s="55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143"/>
      <c r="N670" s="143"/>
      <c r="O670" s="28"/>
      <c r="P670" s="28"/>
      <c r="Q670" s="28"/>
      <c r="R670" s="143"/>
      <c r="S670" s="143"/>
      <c r="T670" s="143"/>
      <c r="U670" s="143"/>
      <c r="V670" s="143"/>
      <c r="W670" s="143"/>
      <c r="X670" s="143"/>
    </row>
    <row r="671" spans="1:24" ht="15" customHeight="1" x14ac:dyDescent="0.25">
      <c r="A671" s="55"/>
      <c r="B671" s="55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143"/>
      <c r="N671" s="143"/>
      <c r="O671" s="28"/>
      <c r="P671" s="28"/>
      <c r="Q671" s="28"/>
      <c r="R671" s="143"/>
      <c r="S671" s="143"/>
      <c r="T671" s="143"/>
      <c r="U671" s="143"/>
      <c r="V671" s="143"/>
      <c r="W671" s="143"/>
      <c r="X671" s="143"/>
    </row>
    <row r="672" spans="1:24" ht="15" customHeight="1" x14ac:dyDescent="0.25">
      <c r="A672" s="55"/>
      <c r="B672" s="55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143"/>
      <c r="N672" s="143"/>
      <c r="O672" s="28"/>
      <c r="P672" s="28"/>
      <c r="Q672" s="28"/>
      <c r="R672" s="143"/>
      <c r="S672" s="143"/>
      <c r="T672" s="143"/>
      <c r="U672" s="143"/>
      <c r="V672" s="143"/>
      <c r="W672" s="143"/>
      <c r="X672" s="143"/>
    </row>
    <row r="673" spans="1:24" ht="15" customHeight="1" x14ac:dyDescent="0.25">
      <c r="A673" s="55"/>
      <c r="B673" s="55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143"/>
      <c r="N673" s="143"/>
      <c r="O673" s="28"/>
      <c r="P673" s="28"/>
      <c r="Q673" s="28"/>
      <c r="R673" s="143"/>
      <c r="S673" s="143"/>
      <c r="T673" s="143"/>
      <c r="U673" s="143"/>
      <c r="V673" s="143"/>
      <c r="W673" s="143"/>
      <c r="X673" s="143"/>
    </row>
    <row r="674" spans="1:24" ht="15" customHeight="1" x14ac:dyDescent="0.25">
      <c r="A674" s="55"/>
      <c r="B674" s="55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143"/>
      <c r="N674" s="143"/>
      <c r="O674" s="28"/>
      <c r="P674" s="28"/>
      <c r="Q674" s="28"/>
      <c r="R674" s="143"/>
      <c r="S674" s="143"/>
      <c r="T674" s="143"/>
      <c r="U674" s="143"/>
      <c r="V674" s="143"/>
      <c r="W674" s="143"/>
      <c r="X674" s="143"/>
    </row>
    <row r="675" spans="1:24" ht="15" customHeight="1" x14ac:dyDescent="0.25">
      <c r="A675" s="55"/>
      <c r="B675" s="55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143"/>
      <c r="N675" s="143"/>
      <c r="O675" s="28"/>
      <c r="P675" s="28"/>
      <c r="Q675" s="28"/>
      <c r="R675" s="143"/>
      <c r="S675" s="143"/>
      <c r="T675" s="143"/>
      <c r="U675" s="143"/>
      <c r="V675" s="143"/>
      <c r="W675" s="143"/>
      <c r="X675" s="143"/>
    </row>
    <row r="676" spans="1:24" ht="15" customHeight="1" x14ac:dyDescent="0.25">
      <c r="A676" s="55"/>
      <c r="B676" s="55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143"/>
      <c r="N676" s="143"/>
      <c r="O676" s="28"/>
      <c r="P676" s="28"/>
      <c r="Q676" s="28"/>
      <c r="R676" s="143"/>
      <c r="S676" s="143"/>
      <c r="T676" s="143"/>
      <c r="U676" s="143"/>
      <c r="V676" s="143"/>
      <c r="W676" s="143"/>
      <c r="X676" s="143"/>
    </row>
    <row r="677" spans="1:24" ht="15" customHeight="1" x14ac:dyDescent="0.25">
      <c r="A677" s="55"/>
      <c r="B677" s="55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143"/>
      <c r="N677" s="143"/>
      <c r="O677" s="28"/>
      <c r="P677" s="28"/>
      <c r="Q677" s="28"/>
      <c r="R677" s="143"/>
      <c r="S677" s="143"/>
      <c r="T677" s="143"/>
      <c r="U677" s="143"/>
      <c r="V677" s="143"/>
      <c r="W677" s="143"/>
      <c r="X677" s="143"/>
    </row>
    <row r="678" spans="1:24" ht="15" customHeight="1" x14ac:dyDescent="0.25">
      <c r="A678" s="55"/>
      <c r="B678" s="55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143"/>
      <c r="N678" s="143"/>
      <c r="O678" s="28"/>
      <c r="P678" s="28"/>
      <c r="Q678" s="28"/>
      <c r="R678" s="143"/>
      <c r="S678" s="143"/>
      <c r="T678" s="143"/>
      <c r="U678" s="143"/>
      <c r="V678" s="143"/>
      <c r="W678" s="143"/>
      <c r="X678" s="143"/>
    </row>
    <row r="679" spans="1:24" ht="15" customHeight="1" x14ac:dyDescent="0.25">
      <c r="A679" s="55"/>
      <c r="B679" s="55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143"/>
      <c r="N679" s="143"/>
      <c r="O679" s="28"/>
      <c r="P679" s="28"/>
      <c r="Q679" s="28"/>
      <c r="R679" s="143"/>
      <c r="S679" s="143"/>
      <c r="T679" s="143"/>
      <c r="U679" s="143"/>
      <c r="V679" s="143"/>
      <c r="W679" s="143"/>
      <c r="X679" s="143"/>
    </row>
    <row r="680" spans="1:24" ht="15" customHeight="1" x14ac:dyDescent="0.25">
      <c r="A680" s="55"/>
      <c r="B680" s="55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143"/>
      <c r="N680" s="143"/>
      <c r="O680" s="28"/>
      <c r="P680" s="28"/>
      <c r="Q680" s="28"/>
      <c r="R680" s="143"/>
      <c r="S680" s="143"/>
      <c r="T680" s="143"/>
      <c r="U680" s="143"/>
      <c r="V680" s="143"/>
      <c r="W680" s="143"/>
      <c r="X680" s="143"/>
    </row>
    <row r="681" spans="1:24" ht="15" customHeight="1" x14ac:dyDescent="0.25">
      <c r="A681" s="55"/>
      <c r="B681" s="55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143"/>
      <c r="N681" s="143"/>
      <c r="O681" s="28"/>
      <c r="P681" s="28"/>
      <c r="Q681" s="28"/>
      <c r="R681" s="143"/>
      <c r="S681" s="143"/>
      <c r="T681" s="143"/>
      <c r="U681" s="143"/>
      <c r="V681" s="143"/>
      <c r="W681" s="143"/>
      <c r="X681" s="143"/>
    </row>
    <row r="682" spans="1:24" ht="15" customHeight="1" x14ac:dyDescent="0.25">
      <c r="A682" s="55"/>
      <c r="B682" s="55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143"/>
      <c r="N682" s="143"/>
      <c r="O682" s="28"/>
      <c r="P682" s="28"/>
      <c r="Q682" s="28"/>
      <c r="R682" s="143"/>
      <c r="S682" s="143"/>
      <c r="T682" s="143"/>
      <c r="U682" s="143"/>
      <c r="V682" s="143"/>
      <c r="W682" s="143"/>
      <c r="X682" s="143"/>
    </row>
    <row r="683" spans="1:24" ht="15" customHeight="1" x14ac:dyDescent="0.25">
      <c r="A683" s="55"/>
      <c r="B683" s="55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143"/>
      <c r="N683" s="143"/>
      <c r="O683" s="28"/>
      <c r="P683" s="28"/>
      <c r="Q683" s="28"/>
      <c r="R683" s="143"/>
      <c r="S683" s="143"/>
      <c r="T683" s="143"/>
      <c r="U683" s="143"/>
      <c r="V683" s="143"/>
      <c r="W683" s="143"/>
      <c r="X683" s="143"/>
    </row>
    <row r="684" spans="1:24" ht="15" customHeight="1" x14ac:dyDescent="0.25">
      <c r="A684" s="55"/>
      <c r="B684" s="55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143"/>
      <c r="N684" s="143"/>
      <c r="O684" s="28"/>
      <c r="P684" s="28"/>
      <c r="Q684" s="28"/>
      <c r="R684" s="143"/>
      <c r="S684" s="143"/>
      <c r="T684" s="143"/>
      <c r="U684" s="143"/>
      <c r="V684" s="143"/>
      <c r="W684" s="143"/>
      <c r="X684" s="143"/>
    </row>
    <row r="685" spans="1:24" ht="15" customHeight="1" x14ac:dyDescent="0.25">
      <c r="A685" s="55"/>
      <c r="B685" s="55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143"/>
      <c r="N685" s="143"/>
      <c r="O685" s="28"/>
      <c r="P685" s="28"/>
      <c r="Q685" s="28"/>
      <c r="R685" s="143"/>
      <c r="S685" s="143"/>
      <c r="T685" s="143"/>
      <c r="U685" s="143"/>
      <c r="V685" s="143"/>
      <c r="W685" s="143"/>
      <c r="X685" s="143"/>
    </row>
    <row r="686" spans="1:24" ht="15" customHeight="1" x14ac:dyDescent="0.25">
      <c r="A686" s="55"/>
      <c r="B686" s="55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143"/>
      <c r="N686" s="143"/>
      <c r="O686" s="28"/>
      <c r="P686" s="28"/>
      <c r="Q686" s="28"/>
      <c r="R686" s="143"/>
      <c r="S686" s="143"/>
      <c r="T686" s="143"/>
      <c r="U686" s="143"/>
      <c r="V686" s="143"/>
      <c r="W686" s="143"/>
      <c r="X686" s="143"/>
    </row>
    <row r="687" spans="1:24" ht="15" customHeight="1" x14ac:dyDescent="0.25">
      <c r="A687" s="55"/>
      <c r="B687" s="55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143"/>
      <c r="N687" s="143"/>
      <c r="O687" s="28"/>
      <c r="P687" s="28"/>
      <c r="Q687" s="28"/>
      <c r="R687" s="143"/>
      <c r="S687" s="143"/>
      <c r="T687" s="143"/>
      <c r="U687" s="143"/>
      <c r="V687" s="143"/>
      <c r="W687" s="143"/>
      <c r="X687" s="143"/>
    </row>
    <row r="688" spans="1:24" ht="15" customHeight="1" x14ac:dyDescent="0.25">
      <c r="A688" s="55"/>
      <c r="B688" s="55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143"/>
      <c r="N688" s="143"/>
      <c r="O688" s="28"/>
      <c r="P688" s="28"/>
      <c r="Q688" s="28"/>
      <c r="R688" s="143"/>
      <c r="S688" s="143"/>
      <c r="T688" s="143"/>
      <c r="U688" s="143"/>
      <c r="V688" s="143"/>
      <c r="W688" s="143"/>
      <c r="X688" s="143"/>
    </row>
    <row r="689" spans="1:24" ht="15" customHeight="1" x14ac:dyDescent="0.25">
      <c r="A689" s="55"/>
      <c r="B689" s="55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143"/>
      <c r="N689" s="143"/>
      <c r="O689" s="28"/>
      <c r="P689" s="28"/>
      <c r="Q689" s="28"/>
      <c r="R689" s="143"/>
      <c r="S689" s="143"/>
      <c r="T689" s="143"/>
      <c r="U689" s="143"/>
      <c r="V689" s="143"/>
      <c r="W689" s="143"/>
      <c r="X689" s="143"/>
    </row>
    <row r="690" spans="1:24" ht="15" customHeight="1" x14ac:dyDescent="0.25">
      <c r="A690" s="55"/>
      <c r="B690" s="55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143"/>
      <c r="N690" s="143"/>
      <c r="O690" s="28"/>
      <c r="P690" s="28"/>
      <c r="Q690" s="28"/>
      <c r="R690" s="143"/>
      <c r="S690" s="143"/>
      <c r="T690" s="143"/>
      <c r="U690" s="143"/>
      <c r="V690" s="143"/>
      <c r="W690" s="143"/>
      <c r="X690" s="143"/>
    </row>
    <row r="691" spans="1:24" ht="15" customHeight="1" x14ac:dyDescent="0.25">
      <c r="A691" s="55"/>
      <c r="B691" s="55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143"/>
      <c r="N691" s="143"/>
      <c r="O691" s="28"/>
      <c r="P691" s="28"/>
      <c r="Q691" s="28"/>
      <c r="R691" s="143"/>
      <c r="S691" s="143"/>
      <c r="T691" s="143"/>
      <c r="U691" s="143"/>
      <c r="V691" s="143"/>
      <c r="W691" s="143"/>
      <c r="X691" s="143"/>
    </row>
    <row r="692" spans="1:24" ht="15" customHeight="1" x14ac:dyDescent="0.25">
      <c r="A692" s="55"/>
      <c r="B692" s="55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143"/>
      <c r="N692" s="143"/>
      <c r="O692" s="28"/>
      <c r="P692" s="28"/>
      <c r="Q692" s="28"/>
      <c r="R692" s="143"/>
      <c r="S692" s="143"/>
      <c r="T692" s="143"/>
      <c r="U692" s="143"/>
      <c r="V692" s="143"/>
      <c r="W692" s="143"/>
      <c r="X692" s="143"/>
    </row>
    <row r="693" spans="1:24" ht="15" customHeight="1" x14ac:dyDescent="0.25">
      <c r="A693" s="55"/>
      <c r="B693" s="55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143"/>
      <c r="N693" s="143"/>
      <c r="O693" s="28"/>
      <c r="P693" s="28"/>
      <c r="Q693" s="28"/>
      <c r="R693" s="143"/>
      <c r="S693" s="143"/>
      <c r="T693" s="143"/>
      <c r="U693" s="143"/>
      <c r="V693" s="143"/>
      <c r="W693" s="143"/>
      <c r="X693" s="143"/>
    </row>
    <row r="694" spans="1:24" ht="15" customHeight="1" x14ac:dyDescent="0.25">
      <c r="A694" s="55"/>
      <c r="B694" s="55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143"/>
      <c r="N694" s="143"/>
      <c r="O694" s="28"/>
      <c r="P694" s="28"/>
      <c r="Q694" s="28"/>
      <c r="R694" s="143"/>
      <c r="S694" s="143"/>
      <c r="T694" s="143"/>
      <c r="U694" s="143"/>
      <c r="V694" s="143"/>
      <c r="W694" s="143"/>
      <c r="X694" s="143"/>
    </row>
    <row r="695" spans="1:24" ht="15" customHeight="1" x14ac:dyDescent="0.25">
      <c r="A695" s="55"/>
      <c r="B695" s="55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143"/>
      <c r="N695" s="143"/>
      <c r="O695" s="28"/>
      <c r="P695" s="28"/>
      <c r="Q695" s="28"/>
      <c r="R695" s="143"/>
      <c r="S695" s="143"/>
      <c r="T695" s="143"/>
      <c r="U695" s="143"/>
      <c r="V695" s="143"/>
      <c r="W695" s="143"/>
      <c r="X695" s="143"/>
    </row>
    <row r="696" spans="1:24" ht="15" customHeight="1" x14ac:dyDescent="0.25">
      <c r="A696" s="55"/>
      <c r="B696" s="55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143"/>
      <c r="N696" s="143"/>
      <c r="O696" s="28"/>
      <c r="P696" s="28"/>
      <c r="Q696" s="28"/>
      <c r="R696" s="143"/>
      <c r="S696" s="143"/>
      <c r="T696" s="143"/>
      <c r="U696" s="143"/>
      <c r="V696" s="143"/>
      <c r="W696" s="143"/>
      <c r="X696" s="143"/>
    </row>
    <row r="697" spans="1:24" ht="15" customHeight="1" x14ac:dyDescent="0.25">
      <c r="A697" s="55"/>
      <c r="B697" s="55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143"/>
      <c r="N697" s="143"/>
      <c r="O697" s="28"/>
      <c r="P697" s="28"/>
      <c r="Q697" s="28"/>
      <c r="R697" s="143"/>
      <c r="S697" s="143"/>
      <c r="T697" s="143"/>
      <c r="U697" s="143"/>
      <c r="V697" s="143"/>
      <c r="W697" s="143"/>
      <c r="X697" s="143"/>
    </row>
    <row r="698" spans="1:24" ht="15" customHeight="1" x14ac:dyDescent="0.25">
      <c r="A698" s="55"/>
      <c r="B698" s="55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143"/>
      <c r="N698" s="143"/>
      <c r="O698" s="28"/>
      <c r="P698" s="28"/>
      <c r="Q698" s="28"/>
      <c r="R698" s="143"/>
      <c r="S698" s="143"/>
      <c r="T698" s="143"/>
      <c r="U698" s="143"/>
      <c r="V698" s="143"/>
      <c r="W698" s="143"/>
      <c r="X698" s="143"/>
    </row>
    <row r="699" spans="1:24" ht="15" customHeight="1" x14ac:dyDescent="0.25">
      <c r="A699" s="55"/>
      <c r="B699" s="55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143"/>
      <c r="N699" s="143"/>
      <c r="O699" s="28"/>
      <c r="P699" s="28"/>
      <c r="Q699" s="28"/>
      <c r="R699" s="143"/>
      <c r="S699" s="143"/>
      <c r="T699" s="143"/>
      <c r="U699" s="143"/>
      <c r="V699" s="143"/>
      <c r="W699" s="143"/>
      <c r="X699" s="143"/>
    </row>
    <row r="700" spans="1:24" ht="15" customHeight="1" x14ac:dyDescent="0.25">
      <c r="A700" s="55"/>
      <c r="B700" s="55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143"/>
      <c r="N700" s="143"/>
      <c r="O700" s="28"/>
      <c r="P700" s="28"/>
      <c r="Q700" s="28"/>
      <c r="R700" s="143"/>
      <c r="S700" s="143"/>
      <c r="T700" s="143"/>
      <c r="U700" s="143"/>
      <c r="V700" s="143"/>
      <c r="W700" s="143"/>
      <c r="X700" s="143"/>
    </row>
    <row r="701" spans="1:24" ht="15" customHeight="1" x14ac:dyDescent="0.25">
      <c r="A701" s="55"/>
      <c r="B701" s="55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143"/>
      <c r="N701" s="143"/>
      <c r="O701" s="28"/>
      <c r="P701" s="28"/>
      <c r="Q701" s="28"/>
      <c r="R701" s="143"/>
      <c r="S701" s="143"/>
      <c r="T701" s="143"/>
      <c r="U701" s="143"/>
      <c r="V701" s="143"/>
      <c r="W701" s="143"/>
      <c r="X701" s="143"/>
    </row>
    <row r="702" spans="1:24" ht="15" customHeight="1" x14ac:dyDescent="0.25">
      <c r="A702" s="55"/>
      <c r="B702" s="55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143"/>
      <c r="N702" s="143"/>
      <c r="O702" s="28"/>
      <c r="P702" s="28"/>
      <c r="Q702" s="28"/>
      <c r="R702" s="143"/>
      <c r="S702" s="143"/>
      <c r="T702" s="143"/>
      <c r="U702" s="143"/>
      <c r="V702" s="143"/>
      <c r="W702" s="143"/>
      <c r="X702" s="143"/>
    </row>
    <row r="703" spans="1:24" ht="15" customHeight="1" x14ac:dyDescent="0.25">
      <c r="A703" s="55"/>
      <c r="B703" s="55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143"/>
      <c r="N703" s="143"/>
      <c r="O703" s="28"/>
      <c r="P703" s="28"/>
      <c r="Q703" s="28"/>
      <c r="R703" s="143"/>
      <c r="S703" s="143"/>
      <c r="T703" s="143"/>
      <c r="U703" s="143"/>
      <c r="V703" s="143"/>
      <c r="W703" s="143"/>
      <c r="X703" s="143"/>
    </row>
    <row r="704" spans="1:24" ht="15" customHeight="1" x14ac:dyDescent="0.25">
      <c r="A704" s="55"/>
      <c r="B704" s="55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143"/>
      <c r="N704" s="143"/>
      <c r="O704" s="28"/>
      <c r="P704" s="28"/>
      <c r="Q704" s="28"/>
      <c r="R704" s="143"/>
      <c r="S704" s="143"/>
      <c r="T704" s="143"/>
      <c r="U704" s="143"/>
      <c r="V704" s="143"/>
      <c r="W704" s="143"/>
      <c r="X704" s="143"/>
    </row>
    <row r="705" spans="1:24" ht="15" customHeight="1" x14ac:dyDescent="0.25">
      <c r="A705" s="55"/>
      <c r="B705" s="55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143"/>
      <c r="N705" s="143"/>
      <c r="O705" s="28"/>
      <c r="P705" s="28"/>
      <c r="Q705" s="28"/>
      <c r="R705" s="143"/>
      <c r="S705" s="143"/>
      <c r="T705" s="143"/>
      <c r="U705" s="143"/>
      <c r="V705" s="143"/>
      <c r="W705" s="143"/>
      <c r="X705" s="143"/>
    </row>
    <row r="706" spans="1:24" ht="15" customHeight="1" x14ac:dyDescent="0.25">
      <c r="A706" s="55"/>
      <c r="B706" s="55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143"/>
      <c r="N706" s="143"/>
      <c r="O706" s="28"/>
      <c r="P706" s="28"/>
      <c r="Q706" s="28"/>
      <c r="R706" s="143"/>
      <c r="S706" s="143"/>
      <c r="T706" s="143"/>
      <c r="U706" s="143"/>
      <c r="V706" s="143"/>
      <c r="W706" s="143"/>
      <c r="X706" s="143"/>
    </row>
    <row r="707" spans="1:24" ht="15" customHeight="1" x14ac:dyDescent="0.25">
      <c r="A707" s="55"/>
      <c r="B707" s="55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143"/>
      <c r="N707" s="143"/>
      <c r="O707" s="28"/>
      <c r="P707" s="28"/>
      <c r="Q707" s="28"/>
      <c r="R707" s="143"/>
      <c r="S707" s="143"/>
      <c r="T707" s="143"/>
      <c r="U707" s="143"/>
      <c r="V707" s="143"/>
      <c r="W707" s="143"/>
      <c r="X707" s="143"/>
    </row>
    <row r="708" spans="1:24" ht="15" customHeight="1" x14ac:dyDescent="0.25">
      <c r="A708" s="55"/>
      <c r="B708" s="55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143"/>
      <c r="N708" s="143"/>
      <c r="O708" s="28"/>
      <c r="P708" s="28"/>
      <c r="Q708" s="28"/>
      <c r="R708" s="143"/>
      <c r="S708" s="143"/>
      <c r="T708" s="143"/>
      <c r="U708" s="143"/>
      <c r="V708" s="143"/>
      <c r="W708" s="143"/>
      <c r="X708" s="143"/>
    </row>
    <row r="709" spans="1:24" ht="15" customHeight="1" x14ac:dyDescent="0.25">
      <c r="A709" s="55"/>
      <c r="B709" s="55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143"/>
      <c r="N709" s="143"/>
      <c r="O709" s="28"/>
      <c r="P709" s="28"/>
      <c r="Q709" s="28"/>
      <c r="R709" s="143"/>
      <c r="S709" s="143"/>
      <c r="T709" s="143"/>
      <c r="U709" s="143"/>
      <c r="V709" s="143"/>
      <c r="W709" s="143"/>
      <c r="X709" s="143"/>
    </row>
    <row r="710" spans="1:24" ht="15" customHeight="1" x14ac:dyDescent="0.25">
      <c r="A710" s="55"/>
      <c r="B710" s="55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143"/>
      <c r="N710" s="143"/>
      <c r="O710" s="28"/>
      <c r="P710" s="28"/>
      <c r="Q710" s="28"/>
      <c r="R710" s="143"/>
      <c r="S710" s="143"/>
      <c r="T710" s="143"/>
      <c r="U710" s="143"/>
      <c r="V710" s="143"/>
      <c r="W710" s="143"/>
      <c r="X710" s="143"/>
    </row>
    <row r="711" spans="1:24" ht="15" customHeight="1" x14ac:dyDescent="0.25">
      <c r="A711" s="55"/>
      <c r="B711" s="55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143"/>
      <c r="N711" s="143"/>
      <c r="O711" s="28"/>
      <c r="P711" s="28"/>
      <c r="Q711" s="28"/>
      <c r="R711" s="143"/>
      <c r="S711" s="143"/>
      <c r="T711" s="143"/>
      <c r="U711" s="143"/>
      <c r="V711" s="143"/>
      <c r="W711" s="143"/>
      <c r="X711" s="143"/>
    </row>
    <row r="712" spans="1:24" ht="15" customHeight="1" x14ac:dyDescent="0.25">
      <c r="A712" s="55"/>
      <c r="B712" s="55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143"/>
      <c r="N712" s="143"/>
      <c r="O712" s="28"/>
      <c r="P712" s="28"/>
      <c r="Q712" s="28"/>
      <c r="R712" s="143"/>
      <c r="S712" s="143"/>
      <c r="T712" s="143"/>
      <c r="U712" s="143"/>
      <c r="V712" s="143"/>
      <c r="W712" s="143"/>
      <c r="X712" s="143"/>
    </row>
    <row r="713" spans="1:24" ht="15" customHeight="1" x14ac:dyDescent="0.25">
      <c r="A713" s="55"/>
      <c r="B713" s="55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143"/>
      <c r="N713" s="143"/>
      <c r="O713" s="28"/>
      <c r="P713" s="28"/>
      <c r="Q713" s="28"/>
      <c r="R713" s="143"/>
      <c r="S713" s="143"/>
      <c r="T713" s="143"/>
      <c r="U713" s="143"/>
      <c r="V713" s="143"/>
      <c r="W713" s="143"/>
      <c r="X713" s="143"/>
    </row>
    <row r="714" spans="1:24" ht="15" customHeight="1" x14ac:dyDescent="0.25">
      <c r="A714" s="55"/>
      <c r="B714" s="55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143"/>
      <c r="N714" s="143"/>
      <c r="O714" s="28"/>
      <c r="P714" s="28"/>
      <c r="Q714" s="28"/>
      <c r="R714" s="143"/>
      <c r="S714" s="143"/>
      <c r="T714" s="143"/>
      <c r="U714" s="143"/>
      <c r="V714" s="143"/>
      <c r="W714" s="143"/>
      <c r="X714" s="143"/>
    </row>
    <row r="715" spans="1:24" ht="15" customHeight="1" x14ac:dyDescent="0.25">
      <c r="A715" s="55"/>
      <c r="B715" s="55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143"/>
      <c r="N715" s="143"/>
      <c r="O715" s="28"/>
      <c r="P715" s="28"/>
      <c r="Q715" s="28"/>
      <c r="R715" s="143"/>
      <c r="S715" s="143"/>
      <c r="T715" s="143"/>
      <c r="U715" s="143"/>
      <c r="V715" s="143"/>
      <c r="W715" s="143"/>
      <c r="X715" s="143"/>
    </row>
    <row r="716" spans="1:24" ht="15" customHeight="1" x14ac:dyDescent="0.25">
      <c r="A716" s="55"/>
      <c r="B716" s="55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143"/>
      <c r="N716" s="143"/>
      <c r="O716" s="28"/>
      <c r="P716" s="28"/>
      <c r="Q716" s="28"/>
      <c r="R716" s="143"/>
      <c r="S716" s="143"/>
      <c r="T716" s="143"/>
      <c r="U716" s="143"/>
      <c r="V716" s="143"/>
      <c r="W716" s="143"/>
      <c r="X716" s="143"/>
    </row>
    <row r="717" spans="1:24" ht="15" customHeight="1" x14ac:dyDescent="0.25">
      <c r="A717" s="55"/>
      <c r="B717" s="55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143"/>
      <c r="N717" s="143"/>
      <c r="O717" s="28"/>
      <c r="P717" s="28"/>
      <c r="Q717" s="28"/>
      <c r="R717" s="143"/>
      <c r="S717" s="143"/>
      <c r="T717" s="143"/>
      <c r="U717" s="143"/>
      <c r="V717" s="143"/>
      <c r="W717" s="143"/>
      <c r="X717" s="143"/>
    </row>
    <row r="718" spans="1:24" ht="15" customHeight="1" x14ac:dyDescent="0.25">
      <c r="A718" s="55"/>
      <c r="B718" s="55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143"/>
      <c r="N718" s="143"/>
      <c r="O718" s="28"/>
      <c r="P718" s="28"/>
      <c r="Q718" s="28"/>
      <c r="R718" s="143"/>
      <c r="S718" s="143"/>
      <c r="T718" s="143"/>
      <c r="U718" s="143"/>
      <c r="V718" s="143"/>
      <c r="W718" s="143"/>
      <c r="X718" s="143"/>
    </row>
    <row r="719" spans="1:24" ht="15" customHeight="1" x14ac:dyDescent="0.25">
      <c r="A719" s="55"/>
      <c r="B719" s="55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143"/>
      <c r="N719" s="143"/>
      <c r="O719" s="28"/>
      <c r="P719" s="28"/>
      <c r="Q719" s="28"/>
      <c r="R719" s="143"/>
      <c r="S719" s="143"/>
      <c r="T719" s="143"/>
      <c r="U719" s="143"/>
      <c r="V719" s="143"/>
      <c r="W719" s="143"/>
      <c r="X719" s="143"/>
    </row>
    <row r="720" spans="1:24" ht="15" customHeight="1" x14ac:dyDescent="0.25">
      <c r="A720" s="55"/>
      <c r="B720" s="55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143"/>
      <c r="N720" s="143"/>
      <c r="O720" s="28"/>
      <c r="P720" s="28"/>
      <c r="Q720" s="28"/>
      <c r="R720" s="143"/>
      <c r="S720" s="143"/>
      <c r="T720" s="143"/>
      <c r="U720" s="143"/>
      <c r="V720" s="143"/>
      <c r="W720" s="143"/>
      <c r="X720" s="143"/>
    </row>
    <row r="721" spans="1:24" ht="15" customHeight="1" x14ac:dyDescent="0.25">
      <c r="A721" s="55"/>
      <c r="B721" s="55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143"/>
      <c r="N721" s="143"/>
      <c r="O721" s="28"/>
      <c r="P721" s="28"/>
      <c r="Q721" s="28"/>
      <c r="R721" s="143"/>
      <c r="S721" s="143"/>
      <c r="T721" s="143"/>
      <c r="U721" s="143"/>
      <c r="V721" s="143"/>
      <c r="W721" s="143"/>
      <c r="X721" s="143"/>
    </row>
    <row r="722" spans="1:24" ht="15" customHeight="1" x14ac:dyDescent="0.25">
      <c r="A722" s="55"/>
      <c r="B722" s="55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143"/>
      <c r="N722" s="143"/>
      <c r="O722" s="28"/>
      <c r="P722" s="28"/>
      <c r="Q722" s="28"/>
      <c r="R722" s="143"/>
      <c r="S722" s="143"/>
      <c r="T722" s="143"/>
      <c r="U722" s="143"/>
      <c r="V722" s="143"/>
      <c r="W722" s="143"/>
      <c r="X722" s="143"/>
    </row>
    <row r="723" spans="1:24" ht="15" customHeight="1" x14ac:dyDescent="0.25">
      <c r="A723" s="55"/>
      <c r="B723" s="55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143"/>
      <c r="N723" s="143"/>
      <c r="O723" s="28"/>
      <c r="P723" s="28"/>
      <c r="Q723" s="28"/>
      <c r="R723" s="143"/>
      <c r="S723" s="143"/>
      <c r="T723" s="143"/>
      <c r="U723" s="143"/>
      <c r="V723" s="143"/>
      <c r="W723" s="143"/>
      <c r="X723" s="143"/>
    </row>
    <row r="724" spans="1:24" ht="15" customHeight="1" x14ac:dyDescent="0.25">
      <c r="A724" s="55"/>
      <c r="B724" s="55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143"/>
      <c r="N724" s="143"/>
      <c r="O724" s="28"/>
      <c r="P724" s="28"/>
      <c r="Q724" s="28"/>
      <c r="R724" s="143"/>
      <c r="S724" s="143"/>
      <c r="T724" s="143"/>
      <c r="U724" s="143"/>
      <c r="V724" s="143"/>
      <c r="W724" s="143"/>
      <c r="X724" s="143"/>
    </row>
    <row r="725" spans="1:24" ht="15" customHeight="1" x14ac:dyDescent="0.25">
      <c r="A725" s="55"/>
      <c r="B725" s="55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143"/>
      <c r="N725" s="143"/>
      <c r="O725" s="28"/>
      <c r="P725" s="28"/>
      <c r="Q725" s="28"/>
      <c r="R725" s="143"/>
      <c r="S725" s="143"/>
      <c r="T725" s="143"/>
      <c r="U725" s="143"/>
      <c r="V725" s="143"/>
      <c r="W725" s="143"/>
      <c r="X725" s="143"/>
    </row>
    <row r="726" spans="1:24" ht="15" customHeight="1" x14ac:dyDescent="0.25">
      <c r="A726" s="55"/>
      <c r="B726" s="55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143"/>
      <c r="N726" s="143"/>
      <c r="O726" s="28"/>
      <c r="P726" s="28"/>
      <c r="Q726" s="28"/>
      <c r="R726" s="143"/>
      <c r="S726" s="143"/>
      <c r="T726" s="143"/>
      <c r="U726" s="143"/>
      <c r="V726" s="143"/>
      <c r="W726" s="143"/>
      <c r="X726" s="143"/>
    </row>
    <row r="727" spans="1:24" ht="15" customHeight="1" x14ac:dyDescent="0.25">
      <c r="A727" s="55"/>
      <c r="B727" s="55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143"/>
      <c r="N727" s="143"/>
      <c r="O727" s="28"/>
      <c r="P727" s="28"/>
      <c r="Q727" s="28"/>
      <c r="R727" s="143"/>
      <c r="S727" s="143"/>
      <c r="T727" s="143"/>
      <c r="U727" s="143"/>
      <c r="V727" s="143"/>
      <c r="W727" s="143"/>
      <c r="X727" s="143"/>
    </row>
    <row r="728" spans="1:24" ht="15" customHeight="1" x14ac:dyDescent="0.25">
      <c r="A728" s="55"/>
      <c r="B728" s="55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143"/>
      <c r="N728" s="143"/>
      <c r="O728" s="28"/>
      <c r="P728" s="28"/>
      <c r="Q728" s="28"/>
      <c r="R728" s="143"/>
      <c r="S728" s="143"/>
      <c r="T728" s="143"/>
      <c r="U728" s="143"/>
      <c r="V728" s="143"/>
      <c r="W728" s="143"/>
      <c r="X728" s="143"/>
    </row>
    <row r="729" spans="1:24" ht="15" customHeight="1" x14ac:dyDescent="0.25">
      <c r="A729" s="55"/>
      <c r="B729" s="55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143"/>
      <c r="N729" s="143"/>
      <c r="O729" s="28"/>
      <c r="P729" s="28"/>
      <c r="Q729" s="28"/>
      <c r="R729" s="143"/>
      <c r="S729" s="143"/>
      <c r="T729" s="143"/>
      <c r="U729" s="143"/>
      <c r="V729" s="143"/>
      <c r="W729" s="143"/>
      <c r="X729" s="143"/>
    </row>
    <row r="730" spans="1:24" ht="15" customHeight="1" x14ac:dyDescent="0.25">
      <c r="A730" s="55"/>
      <c r="B730" s="55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143"/>
      <c r="N730" s="143"/>
      <c r="O730" s="28"/>
      <c r="P730" s="28"/>
      <c r="Q730" s="28"/>
      <c r="R730" s="143"/>
      <c r="S730" s="143"/>
      <c r="T730" s="143"/>
      <c r="U730" s="143"/>
      <c r="V730" s="143"/>
      <c r="W730" s="143"/>
      <c r="X730" s="143"/>
    </row>
    <row r="731" spans="1:24" ht="15" customHeight="1" x14ac:dyDescent="0.25">
      <c r="A731" s="55"/>
      <c r="B731" s="55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143"/>
      <c r="N731" s="143"/>
      <c r="O731" s="28"/>
      <c r="P731" s="28"/>
      <c r="Q731" s="28"/>
      <c r="R731" s="143"/>
      <c r="S731" s="143"/>
      <c r="T731" s="143"/>
      <c r="U731" s="143"/>
      <c r="V731" s="143"/>
      <c r="W731" s="143"/>
      <c r="X731" s="143"/>
    </row>
    <row r="732" spans="1:24" ht="15" customHeight="1" x14ac:dyDescent="0.25">
      <c r="A732" s="55"/>
      <c r="B732" s="55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143"/>
      <c r="N732" s="143"/>
      <c r="O732" s="28"/>
      <c r="P732" s="28"/>
      <c r="Q732" s="28"/>
      <c r="R732" s="143"/>
      <c r="S732" s="143"/>
      <c r="T732" s="143"/>
      <c r="U732" s="143"/>
      <c r="V732" s="143"/>
      <c r="W732" s="143"/>
      <c r="X732" s="143"/>
    </row>
    <row r="733" spans="1:24" ht="15" customHeight="1" x14ac:dyDescent="0.25">
      <c r="A733" s="55"/>
      <c r="B733" s="55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143"/>
      <c r="N733" s="143"/>
      <c r="O733" s="28"/>
      <c r="P733" s="28"/>
      <c r="Q733" s="28"/>
      <c r="R733" s="143"/>
      <c r="S733" s="143"/>
      <c r="T733" s="143"/>
      <c r="U733" s="143"/>
      <c r="V733" s="143"/>
      <c r="W733" s="143"/>
      <c r="X733" s="143"/>
    </row>
    <row r="734" spans="1:24" ht="15" customHeight="1" x14ac:dyDescent="0.25">
      <c r="A734" s="55"/>
      <c r="B734" s="55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143"/>
      <c r="N734" s="143"/>
      <c r="O734" s="28"/>
      <c r="P734" s="28"/>
      <c r="Q734" s="28"/>
      <c r="R734" s="143"/>
      <c r="S734" s="143"/>
      <c r="T734" s="143"/>
      <c r="U734" s="143"/>
      <c r="V734" s="143"/>
      <c r="W734" s="143"/>
      <c r="X734" s="143"/>
    </row>
    <row r="735" spans="1:24" ht="15" customHeight="1" x14ac:dyDescent="0.25">
      <c r="A735" s="55"/>
      <c r="B735" s="55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143"/>
      <c r="N735" s="143"/>
      <c r="O735" s="28"/>
      <c r="P735" s="28"/>
      <c r="Q735" s="28"/>
      <c r="R735" s="143"/>
      <c r="S735" s="143"/>
      <c r="T735" s="143"/>
      <c r="U735" s="143"/>
      <c r="V735" s="143"/>
      <c r="W735" s="143"/>
      <c r="X735" s="143"/>
    </row>
    <row r="736" spans="1:24" ht="15" customHeight="1" x14ac:dyDescent="0.25">
      <c r="A736" s="55"/>
      <c r="B736" s="55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143"/>
      <c r="N736" s="143"/>
      <c r="O736" s="28"/>
      <c r="P736" s="28"/>
      <c r="Q736" s="28"/>
      <c r="R736" s="143"/>
      <c r="S736" s="143"/>
      <c r="T736" s="143"/>
      <c r="U736" s="143"/>
      <c r="V736" s="143"/>
      <c r="W736" s="143"/>
      <c r="X736" s="143"/>
    </row>
    <row r="737" spans="1:24" ht="15" customHeight="1" x14ac:dyDescent="0.25">
      <c r="A737" s="55"/>
      <c r="B737" s="55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143"/>
      <c r="N737" s="143"/>
      <c r="O737" s="28"/>
      <c r="P737" s="28"/>
      <c r="Q737" s="28"/>
      <c r="R737" s="143"/>
      <c r="S737" s="143"/>
      <c r="T737" s="143"/>
      <c r="U737" s="143"/>
      <c r="V737" s="143"/>
      <c r="W737" s="143"/>
      <c r="X737" s="143"/>
    </row>
    <row r="738" spans="1:24" ht="15" customHeight="1" x14ac:dyDescent="0.25">
      <c r="A738" s="55"/>
      <c r="B738" s="55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143"/>
      <c r="N738" s="143"/>
      <c r="O738" s="28"/>
      <c r="P738" s="28"/>
      <c r="Q738" s="28"/>
      <c r="R738" s="143"/>
      <c r="S738" s="143"/>
      <c r="T738" s="143"/>
      <c r="U738" s="143"/>
      <c r="V738" s="143"/>
      <c r="W738" s="143"/>
      <c r="X738" s="143"/>
    </row>
    <row r="739" spans="1:24" ht="15" customHeight="1" x14ac:dyDescent="0.25">
      <c r="A739" s="55"/>
      <c r="B739" s="55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143"/>
      <c r="N739" s="143"/>
      <c r="O739" s="28"/>
      <c r="P739" s="28"/>
      <c r="Q739" s="28"/>
      <c r="R739" s="143"/>
      <c r="S739" s="143"/>
      <c r="T739" s="143"/>
      <c r="U739" s="143"/>
      <c r="V739" s="143"/>
      <c r="W739" s="143"/>
      <c r="X739" s="143"/>
    </row>
    <row r="740" spans="1:24" ht="15" customHeight="1" x14ac:dyDescent="0.25">
      <c r="A740" s="55"/>
      <c r="B740" s="55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143"/>
      <c r="N740" s="143"/>
      <c r="O740" s="28"/>
      <c r="P740" s="28"/>
      <c r="Q740" s="28"/>
      <c r="R740" s="143"/>
      <c r="S740" s="143"/>
      <c r="T740" s="143"/>
      <c r="U740" s="143"/>
      <c r="V740" s="143"/>
      <c r="W740" s="143"/>
      <c r="X740" s="143"/>
    </row>
    <row r="741" spans="1:24" ht="15" customHeight="1" x14ac:dyDescent="0.25">
      <c r="A741" s="55"/>
      <c r="B741" s="55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143"/>
      <c r="N741" s="143"/>
      <c r="O741" s="28"/>
      <c r="P741" s="28"/>
      <c r="Q741" s="28"/>
      <c r="R741" s="143"/>
      <c r="S741" s="143"/>
      <c r="T741" s="143"/>
      <c r="U741" s="143"/>
      <c r="V741" s="143"/>
      <c r="W741" s="143"/>
      <c r="X741" s="143"/>
    </row>
    <row r="742" spans="1:24" ht="15" customHeight="1" x14ac:dyDescent="0.25">
      <c r="A742" s="55"/>
      <c r="B742" s="55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143"/>
      <c r="N742" s="143"/>
      <c r="O742" s="28"/>
      <c r="P742" s="28"/>
      <c r="Q742" s="28"/>
      <c r="R742" s="143"/>
      <c r="S742" s="143"/>
      <c r="T742" s="143"/>
      <c r="U742" s="143"/>
      <c r="V742" s="143"/>
      <c r="W742" s="143"/>
      <c r="X742" s="143"/>
    </row>
    <row r="743" spans="1:24" ht="15" customHeight="1" x14ac:dyDescent="0.25">
      <c r="A743" s="55"/>
      <c r="B743" s="55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143"/>
      <c r="N743" s="143"/>
      <c r="O743" s="28"/>
      <c r="P743" s="28"/>
      <c r="Q743" s="28"/>
      <c r="R743" s="143"/>
      <c r="S743" s="143"/>
      <c r="T743" s="143"/>
      <c r="U743" s="143"/>
      <c r="V743" s="143"/>
      <c r="W743" s="143"/>
      <c r="X743" s="143"/>
    </row>
    <row r="744" spans="1:24" ht="15" customHeight="1" x14ac:dyDescent="0.25">
      <c r="A744" s="55"/>
      <c r="B744" s="55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143"/>
      <c r="N744" s="143"/>
      <c r="O744" s="28"/>
      <c r="P744" s="28"/>
      <c r="Q744" s="28"/>
      <c r="R744" s="143"/>
      <c r="S744" s="143"/>
      <c r="T744" s="143"/>
      <c r="U744" s="143"/>
      <c r="V744" s="143"/>
      <c r="W744" s="143"/>
      <c r="X744" s="143"/>
    </row>
    <row r="745" spans="1:24" ht="15" customHeight="1" x14ac:dyDescent="0.25">
      <c r="A745" s="55"/>
      <c r="B745" s="55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143"/>
      <c r="N745" s="143"/>
      <c r="O745" s="28"/>
      <c r="P745" s="28"/>
      <c r="Q745" s="28"/>
      <c r="R745" s="143"/>
      <c r="S745" s="143"/>
      <c r="T745" s="143"/>
      <c r="U745" s="143"/>
      <c r="V745" s="143"/>
      <c r="W745" s="143"/>
      <c r="X745" s="143"/>
    </row>
    <row r="746" spans="1:24" ht="15" customHeight="1" x14ac:dyDescent="0.25">
      <c r="A746" s="55"/>
      <c r="B746" s="55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143"/>
      <c r="N746" s="143"/>
      <c r="O746" s="28"/>
      <c r="P746" s="28"/>
      <c r="Q746" s="28"/>
      <c r="R746" s="143"/>
      <c r="S746" s="143"/>
      <c r="T746" s="143"/>
      <c r="U746" s="143"/>
      <c r="V746" s="143"/>
      <c r="W746" s="143"/>
      <c r="X746" s="143"/>
    </row>
    <row r="747" spans="1:24" ht="15" customHeight="1" x14ac:dyDescent="0.25">
      <c r="A747" s="55"/>
      <c r="B747" s="55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143"/>
      <c r="N747" s="143"/>
      <c r="O747" s="28"/>
      <c r="P747" s="28"/>
      <c r="Q747" s="28"/>
      <c r="R747" s="143"/>
      <c r="S747" s="143"/>
      <c r="T747" s="143"/>
      <c r="U747" s="143"/>
      <c r="V747" s="143"/>
      <c r="W747" s="143"/>
      <c r="X747" s="143"/>
    </row>
    <row r="748" spans="1:24" ht="15" customHeight="1" x14ac:dyDescent="0.25">
      <c r="A748" s="55"/>
      <c r="B748" s="55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143"/>
      <c r="N748" s="143"/>
      <c r="O748" s="28"/>
      <c r="P748" s="28"/>
      <c r="Q748" s="28"/>
      <c r="R748" s="143"/>
      <c r="S748" s="143"/>
      <c r="T748" s="143"/>
      <c r="U748" s="143"/>
      <c r="V748" s="143"/>
      <c r="W748" s="143"/>
      <c r="X748" s="143"/>
    </row>
    <row r="749" spans="1:24" ht="15" customHeight="1" x14ac:dyDescent="0.25">
      <c r="A749" s="55"/>
      <c r="B749" s="55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143"/>
      <c r="N749" s="143"/>
      <c r="O749" s="28"/>
      <c r="P749" s="28"/>
      <c r="Q749" s="28"/>
      <c r="R749" s="143"/>
      <c r="S749" s="143"/>
      <c r="T749" s="143"/>
      <c r="U749" s="143"/>
      <c r="V749" s="143"/>
      <c r="W749" s="143"/>
      <c r="X749" s="143"/>
    </row>
    <row r="750" spans="1:24" ht="15" customHeight="1" x14ac:dyDescent="0.25">
      <c r="A750" s="55"/>
      <c r="B750" s="55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143"/>
      <c r="N750" s="143"/>
      <c r="O750" s="28"/>
      <c r="P750" s="28"/>
      <c r="Q750" s="28"/>
      <c r="R750" s="143"/>
      <c r="S750" s="143"/>
      <c r="T750" s="143"/>
      <c r="U750" s="143"/>
      <c r="V750" s="143"/>
      <c r="W750" s="143"/>
      <c r="X750" s="143"/>
    </row>
    <row r="751" spans="1:24" ht="15" customHeight="1" x14ac:dyDescent="0.25">
      <c r="A751" s="55"/>
      <c r="B751" s="55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143"/>
      <c r="N751" s="143"/>
      <c r="O751" s="28"/>
      <c r="P751" s="28"/>
      <c r="Q751" s="28"/>
      <c r="R751" s="143"/>
      <c r="S751" s="143"/>
      <c r="T751" s="143"/>
      <c r="U751" s="143"/>
      <c r="V751" s="143"/>
      <c r="W751" s="143"/>
      <c r="X751" s="143"/>
    </row>
    <row r="752" spans="1:24" ht="15" customHeight="1" x14ac:dyDescent="0.25">
      <c r="A752" s="55"/>
      <c r="B752" s="55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143"/>
      <c r="N752" s="143"/>
      <c r="O752" s="28"/>
      <c r="P752" s="28"/>
      <c r="Q752" s="28"/>
      <c r="R752" s="143"/>
      <c r="S752" s="143"/>
      <c r="T752" s="143"/>
      <c r="U752" s="143"/>
      <c r="V752" s="143"/>
      <c r="W752" s="143"/>
      <c r="X752" s="143"/>
    </row>
    <row r="753" spans="1:24" ht="15" customHeight="1" x14ac:dyDescent="0.25">
      <c r="A753" s="55"/>
      <c r="B753" s="55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143"/>
      <c r="N753" s="143"/>
      <c r="O753" s="28"/>
      <c r="P753" s="28"/>
      <c r="Q753" s="28"/>
      <c r="R753" s="143"/>
      <c r="S753" s="143"/>
      <c r="T753" s="143"/>
      <c r="U753" s="143"/>
      <c r="V753" s="143"/>
      <c r="W753" s="143"/>
      <c r="X753" s="143"/>
    </row>
    <row r="754" spans="1:24" ht="15" customHeight="1" x14ac:dyDescent="0.25">
      <c r="A754" s="55"/>
      <c r="B754" s="55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143"/>
      <c r="N754" s="143"/>
      <c r="O754" s="28"/>
      <c r="P754" s="28"/>
      <c r="Q754" s="28"/>
      <c r="R754" s="143"/>
      <c r="S754" s="143"/>
      <c r="T754" s="143"/>
      <c r="U754" s="143"/>
      <c r="V754" s="143"/>
      <c r="W754" s="143"/>
      <c r="X754" s="143"/>
    </row>
    <row r="755" spans="1:24" ht="15" customHeight="1" x14ac:dyDescent="0.25">
      <c r="A755" s="55"/>
      <c r="B755" s="55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143"/>
      <c r="N755" s="143"/>
      <c r="O755" s="28"/>
      <c r="P755" s="28"/>
      <c r="Q755" s="28"/>
      <c r="R755" s="143"/>
      <c r="S755" s="143"/>
      <c r="T755" s="143"/>
      <c r="U755" s="143"/>
      <c r="V755" s="143"/>
      <c r="W755" s="143"/>
      <c r="X755" s="143"/>
    </row>
    <row r="756" spans="1:24" ht="15" customHeight="1" x14ac:dyDescent="0.25">
      <c r="A756" s="55"/>
      <c r="B756" s="55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143"/>
      <c r="N756" s="143"/>
      <c r="O756" s="28"/>
      <c r="P756" s="28"/>
      <c r="Q756" s="28"/>
      <c r="R756" s="143"/>
      <c r="S756" s="143"/>
      <c r="T756" s="143"/>
      <c r="U756" s="143"/>
      <c r="V756" s="143"/>
      <c r="W756" s="143"/>
      <c r="X756" s="143"/>
    </row>
    <row r="757" spans="1:24" ht="15" customHeight="1" x14ac:dyDescent="0.25">
      <c r="A757" s="55"/>
      <c r="B757" s="55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143"/>
      <c r="N757" s="143"/>
      <c r="O757" s="28"/>
      <c r="P757" s="28"/>
      <c r="Q757" s="28"/>
      <c r="R757" s="143"/>
      <c r="S757" s="143"/>
      <c r="T757" s="143"/>
      <c r="U757" s="143"/>
      <c r="V757" s="143"/>
      <c r="W757" s="143"/>
      <c r="X757" s="143"/>
    </row>
    <row r="758" spans="1:24" ht="15" customHeight="1" x14ac:dyDescent="0.25">
      <c r="A758" s="55"/>
      <c r="B758" s="55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143"/>
      <c r="N758" s="143"/>
      <c r="O758" s="28"/>
      <c r="P758" s="28"/>
      <c r="Q758" s="28"/>
      <c r="R758" s="143"/>
      <c r="S758" s="143"/>
      <c r="T758" s="143"/>
      <c r="U758" s="143"/>
      <c r="V758" s="143"/>
      <c r="W758" s="143"/>
      <c r="X758" s="143"/>
    </row>
    <row r="759" spans="1:24" ht="15" customHeight="1" x14ac:dyDescent="0.25">
      <c r="A759" s="55"/>
      <c r="B759" s="55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143"/>
      <c r="N759" s="143"/>
      <c r="O759" s="28"/>
      <c r="P759" s="28"/>
      <c r="Q759" s="28"/>
      <c r="R759" s="143"/>
      <c r="S759" s="143"/>
      <c r="T759" s="143"/>
      <c r="U759" s="143"/>
      <c r="V759" s="143"/>
      <c r="W759" s="143"/>
      <c r="X759" s="143"/>
    </row>
    <row r="760" spans="1:24" ht="15" customHeight="1" x14ac:dyDescent="0.25">
      <c r="A760" s="55"/>
      <c r="B760" s="55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143"/>
      <c r="N760" s="143"/>
      <c r="O760" s="28"/>
      <c r="P760" s="28"/>
      <c r="Q760" s="28"/>
      <c r="R760" s="143"/>
      <c r="S760" s="143"/>
      <c r="T760" s="143"/>
      <c r="U760" s="143"/>
      <c r="V760" s="143"/>
      <c r="W760" s="143"/>
      <c r="X760" s="143"/>
    </row>
    <row r="761" spans="1:24" ht="15" customHeight="1" x14ac:dyDescent="0.25">
      <c r="A761" s="55"/>
      <c r="B761" s="55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143"/>
      <c r="N761" s="143"/>
      <c r="O761" s="28"/>
      <c r="P761" s="28"/>
      <c r="Q761" s="28"/>
      <c r="R761" s="143"/>
      <c r="S761" s="143"/>
      <c r="T761" s="143"/>
      <c r="U761" s="143"/>
      <c r="V761" s="143"/>
      <c r="W761" s="143"/>
      <c r="X761" s="143"/>
    </row>
    <row r="762" spans="1:24" ht="15" customHeight="1" x14ac:dyDescent="0.25">
      <c r="A762" s="55"/>
      <c r="B762" s="55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143"/>
      <c r="N762" s="143"/>
      <c r="O762" s="28"/>
      <c r="P762" s="28"/>
      <c r="Q762" s="28"/>
      <c r="R762" s="143"/>
      <c r="S762" s="143"/>
      <c r="T762" s="143"/>
      <c r="U762" s="143"/>
      <c r="V762" s="143"/>
      <c r="W762" s="143"/>
      <c r="X762" s="143"/>
    </row>
    <row r="763" spans="1:24" ht="15" customHeight="1" x14ac:dyDescent="0.25">
      <c r="A763" s="55"/>
      <c r="B763" s="55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143"/>
      <c r="N763" s="143"/>
      <c r="O763" s="28"/>
      <c r="P763" s="28"/>
      <c r="Q763" s="28"/>
      <c r="R763" s="143"/>
      <c r="S763" s="143"/>
      <c r="T763" s="143"/>
      <c r="U763" s="143"/>
      <c r="V763" s="143"/>
      <c r="W763" s="143"/>
      <c r="X763" s="143"/>
    </row>
    <row r="764" spans="1:24" ht="15" customHeight="1" x14ac:dyDescent="0.25">
      <c r="A764" s="55"/>
      <c r="B764" s="55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143"/>
      <c r="N764" s="143"/>
      <c r="O764" s="28"/>
      <c r="P764" s="28"/>
      <c r="Q764" s="28"/>
      <c r="R764" s="143"/>
      <c r="S764" s="143"/>
      <c r="T764" s="143"/>
      <c r="U764" s="143"/>
      <c r="V764" s="143"/>
      <c r="W764" s="143"/>
      <c r="X764" s="143"/>
    </row>
    <row r="765" spans="1:24" ht="15" customHeight="1" x14ac:dyDescent="0.25">
      <c r="A765" s="55"/>
      <c r="B765" s="55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143"/>
      <c r="N765" s="143"/>
      <c r="O765" s="28"/>
      <c r="P765" s="28"/>
      <c r="Q765" s="28"/>
      <c r="R765" s="143"/>
      <c r="S765" s="143"/>
      <c r="T765" s="143"/>
      <c r="U765" s="143"/>
      <c r="V765" s="143"/>
      <c r="W765" s="143"/>
      <c r="X765" s="143"/>
    </row>
    <row r="766" spans="1:24" ht="15" customHeight="1" x14ac:dyDescent="0.25">
      <c r="A766" s="55"/>
      <c r="B766" s="55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143"/>
      <c r="N766" s="143"/>
      <c r="O766" s="28"/>
      <c r="P766" s="28"/>
      <c r="Q766" s="28"/>
      <c r="R766" s="143"/>
      <c r="S766" s="143"/>
      <c r="T766" s="143"/>
      <c r="U766" s="143"/>
      <c r="V766" s="143"/>
      <c r="W766" s="143"/>
      <c r="X766" s="143"/>
    </row>
    <row r="767" spans="1:24" ht="15" customHeight="1" x14ac:dyDescent="0.25">
      <c r="A767" s="55"/>
      <c r="B767" s="55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143"/>
      <c r="N767" s="143"/>
      <c r="O767" s="28"/>
      <c r="P767" s="28"/>
      <c r="Q767" s="28"/>
      <c r="R767" s="143"/>
      <c r="S767" s="143"/>
      <c r="T767" s="143"/>
      <c r="U767" s="143"/>
      <c r="V767" s="143"/>
      <c r="W767" s="143"/>
      <c r="X767" s="143"/>
    </row>
    <row r="768" spans="1:24" ht="15" customHeight="1" x14ac:dyDescent="0.25">
      <c r="A768" s="55"/>
      <c r="B768" s="55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143"/>
      <c r="N768" s="143"/>
      <c r="O768" s="28"/>
      <c r="P768" s="28"/>
      <c r="Q768" s="28"/>
      <c r="R768" s="143"/>
      <c r="S768" s="143"/>
      <c r="T768" s="143"/>
      <c r="U768" s="143"/>
      <c r="V768" s="143"/>
      <c r="W768" s="143"/>
      <c r="X768" s="143"/>
    </row>
    <row r="769" spans="1:24" ht="15" customHeight="1" x14ac:dyDescent="0.25">
      <c r="A769" s="55"/>
      <c r="B769" s="55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143"/>
      <c r="N769" s="143"/>
      <c r="O769" s="28"/>
      <c r="P769" s="28"/>
      <c r="Q769" s="28"/>
      <c r="R769" s="143"/>
      <c r="S769" s="143"/>
      <c r="T769" s="143"/>
      <c r="U769" s="143"/>
      <c r="V769" s="143"/>
      <c r="W769" s="143"/>
      <c r="X769" s="143"/>
    </row>
    <row r="770" spans="1:24" ht="15" customHeight="1" x14ac:dyDescent="0.25">
      <c r="A770" s="55"/>
      <c r="B770" s="55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143"/>
      <c r="N770" s="143"/>
      <c r="O770" s="28"/>
      <c r="P770" s="28"/>
      <c r="Q770" s="28"/>
      <c r="R770" s="143"/>
      <c r="S770" s="143"/>
      <c r="T770" s="143"/>
      <c r="U770" s="143"/>
      <c r="V770" s="143"/>
      <c r="W770" s="143"/>
      <c r="X770" s="143"/>
    </row>
    <row r="771" spans="1:24" ht="15" customHeight="1" x14ac:dyDescent="0.25">
      <c r="A771" s="55"/>
      <c r="B771" s="55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143"/>
      <c r="N771" s="143"/>
      <c r="O771" s="28"/>
      <c r="P771" s="28"/>
      <c r="Q771" s="28"/>
      <c r="R771" s="143"/>
      <c r="S771" s="143"/>
      <c r="T771" s="143"/>
      <c r="U771" s="143"/>
      <c r="V771" s="143"/>
      <c r="W771" s="143"/>
      <c r="X771" s="143"/>
    </row>
    <row r="772" spans="1:24" ht="15" customHeight="1" x14ac:dyDescent="0.25">
      <c r="A772" s="55"/>
      <c r="B772" s="55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143"/>
      <c r="N772" s="143"/>
      <c r="O772" s="28"/>
      <c r="P772" s="28"/>
      <c r="Q772" s="28"/>
      <c r="R772" s="143"/>
      <c r="S772" s="143"/>
      <c r="T772" s="143"/>
      <c r="U772" s="143"/>
      <c r="V772" s="143"/>
      <c r="W772" s="143"/>
      <c r="X772" s="143"/>
    </row>
    <row r="773" spans="1:24" ht="15" customHeight="1" x14ac:dyDescent="0.25">
      <c r="A773" s="55"/>
      <c r="B773" s="55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143"/>
      <c r="N773" s="143"/>
      <c r="O773" s="28"/>
      <c r="P773" s="28"/>
      <c r="Q773" s="28"/>
      <c r="R773" s="143"/>
      <c r="S773" s="143"/>
      <c r="T773" s="143"/>
      <c r="U773" s="143"/>
      <c r="V773" s="143"/>
      <c r="W773" s="143"/>
      <c r="X773" s="143"/>
    </row>
    <row r="774" spans="1:24" ht="15" customHeight="1" x14ac:dyDescent="0.25">
      <c r="A774" s="55"/>
      <c r="B774" s="55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143"/>
      <c r="N774" s="143"/>
      <c r="O774" s="28"/>
      <c r="P774" s="28"/>
      <c r="Q774" s="28"/>
      <c r="R774" s="143"/>
      <c r="S774" s="143"/>
      <c r="T774" s="143"/>
      <c r="U774" s="143"/>
      <c r="V774" s="143"/>
      <c r="W774" s="143"/>
      <c r="X774" s="143"/>
    </row>
    <row r="775" spans="1:24" ht="15" customHeight="1" x14ac:dyDescent="0.25">
      <c r="A775" s="55"/>
      <c r="B775" s="55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143"/>
      <c r="N775" s="143"/>
      <c r="O775" s="28"/>
      <c r="P775" s="28"/>
      <c r="Q775" s="28"/>
      <c r="R775" s="143"/>
      <c r="S775" s="143"/>
      <c r="T775" s="143"/>
      <c r="U775" s="143"/>
      <c r="V775" s="143"/>
      <c r="W775" s="143"/>
      <c r="X775" s="143"/>
    </row>
    <row r="776" spans="1:24" ht="15" customHeight="1" x14ac:dyDescent="0.25">
      <c r="A776" s="55"/>
      <c r="B776" s="55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143"/>
      <c r="N776" s="143"/>
      <c r="O776" s="28"/>
      <c r="P776" s="28"/>
      <c r="Q776" s="28"/>
      <c r="R776" s="143"/>
      <c r="S776" s="143"/>
      <c r="T776" s="143"/>
      <c r="U776" s="143"/>
      <c r="V776" s="143"/>
      <c r="W776" s="143"/>
      <c r="X776" s="143"/>
    </row>
    <row r="777" spans="1:24" ht="15" customHeight="1" x14ac:dyDescent="0.25">
      <c r="A777" s="55"/>
      <c r="B777" s="55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143"/>
      <c r="N777" s="143"/>
      <c r="O777" s="28"/>
      <c r="P777" s="28"/>
      <c r="Q777" s="28"/>
      <c r="R777" s="143"/>
      <c r="S777" s="143"/>
      <c r="T777" s="143"/>
      <c r="U777" s="143"/>
      <c r="V777" s="143"/>
      <c r="W777" s="143"/>
      <c r="X777" s="143"/>
    </row>
    <row r="778" spans="1:24" ht="15" customHeight="1" x14ac:dyDescent="0.25">
      <c r="A778" s="55"/>
      <c r="B778" s="55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143"/>
      <c r="N778" s="143"/>
      <c r="O778" s="28"/>
      <c r="P778" s="28"/>
      <c r="Q778" s="28"/>
      <c r="R778" s="143"/>
      <c r="S778" s="143"/>
      <c r="T778" s="143"/>
      <c r="U778" s="143"/>
      <c r="V778" s="143"/>
      <c r="W778" s="143"/>
      <c r="X778" s="143"/>
    </row>
    <row r="779" spans="1:24" ht="15" customHeight="1" x14ac:dyDescent="0.25">
      <c r="A779" s="55"/>
      <c r="B779" s="55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143"/>
      <c r="N779" s="143"/>
      <c r="O779" s="28"/>
      <c r="P779" s="28"/>
      <c r="Q779" s="28"/>
      <c r="R779" s="143"/>
      <c r="S779" s="143"/>
      <c r="T779" s="143"/>
      <c r="U779" s="143"/>
      <c r="V779" s="143"/>
      <c r="W779" s="143"/>
      <c r="X779" s="143"/>
    </row>
    <row r="780" spans="1:24" ht="15" customHeight="1" x14ac:dyDescent="0.25">
      <c r="A780" s="55"/>
      <c r="B780" s="55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143"/>
      <c r="N780" s="143"/>
      <c r="O780" s="28"/>
      <c r="P780" s="28"/>
      <c r="Q780" s="28"/>
      <c r="R780" s="143"/>
      <c r="S780" s="143"/>
      <c r="T780" s="143"/>
      <c r="U780" s="143"/>
      <c r="V780" s="143"/>
      <c r="W780" s="143"/>
      <c r="X780" s="143"/>
    </row>
    <row r="781" spans="1:24" ht="15" customHeight="1" x14ac:dyDescent="0.25">
      <c r="A781" s="55"/>
      <c r="B781" s="55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143"/>
      <c r="N781" s="143"/>
      <c r="O781" s="28"/>
      <c r="P781" s="28"/>
      <c r="Q781" s="28"/>
      <c r="R781" s="143"/>
      <c r="S781" s="143"/>
      <c r="T781" s="143"/>
      <c r="U781" s="143"/>
      <c r="V781" s="143"/>
      <c r="W781" s="143"/>
      <c r="X781" s="143"/>
    </row>
    <row r="782" spans="1:24" ht="15" customHeight="1" x14ac:dyDescent="0.25">
      <c r="A782" s="55"/>
      <c r="B782" s="55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143"/>
      <c r="N782" s="143"/>
      <c r="O782" s="28"/>
      <c r="P782" s="28"/>
      <c r="Q782" s="28"/>
      <c r="R782" s="143"/>
      <c r="S782" s="143"/>
      <c r="T782" s="143"/>
      <c r="U782" s="143"/>
      <c r="V782" s="143"/>
      <c r="W782" s="143"/>
      <c r="X782" s="143"/>
    </row>
    <row r="783" spans="1:24" ht="15" customHeight="1" x14ac:dyDescent="0.25">
      <c r="A783" s="55"/>
      <c r="B783" s="55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143"/>
      <c r="N783" s="143"/>
      <c r="O783" s="28"/>
      <c r="P783" s="28"/>
      <c r="Q783" s="28"/>
      <c r="R783" s="143"/>
      <c r="S783" s="143"/>
      <c r="T783" s="143"/>
      <c r="U783" s="143"/>
      <c r="V783" s="143"/>
      <c r="W783" s="143"/>
      <c r="X783" s="143"/>
    </row>
    <row r="784" spans="1:24" ht="15" customHeight="1" x14ac:dyDescent="0.25">
      <c r="A784" s="55"/>
      <c r="B784" s="55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143"/>
      <c r="N784" s="143"/>
      <c r="O784" s="28"/>
      <c r="P784" s="28"/>
      <c r="Q784" s="28"/>
      <c r="R784" s="143"/>
      <c r="S784" s="143"/>
      <c r="T784" s="143"/>
      <c r="U784" s="143"/>
      <c r="V784" s="143"/>
      <c r="W784" s="143"/>
      <c r="X784" s="143"/>
    </row>
    <row r="785" spans="1:24" ht="15" customHeight="1" x14ac:dyDescent="0.25">
      <c r="A785" s="55"/>
      <c r="B785" s="55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143"/>
      <c r="N785" s="143"/>
      <c r="O785" s="28"/>
      <c r="P785" s="28"/>
      <c r="Q785" s="28"/>
      <c r="R785" s="143"/>
      <c r="S785" s="143"/>
      <c r="T785" s="143"/>
      <c r="U785" s="143"/>
      <c r="V785" s="143"/>
      <c r="W785" s="143"/>
      <c r="X785" s="143"/>
    </row>
    <row r="786" spans="1:24" ht="15" customHeight="1" x14ac:dyDescent="0.25">
      <c r="A786" s="55"/>
      <c r="B786" s="55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143"/>
      <c r="N786" s="143"/>
      <c r="O786" s="28"/>
      <c r="P786" s="28"/>
      <c r="Q786" s="28"/>
      <c r="R786" s="143"/>
      <c r="S786" s="143"/>
      <c r="T786" s="143"/>
      <c r="U786" s="143"/>
      <c r="V786" s="143"/>
      <c r="W786" s="143"/>
      <c r="X786" s="143"/>
    </row>
    <row r="787" spans="1:24" ht="15" customHeight="1" x14ac:dyDescent="0.25">
      <c r="A787" s="55"/>
      <c r="B787" s="55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143"/>
      <c r="N787" s="143"/>
      <c r="O787" s="28"/>
      <c r="P787" s="28"/>
      <c r="Q787" s="28"/>
      <c r="R787" s="143"/>
      <c r="S787" s="143"/>
      <c r="T787" s="143"/>
      <c r="U787" s="143"/>
      <c r="V787" s="143"/>
      <c r="W787" s="143"/>
      <c r="X787" s="143"/>
    </row>
    <row r="788" spans="1:24" ht="15" customHeight="1" x14ac:dyDescent="0.25">
      <c r="A788" s="55"/>
      <c r="B788" s="55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143"/>
      <c r="N788" s="143"/>
      <c r="O788" s="28"/>
      <c r="P788" s="28"/>
      <c r="Q788" s="28"/>
      <c r="R788" s="143"/>
      <c r="S788" s="143"/>
      <c r="T788" s="143"/>
      <c r="U788" s="143"/>
      <c r="V788" s="143"/>
      <c r="W788" s="143"/>
      <c r="X788" s="143"/>
    </row>
    <row r="789" spans="1:24" ht="15" customHeight="1" x14ac:dyDescent="0.25">
      <c r="A789" s="55"/>
      <c r="B789" s="55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143"/>
      <c r="N789" s="143"/>
      <c r="O789" s="28"/>
      <c r="P789" s="28"/>
      <c r="Q789" s="28"/>
      <c r="R789" s="143"/>
      <c r="S789" s="143"/>
      <c r="T789" s="143"/>
      <c r="U789" s="143"/>
      <c r="V789" s="143"/>
      <c r="W789" s="143"/>
      <c r="X789" s="143"/>
    </row>
    <row r="790" spans="1:24" ht="15" customHeight="1" x14ac:dyDescent="0.25">
      <c r="A790" s="55"/>
      <c r="B790" s="55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143"/>
      <c r="N790" s="143"/>
      <c r="O790" s="28"/>
      <c r="P790" s="28"/>
      <c r="Q790" s="28"/>
      <c r="R790" s="143"/>
      <c r="S790" s="143"/>
      <c r="T790" s="143"/>
      <c r="U790" s="143"/>
      <c r="V790" s="143"/>
      <c r="W790" s="143"/>
      <c r="X790" s="143"/>
    </row>
    <row r="791" spans="1:24" ht="15" customHeight="1" x14ac:dyDescent="0.25">
      <c r="A791" s="55"/>
      <c r="B791" s="55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143"/>
      <c r="N791" s="143"/>
      <c r="O791" s="28"/>
      <c r="P791" s="28"/>
      <c r="Q791" s="28"/>
      <c r="R791" s="143"/>
      <c r="S791" s="143"/>
      <c r="T791" s="143"/>
      <c r="U791" s="143"/>
      <c r="V791" s="143"/>
      <c r="W791" s="143"/>
      <c r="X791" s="143"/>
    </row>
    <row r="792" spans="1:24" ht="15" customHeight="1" x14ac:dyDescent="0.25">
      <c r="A792" s="55"/>
      <c r="B792" s="55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143"/>
      <c r="N792" s="143"/>
      <c r="O792" s="28"/>
      <c r="P792" s="28"/>
      <c r="Q792" s="28"/>
      <c r="R792" s="143"/>
      <c r="S792" s="143"/>
      <c r="T792" s="143"/>
      <c r="U792" s="143"/>
      <c r="V792" s="143"/>
      <c r="W792" s="143"/>
      <c r="X792" s="143"/>
    </row>
    <row r="793" spans="1:24" ht="15" customHeight="1" x14ac:dyDescent="0.25">
      <c r="A793" s="55"/>
      <c r="B793" s="55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143"/>
      <c r="N793" s="143"/>
      <c r="O793" s="28"/>
      <c r="P793" s="28"/>
      <c r="Q793" s="28"/>
      <c r="R793" s="143"/>
      <c r="S793" s="143"/>
      <c r="T793" s="143"/>
      <c r="U793" s="143"/>
      <c r="V793" s="143"/>
      <c r="W793" s="143"/>
      <c r="X793" s="143"/>
    </row>
    <row r="794" spans="1:24" ht="15" customHeight="1" x14ac:dyDescent="0.25">
      <c r="A794" s="55"/>
      <c r="B794" s="55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143"/>
      <c r="N794" s="143"/>
      <c r="O794" s="28"/>
      <c r="P794" s="28"/>
      <c r="Q794" s="28"/>
      <c r="R794" s="143"/>
      <c r="S794" s="143"/>
      <c r="T794" s="143"/>
      <c r="U794" s="143"/>
      <c r="V794" s="143"/>
      <c r="W794" s="143"/>
      <c r="X794" s="143"/>
    </row>
    <row r="795" spans="1:24" ht="15" customHeight="1" x14ac:dyDescent="0.25">
      <c r="A795" s="55"/>
      <c r="B795" s="55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143"/>
      <c r="N795" s="143"/>
      <c r="O795" s="28"/>
      <c r="P795" s="28"/>
      <c r="Q795" s="28"/>
      <c r="R795" s="143"/>
      <c r="S795" s="143"/>
      <c r="T795" s="143"/>
      <c r="U795" s="143"/>
      <c r="V795" s="143"/>
      <c r="W795" s="143"/>
      <c r="X795" s="143"/>
    </row>
    <row r="796" spans="1:24" ht="15" customHeight="1" x14ac:dyDescent="0.25">
      <c r="A796" s="55"/>
      <c r="B796" s="55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143"/>
      <c r="N796" s="143"/>
      <c r="O796" s="28"/>
      <c r="P796" s="28"/>
      <c r="Q796" s="28"/>
      <c r="R796" s="143"/>
      <c r="S796" s="143"/>
      <c r="T796" s="143"/>
      <c r="U796" s="143"/>
      <c r="V796" s="143"/>
      <c r="W796" s="143"/>
      <c r="X796" s="143"/>
    </row>
    <row r="797" spans="1:24" ht="15" customHeight="1" x14ac:dyDescent="0.25">
      <c r="A797" s="55"/>
      <c r="B797" s="55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143"/>
      <c r="N797" s="143"/>
      <c r="O797" s="28"/>
      <c r="P797" s="28"/>
      <c r="Q797" s="28"/>
      <c r="R797" s="143"/>
      <c r="S797" s="143"/>
      <c r="T797" s="143"/>
      <c r="U797" s="143"/>
      <c r="V797" s="143"/>
      <c r="W797" s="143"/>
      <c r="X797" s="143"/>
    </row>
    <row r="798" spans="1:24" ht="15" customHeight="1" x14ac:dyDescent="0.25">
      <c r="A798" s="55"/>
      <c r="B798" s="55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143"/>
      <c r="N798" s="143"/>
      <c r="O798" s="28"/>
      <c r="P798" s="28"/>
      <c r="Q798" s="28"/>
      <c r="R798" s="143"/>
      <c r="S798" s="143"/>
      <c r="T798" s="143"/>
      <c r="U798" s="143"/>
      <c r="V798" s="143"/>
      <c r="W798" s="143"/>
      <c r="X798" s="143"/>
    </row>
    <row r="799" spans="1:24" ht="15" customHeight="1" x14ac:dyDescent="0.25">
      <c r="A799" s="55"/>
      <c r="B799" s="55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143"/>
      <c r="N799" s="143"/>
      <c r="O799" s="28"/>
      <c r="P799" s="28"/>
      <c r="Q799" s="28"/>
      <c r="R799" s="143"/>
      <c r="S799" s="143"/>
      <c r="T799" s="143"/>
      <c r="U799" s="143"/>
      <c r="V799" s="143"/>
      <c r="W799" s="143"/>
      <c r="X799" s="143"/>
    </row>
    <row r="800" spans="1:24" ht="15" customHeight="1" x14ac:dyDescent="0.25">
      <c r="A800" s="55"/>
      <c r="B800" s="55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143"/>
      <c r="N800" s="143"/>
      <c r="O800" s="28"/>
      <c r="P800" s="28"/>
      <c r="Q800" s="28"/>
      <c r="R800" s="143"/>
      <c r="S800" s="143"/>
      <c r="T800" s="143"/>
      <c r="U800" s="143"/>
      <c r="V800" s="143"/>
      <c r="W800" s="143"/>
      <c r="X800" s="143"/>
    </row>
    <row r="801" spans="1:24" ht="15" customHeight="1" x14ac:dyDescent="0.25">
      <c r="A801" s="55"/>
      <c r="B801" s="55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143"/>
      <c r="N801" s="143"/>
      <c r="O801" s="28"/>
      <c r="P801" s="28"/>
      <c r="Q801" s="28"/>
      <c r="R801" s="143"/>
      <c r="S801" s="143"/>
      <c r="T801" s="143"/>
      <c r="U801" s="143"/>
      <c r="V801" s="143"/>
      <c r="W801" s="143"/>
      <c r="X801" s="143"/>
    </row>
    <row r="802" spans="1:24" ht="15" customHeight="1" x14ac:dyDescent="0.25">
      <c r="A802" s="55"/>
      <c r="B802" s="55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143"/>
      <c r="N802" s="143"/>
      <c r="O802" s="28"/>
      <c r="P802" s="28"/>
      <c r="Q802" s="28"/>
      <c r="R802" s="143"/>
      <c r="S802" s="143"/>
      <c r="T802" s="143"/>
      <c r="U802" s="143"/>
      <c r="V802" s="143"/>
      <c r="W802" s="143"/>
      <c r="X802" s="143"/>
    </row>
    <row r="803" spans="1:24" ht="15" customHeight="1" x14ac:dyDescent="0.25">
      <c r="A803" s="55"/>
      <c r="B803" s="55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143"/>
      <c r="N803" s="143"/>
      <c r="O803" s="28"/>
      <c r="P803" s="28"/>
      <c r="Q803" s="28"/>
      <c r="R803" s="143"/>
      <c r="S803" s="143"/>
      <c r="T803" s="143"/>
      <c r="U803" s="143"/>
      <c r="V803" s="143"/>
      <c r="W803" s="143"/>
      <c r="X803" s="143"/>
    </row>
    <row r="804" spans="1:24" ht="15" customHeight="1" x14ac:dyDescent="0.25">
      <c r="A804" s="55"/>
      <c r="B804" s="55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143"/>
      <c r="N804" s="143"/>
      <c r="O804" s="28"/>
      <c r="P804" s="28"/>
      <c r="Q804" s="28"/>
      <c r="R804" s="143"/>
      <c r="S804" s="143"/>
      <c r="T804" s="143"/>
      <c r="U804" s="143"/>
      <c r="V804" s="143"/>
      <c r="W804" s="143"/>
      <c r="X804" s="143"/>
    </row>
    <row r="805" spans="1:24" ht="15" customHeight="1" x14ac:dyDescent="0.25">
      <c r="A805" s="55"/>
      <c r="B805" s="55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143"/>
      <c r="N805" s="143"/>
      <c r="O805" s="28"/>
      <c r="P805" s="28"/>
      <c r="Q805" s="28"/>
      <c r="R805" s="143"/>
      <c r="S805" s="143"/>
      <c r="T805" s="143"/>
      <c r="U805" s="143"/>
      <c r="V805" s="143"/>
      <c r="W805" s="143"/>
      <c r="X805" s="143"/>
    </row>
    <row r="806" spans="1:24" ht="15" customHeight="1" x14ac:dyDescent="0.25">
      <c r="A806" s="55"/>
      <c r="B806" s="55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143"/>
      <c r="N806" s="143"/>
      <c r="O806" s="28"/>
      <c r="P806" s="28"/>
      <c r="Q806" s="28"/>
      <c r="R806" s="143"/>
      <c r="S806" s="143"/>
      <c r="T806" s="143"/>
      <c r="U806" s="143"/>
      <c r="V806" s="143"/>
      <c r="W806" s="143"/>
      <c r="X806" s="143"/>
    </row>
    <row r="807" spans="1:24" ht="15" customHeight="1" x14ac:dyDescent="0.25">
      <c r="A807" s="55"/>
      <c r="B807" s="55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143"/>
      <c r="N807" s="143"/>
      <c r="O807" s="28"/>
      <c r="P807" s="28"/>
      <c r="Q807" s="28"/>
      <c r="R807" s="143"/>
      <c r="S807" s="143"/>
      <c r="T807" s="143"/>
      <c r="U807" s="143"/>
      <c r="V807" s="143"/>
      <c r="W807" s="143"/>
      <c r="X807" s="143"/>
    </row>
    <row r="808" spans="1:24" ht="15" customHeight="1" x14ac:dyDescent="0.25">
      <c r="A808" s="55"/>
      <c r="B808" s="55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143"/>
      <c r="N808" s="143"/>
      <c r="O808" s="28"/>
      <c r="P808" s="28"/>
      <c r="Q808" s="28"/>
      <c r="R808" s="143"/>
      <c r="S808" s="143"/>
      <c r="T808" s="143"/>
      <c r="U808" s="143"/>
      <c r="V808" s="143"/>
      <c r="W808" s="143"/>
      <c r="X808" s="143"/>
    </row>
    <row r="809" spans="1:24" ht="15" customHeight="1" x14ac:dyDescent="0.25">
      <c r="A809" s="55"/>
      <c r="B809" s="55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143"/>
      <c r="N809" s="143"/>
      <c r="O809" s="28"/>
      <c r="P809" s="28"/>
      <c r="Q809" s="28"/>
      <c r="R809" s="143"/>
      <c r="S809" s="143"/>
      <c r="T809" s="143"/>
      <c r="U809" s="143"/>
      <c r="V809" s="143"/>
      <c r="W809" s="143"/>
      <c r="X809" s="143"/>
    </row>
    <row r="810" spans="1:24" ht="15" customHeight="1" x14ac:dyDescent="0.25">
      <c r="A810" s="55"/>
      <c r="B810" s="55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143"/>
      <c r="N810" s="143"/>
      <c r="O810" s="28"/>
      <c r="P810" s="28"/>
      <c r="Q810" s="28"/>
      <c r="R810" s="143"/>
      <c r="S810" s="143"/>
      <c r="T810" s="143"/>
      <c r="U810" s="143"/>
      <c r="V810" s="143"/>
      <c r="W810" s="143"/>
      <c r="X810" s="143"/>
    </row>
    <row r="811" spans="1:24" ht="15" customHeight="1" x14ac:dyDescent="0.25">
      <c r="A811" s="55"/>
      <c r="B811" s="55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143"/>
      <c r="N811" s="143"/>
      <c r="O811" s="28"/>
      <c r="P811" s="28"/>
      <c r="Q811" s="28"/>
      <c r="R811" s="143"/>
      <c r="S811" s="143"/>
      <c r="T811" s="143"/>
      <c r="U811" s="143"/>
      <c r="V811" s="143"/>
      <c r="W811" s="143"/>
      <c r="X811" s="143"/>
    </row>
    <row r="812" spans="1:24" ht="15" customHeight="1" x14ac:dyDescent="0.25">
      <c r="A812" s="55"/>
      <c r="B812" s="55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143"/>
      <c r="N812" s="143"/>
      <c r="O812" s="28"/>
      <c r="P812" s="28"/>
      <c r="Q812" s="28"/>
      <c r="R812" s="143"/>
      <c r="S812" s="143"/>
      <c r="T812" s="143"/>
      <c r="U812" s="143"/>
      <c r="V812" s="143"/>
      <c r="W812" s="143"/>
      <c r="X812" s="143"/>
    </row>
    <row r="813" spans="1:24" ht="15" customHeight="1" x14ac:dyDescent="0.25">
      <c r="A813" s="55"/>
      <c r="B813" s="55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143"/>
      <c r="N813" s="143"/>
      <c r="O813" s="28"/>
      <c r="P813" s="28"/>
      <c r="Q813" s="28"/>
      <c r="R813" s="143"/>
      <c r="S813" s="143"/>
      <c r="T813" s="143"/>
      <c r="U813" s="143"/>
      <c r="V813" s="143"/>
      <c r="W813" s="143"/>
      <c r="X813" s="143"/>
    </row>
    <row r="814" spans="1:24" ht="15" customHeight="1" x14ac:dyDescent="0.25">
      <c r="A814" s="55"/>
      <c r="B814" s="55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143"/>
      <c r="N814" s="143"/>
      <c r="O814" s="28"/>
      <c r="P814" s="28"/>
      <c r="Q814" s="28"/>
      <c r="R814" s="143"/>
      <c r="S814" s="143"/>
      <c r="T814" s="143"/>
      <c r="U814" s="143"/>
      <c r="V814" s="143"/>
      <c r="W814" s="143"/>
      <c r="X814" s="143"/>
    </row>
    <row r="815" spans="1:24" ht="15" customHeight="1" x14ac:dyDescent="0.25">
      <c r="A815" s="55"/>
      <c r="B815" s="55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143"/>
      <c r="N815" s="143"/>
      <c r="O815" s="28"/>
      <c r="P815" s="28"/>
      <c r="Q815" s="28"/>
      <c r="R815" s="143"/>
      <c r="S815" s="143"/>
      <c r="T815" s="143"/>
      <c r="U815" s="143"/>
      <c r="V815" s="143"/>
      <c r="W815" s="143"/>
      <c r="X815" s="143"/>
    </row>
    <row r="816" spans="1:24" ht="15" customHeight="1" x14ac:dyDescent="0.25">
      <c r="A816" s="55"/>
      <c r="B816" s="55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143"/>
      <c r="N816" s="143"/>
      <c r="O816" s="28"/>
      <c r="P816" s="28"/>
      <c r="Q816" s="28"/>
      <c r="R816" s="143"/>
      <c r="S816" s="143"/>
      <c r="T816" s="143"/>
      <c r="U816" s="143"/>
      <c r="V816" s="143"/>
      <c r="W816" s="143"/>
      <c r="X816" s="143"/>
    </row>
    <row r="817" spans="1:24" ht="15" customHeight="1" x14ac:dyDescent="0.25">
      <c r="A817" s="55"/>
      <c r="B817" s="55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143"/>
      <c r="N817" s="143"/>
      <c r="O817" s="28"/>
      <c r="P817" s="28"/>
      <c r="Q817" s="28"/>
      <c r="R817" s="143"/>
      <c r="S817" s="143"/>
      <c r="T817" s="143"/>
      <c r="U817" s="143"/>
      <c r="V817" s="143"/>
      <c r="W817" s="143"/>
      <c r="X817" s="143"/>
    </row>
    <row r="818" spans="1:24" ht="15" customHeight="1" x14ac:dyDescent="0.25">
      <c r="A818" s="55"/>
      <c r="B818" s="55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143"/>
      <c r="N818" s="143"/>
      <c r="O818" s="28"/>
      <c r="P818" s="28"/>
      <c r="Q818" s="28"/>
      <c r="R818" s="143"/>
      <c r="S818" s="143"/>
      <c r="T818" s="143"/>
      <c r="U818" s="143"/>
      <c r="V818" s="143"/>
      <c r="W818" s="143"/>
      <c r="X818" s="143"/>
    </row>
    <row r="819" spans="1:24" ht="15" customHeight="1" x14ac:dyDescent="0.25">
      <c r="A819" s="55"/>
      <c r="B819" s="55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143"/>
      <c r="N819" s="143"/>
      <c r="O819" s="28"/>
      <c r="P819" s="28"/>
      <c r="Q819" s="28"/>
      <c r="R819" s="143"/>
      <c r="S819" s="143"/>
      <c r="T819" s="143"/>
      <c r="U819" s="143"/>
      <c r="V819" s="143"/>
      <c r="W819" s="143"/>
      <c r="X819" s="143"/>
    </row>
    <row r="820" spans="1:24" ht="15" customHeight="1" x14ac:dyDescent="0.25">
      <c r="A820" s="55"/>
      <c r="B820" s="55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143"/>
      <c r="N820" s="143"/>
      <c r="O820" s="28"/>
      <c r="P820" s="28"/>
      <c r="Q820" s="28"/>
      <c r="R820" s="143"/>
      <c r="S820" s="143"/>
      <c r="T820" s="143"/>
      <c r="U820" s="143"/>
      <c r="V820" s="143"/>
      <c r="W820" s="143"/>
      <c r="X820" s="143"/>
    </row>
    <row r="821" spans="1:24" ht="15" customHeight="1" x14ac:dyDescent="0.25">
      <c r="A821" s="55"/>
      <c r="B821" s="55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143"/>
      <c r="N821" s="143"/>
      <c r="O821" s="28"/>
      <c r="P821" s="28"/>
      <c r="Q821" s="28"/>
      <c r="R821" s="143"/>
      <c r="S821" s="143"/>
      <c r="T821" s="143"/>
      <c r="U821" s="143"/>
      <c r="V821" s="143"/>
      <c r="W821" s="143"/>
      <c r="X821" s="143"/>
    </row>
    <row r="822" spans="1:24" ht="15" customHeight="1" x14ac:dyDescent="0.25">
      <c r="A822" s="55"/>
      <c r="B822" s="55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143"/>
      <c r="N822" s="143"/>
      <c r="O822" s="28"/>
      <c r="P822" s="28"/>
      <c r="Q822" s="28"/>
      <c r="R822" s="143"/>
      <c r="S822" s="143"/>
      <c r="T822" s="143"/>
      <c r="U822" s="143"/>
      <c r="V822" s="143"/>
      <c r="W822" s="143"/>
      <c r="X822" s="143"/>
    </row>
    <row r="823" spans="1:24" ht="15" customHeight="1" x14ac:dyDescent="0.25">
      <c r="A823" s="55"/>
      <c r="B823" s="55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143"/>
      <c r="N823" s="143"/>
      <c r="O823" s="28"/>
      <c r="P823" s="28"/>
      <c r="Q823" s="28"/>
      <c r="R823" s="143"/>
      <c r="S823" s="143"/>
      <c r="T823" s="143"/>
      <c r="U823" s="143"/>
      <c r="V823" s="143"/>
      <c r="W823" s="143"/>
      <c r="X823" s="143"/>
    </row>
    <row r="824" spans="1:24" ht="15" customHeight="1" x14ac:dyDescent="0.25">
      <c r="A824" s="55"/>
      <c r="B824" s="55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143"/>
      <c r="N824" s="143"/>
      <c r="O824" s="28"/>
      <c r="P824" s="28"/>
      <c r="Q824" s="28"/>
      <c r="R824" s="143"/>
      <c r="S824" s="143"/>
      <c r="T824" s="143"/>
      <c r="U824" s="143"/>
      <c r="V824" s="143"/>
      <c r="W824" s="143"/>
      <c r="X824" s="143"/>
    </row>
    <row r="825" spans="1:24" ht="15" customHeight="1" x14ac:dyDescent="0.25">
      <c r="A825" s="55"/>
      <c r="B825" s="55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143"/>
      <c r="N825" s="143"/>
      <c r="O825" s="28"/>
      <c r="P825" s="28"/>
      <c r="Q825" s="28"/>
      <c r="R825" s="143"/>
      <c r="S825" s="143"/>
      <c r="T825" s="143"/>
      <c r="U825" s="143"/>
      <c r="V825" s="143"/>
      <c r="W825" s="143"/>
      <c r="X825" s="143"/>
    </row>
    <row r="826" spans="1:24" ht="15" customHeight="1" x14ac:dyDescent="0.25">
      <c r="A826" s="55"/>
      <c r="B826" s="55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143"/>
      <c r="N826" s="143"/>
      <c r="O826" s="28"/>
      <c r="P826" s="28"/>
      <c r="Q826" s="28"/>
      <c r="R826" s="143"/>
      <c r="S826" s="143"/>
      <c r="T826" s="143"/>
      <c r="U826" s="143"/>
      <c r="V826" s="143"/>
      <c r="W826" s="143"/>
      <c r="X826" s="143"/>
    </row>
    <row r="827" spans="1:24" ht="15" customHeight="1" x14ac:dyDescent="0.25">
      <c r="A827" s="55"/>
      <c r="B827" s="55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143"/>
      <c r="N827" s="143"/>
      <c r="O827" s="28"/>
      <c r="P827" s="28"/>
      <c r="Q827" s="28"/>
      <c r="R827" s="143"/>
      <c r="S827" s="143"/>
      <c r="T827" s="143"/>
      <c r="U827" s="143"/>
      <c r="V827" s="143"/>
      <c r="W827" s="143"/>
      <c r="X827" s="143"/>
    </row>
    <row r="828" spans="1:24" ht="15" customHeight="1" x14ac:dyDescent="0.25">
      <c r="A828" s="55"/>
      <c r="B828" s="55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143"/>
      <c r="N828" s="143"/>
      <c r="O828" s="28"/>
      <c r="P828" s="28"/>
      <c r="Q828" s="28"/>
      <c r="R828" s="143"/>
      <c r="S828" s="143"/>
      <c r="T828" s="143"/>
      <c r="U828" s="143"/>
      <c r="V828" s="143"/>
      <c r="W828" s="143"/>
      <c r="X828" s="143"/>
    </row>
    <row r="829" spans="1:24" ht="15" customHeight="1" x14ac:dyDescent="0.25">
      <c r="A829" s="55"/>
      <c r="B829" s="55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143"/>
      <c r="N829" s="143"/>
      <c r="O829" s="28"/>
      <c r="P829" s="28"/>
      <c r="Q829" s="28"/>
      <c r="R829" s="143"/>
      <c r="S829" s="143"/>
      <c r="T829" s="143"/>
      <c r="U829" s="143"/>
      <c r="V829" s="143"/>
      <c r="W829" s="143"/>
      <c r="X829" s="143"/>
    </row>
    <row r="830" spans="1:24" ht="15" customHeight="1" x14ac:dyDescent="0.25">
      <c r="A830" s="55"/>
      <c r="B830" s="55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143"/>
      <c r="N830" s="143"/>
      <c r="O830" s="28"/>
      <c r="P830" s="28"/>
      <c r="Q830" s="28"/>
      <c r="R830" s="143"/>
      <c r="S830" s="143"/>
      <c r="T830" s="143"/>
      <c r="U830" s="143"/>
      <c r="V830" s="143"/>
      <c r="W830" s="143"/>
      <c r="X830" s="143"/>
    </row>
    <row r="831" spans="1:24" ht="15" customHeight="1" x14ac:dyDescent="0.25">
      <c r="A831" s="55"/>
      <c r="B831" s="55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143"/>
      <c r="N831" s="143"/>
      <c r="O831" s="28"/>
      <c r="P831" s="28"/>
      <c r="Q831" s="28"/>
      <c r="R831" s="143"/>
      <c r="S831" s="143"/>
      <c r="T831" s="143"/>
      <c r="U831" s="143"/>
      <c r="V831" s="143"/>
      <c r="W831" s="143"/>
      <c r="X831" s="143"/>
    </row>
    <row r="832" spans="1:24" ht="15" customHeight="1" x14ac:dyDescent="0.25">
      <c r="A832" s="55"/>
      <c r="B832" s="55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143"/>
      <c r="N832" s="143"/>
      <c r="O832" s="28"/>
      <c r="P832" s="28"/>
      <c r="Q832" s="28"/>
      <c r="R832" s="143"/>
      <c r="S832" s="143"/>
      <c r="T832" s="143"/>
      <c r="U832" s="143"/>
      <c r="V832" s="143"/>
      <c r="W832" s="143"/>
      <c r="X832" s="143"/>
    </row>
    <row r="833" spans="1:24" ht="15" customHeight="1" x14ac:dyDescent="0.25">
      <c r="A833" s="55"/>
      <c r="B833" s="55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143"/>
      <c r="N833" s="143"/>
      <c r="O833" s="28"/>
      <c r="P833" s="28"/>
      <c r="Q833" s="28"/>
      <c r="R833" s="143"/>
      <c r="S833" s="143"/>
      <c r="T833" s="143"/>
      <c r="U833" s="143"/>
      <c r="V833" s="143"/>
      <c r="W833" s="143"/>
      <c r="X833" s="143"/>
    </row>
    <row r="834" spans="1:24" ht="15" customHeight="1" x14ac:dyDescent="0.25">
      <c r="A834" s="55"/>
      <c r="B834" s="55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143"/>
      <c r="N834" s="143"/>
      <c r="O834" s="28"/>
      <c r="P834" s="28"/>
      <c r="Q834" s="28"/>
      <c r="R834" s="143"/>
      <c r="S834" s="143"/>
      <c r="T834" s="143"/>
      <c r="U834" s="143"/>
      <c r="V834" s="143"/>
      <c r="W834" s="143"/>
      <c r="X834" s="143"/>
    </row>
    <row r="835" spans="1:24" ht="15" customHeight="1" x14ac:dyDescent="0.25">
      <c r="A835" s="55"/>
      <c r="B835" s="55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143"/>
      <c r="N835" s="143"/>
      <c r="O835" s="28"/>
      <c r="P835" s="28"/>
      <c r="Q835" s="28"/>
      <c r="R835" s="143"/>
      <c r="S835" s="143"/>
      <c r="T835" s="143"/>
      <c r="U835" s="143"/>
      <c r="V835" s="143"/>
      <c r="W835" s="143"/>
      <c r="X835" s="143"/>
    </row>
    <row r="836" spans="1:24" ht="15" customHeight="1" x14ac:dyDescent="0.25">
      <c r="A836" s="55"/>
      <c r="B836" s="55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143"/>
      <c r="N836" s="143"/>
      <c r="O836" s="28"/>
      <c r="P836" s="28"/>
      <c r="Q836" s="28"/>
      <c r="R836" s="143"/>
      <c r="S836" s="143"/>
      <c r="T836" s="143"/>
      <c r="U836" s="143"/>
      <c r="V836" s="143"/>
      <c r="W836" s="143"/>
      <c r="X836" s="143"/>
    </row>
    <row r="837" spans="1:24" ht="15" customHeight="1" x14ac:dyDescent="0.25">
      <c r="A837" s="55"/>
      <c r="B837" s="55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143"/>
      <c r="N837" s="143"/>
      <c r="O837" s="28"/>
      <c r="P837" s="28"/>
      <c r="Q837" s="28"/>
      <c r="R837" s="143"/>
      <c r="S837" s="143"/>
      <c r="T837" s="143"/>
      <c r="U837" s="143"/>
      <c r="V837" s="143"/>
      <c r="W837" s="143"/>
      <c r="X837" s="143"/>
    </row>
    <row r="838" spans="1:24" ht="15" customHeight="1" x14ac:dyDescent="0.25">
      <c r="A838" s="55"/>
      <c r="B838" s="55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143"/>
      <c r="N838" s="143"/>
      <c r="O838" s="28"/>
      <c r="P838" s="28"/>
      <c r="Q838" s="28"/>
      <c r="R838" s="143"/>
      <c r="S838" s="143"/>
      <c r="T838" s="143"/>
      <c r="U838" s="143"/>
      <c r="V838" s="143"/>
      <c r="W838" s="143"/>
      <c r="X838" s="143"/>
    </row>
    <row r="839" spans="1:24" ht="15" customHeight="1" x14ac:dyDescent="0.25">
      <c r="A839" s="55"/>
      <c r="B839" s="55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143"/>
      <c r="N839" s="143"/>
      <c r="O839" s="28"/>
      <c r="P839" s="28"/>
      <c r="Q839" s="28"/>
      <c r="R839" s="143"/>
      <c r="S839" s="143"/>
      <c r="T839" s="143"/>
      <c r="U839" s="143"/>
      <c r="V839" s="143"/>
      <c r="W839" s="143"/>
      <c r="X839" s="143"/>
    </row>
    <row r="840" spans="1:24" ht="15" customHeight="1" x14ac:dyDescent="0.25">
      <c r="A840" s="55"/>
      <c r="B840" s="55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143"/>
      <c r="N840" s="143"/>
      <c r="O840" s="28"/>
      <c r="P840" s="28"/>
      <c r="Q840" s="28"/>
      <c r="R840" s="143"/>
      <c r="S840" s="143"/>
      <c r="T840" s="143"/>
      <c r="U840" s="143"/>
      <c r="V840" s="143"/>
      <c r="W840" s="143"/>
      <c r="X840" s="143"/>
    </row>
    <row r="841" spans="1:24" ht="15" customHeight="1" x14ac:dyDescent="0.25">
      <c r="A841" s="55"/>
      <c r="B841" s="55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143"/>
      <c r="N841" s="143"/>
      <c r="O841" s="28"/>
      <c r="P841" s="28"/>
      <c r="Q841" s="28"/>
      <c r="R841" s="143"/>
      <c r="S841" s="143"/>
      <c r="T841" s="143"/>
      <c r="U841" s="143"/>
      <c r="V841" s="143"/>
      <c r="W841" s="143"/>
      <c r="X841" s="143"/>
    </row>
    <row r="842" spans="1:24" ht="15" customHeight="1" x14ac:dyDescent="0.25">
      <c r="A842" s="55"/>
      <c r="B842" s="55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143"/>
      <c r="N842" s="143"/>
      <c r="O842" s="28"/>
      <c r="P842" s="28"/>
      <c r="Q842" s="28"/>
      <c r="R842" s="143"/>
      <c r="S842" s="143"/>
      <c r="T842" s="143"/>
      <c r="U842" s="143"/>
      <c r="V842" s="143"/>
      <c r="W842" s="143"/>
      <c r="X842" s="143"/>
    </row>
    <row r="843" spans="1:24" ht="15" customHeight="1" x14ac:dyDescent="0.25">
      <c r="A843" s="55"/>
      <c r="B843" s="55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143"/>
      <c r="N843" s="143"/>
      <c r="O843" s="28"/>
      <c r="P843" s="28"/>
      <c r="Q843" s="28"/>
      <c r="R843" s="143"/>
      <c r="S843" s="143"/>
      <c r="T843" s="143"/>
      <c r="U843" s="143"/>
      <c r="V843" s="143"/>
      <c r="W843" s="143"/>
      <c r="X843" s="143"/>
    </row>
    <row r="844" spans="1:24" ht="15" customHeight="1" x14ac:dyDescent="0.25">
      <c r="A844" s="55"/>
      <c r="B844" s="55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143"/>
      <c r="N844" s="143"/>
      <c r="O844" s="28"/>
      <c r="P844" s="28"/>
      <c r="Q844" s="28"/>
      <c r="R844" s="143"/>
      <c r="S844" s="143"/>
      <c r="T844" s="143"/>
      <c r="U844" s="143"/>
      <c r="V844" s="143"/>
      <c r="W844" s="143"/>
      <c r="X844" s="143"/>
    </row>
    <row r="845" spans="1:24" ht="15" customHeight="1" x14ac:dyDescent="0.25">
      <c r="A845" s="55"/>
      <c r="B845" s="55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143"/>
      <c r="N845" s="143"/>
      <c r="O845" s="28"/>
      <c r="P845" s="28"/>
      <c r="Q845" s="28"/>
      <c r="R845" s="143"/>
      <c r="S845" s="143"/>
      <c r="T845" s="143"/>
      <c r="U845" s="143"/>
      <c r="V845" s="143"/>
      <c r="W845" s="143"/>
      <c r="X845" s="143"/>
    </row>
    <row r="846" spans="1:24" ht="15" customHeight="1" x14ac:dyDescent="0.25">
      <c r="A846" s="55"/>
      <c r="B846" s="55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143"/>
      <c r="N846" s="143"/>
      <c r="O846" s="28"/>
      <c r="P846" s="28"/>
      <c r="Q846" s="28"/>
      <c r="R846" s="143"/>
      <c r="S846" s="143"/>
      <c r="T846" s="143"/>
      <c r="U846" s="143"/>
      <c r="V846" s="143"/>
      <c r="W846" s="143"/>
      <c r="X846" s="143"/>
    </row>
    <row r="847" spans="1:24" ht="15" customHeight="1" x14ac:dyDescent="0.25">
      <c r="A847" s="55"/>
      <c r="B847" s="55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143"/>
      <c r="N847" s="143"/>
      <c r="O847" s="28"/>
      <c r="P847" s="28"/>
      <c r="Q847" s="28"/>
      <c r="R847" s="143"/>
      <c r="S847" s="143"/>
      <c r="T847" s="143"/>
      <c r="U847" s="143"/>
      <c r="V847" s="143"/>
      <c r="W847" s="143"/>
      <c r="X847" s="143"/>
    </row>
    <row r="848" spans="1:24" ht="15" customHeight="1" x14ac:dyDescent="0.25">
      <c r="A848" s="55"/>
      <c r="B848" s="55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143"/>
      <c r="N848" s="143"/>
      <c r="O848" s="28"/>
      <c r="P848" s="28"/>
      <c r="Q848" s="28"/>
      <c r="R848" s="143"/>
      <c r="S848" s="143"/>
      <c r="T848" s="143"/>
      <c r="U848" s="143"/>
      <c r="V848" s="143"/>
      <c r="W848" s="143"/>
      <c r="X848" s="143"/>
    </row>
    <row r="849" spans="1:24" ht="15" customHeight="1" x14ac:dyDescent="0.25">
      <c r="A849" s="55"/>
      <c r="B849" s="55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143"/>
      <c r="N849" s="143"/>
      <c r="O849" s="28"/>
      <c r="P849" s="28"/>
      <c r="Q849" s="28"/>
      <c r="R849" s="143"/>
      <c r="S849" s="143"/>
      <c r="T849" s="143"/>
      <c r="U849" s="143"/>
      <c r="V849" s="143"/>
      <c r="W849" s="143"/>
      <c r="X849" s="143"/>
    </row>
    <row r="850" spans="1:24" ht="15" customHeight="1" x14ac:dyDescent="0.25">
      <c r="A850" s="55"/>
      <c r="B850" s="55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143"/>
      <c r="N850" s="143"/>
      <c r="O850" s="28"/>
      <c r="P850" s="28"/>
      <c r="Q850" s="28"/>
      <c r="R850" s="143"/>
      <c r="S850" s="143"/>
      <c r="T850" s="143"/>
      <c r="U850" s="143"/>
      <c r="V850" s="143"/>
      <c r="W850" s="143"/>
      <c r="X850" s="143"/>
    </row>
    <row r="851" spans="1:24" ht="15" customHeight="1" x14ac:dyDescent="0.25">
      <c r="A851" s="55"/>
      <c r="B851" s="55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143"/>
      <c r="N851" s="143"/>
      <c r="O851" s="28"/>
      <c r="P851" s="28"/>
      <c r="Q851" s="28"/>
      <c r="R851" s="143"/>
      <c r="S851" s="143"/>
      <c r="T851" s="143"/>
      <c r="U851" s="143"/>
      <c r="V851" s="143"/>
      <c r="W851" s="143"/>
      <c r="X851" s="143"/>
    </row>
    <row r="852" spans="1:24" ht="15" customHeight="1" x14ac:dyDescent="0.25">
      <c r="A852" s="55"/>
      <c r="B852" s="55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143"/>
      <c r="N852" s="143"/>
      <c r="O852" s="28"/>
      <c r="P852" s="28"/>
      <c r="Q852" s="28"/>
      <c r="R852" s="143"/>
      <c r="S852" s="143"/>
      <c r="T852" s="143"/>
      <c r="U852" s="143"/>
      <c r="V852" s="143"/>
      <c r="W852" s="143"/>
      <c r="X852" s="143"/>
    </row>
    <row r="853" spans="1:24" ht="15" customHeight="1" x14ac:dyDescent="0.25">
      <c r="A853" s="55"/>
      <c r="B853" s="55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143"/>
      <c r="N853" s="143"/>
      <c r="O853" s="28"/>
      <c r="P853" s="28"/>
      <c r="Q853" s="28"/>
      <c r="R853" s="143"/>
      <c r="S853" s="143"/>
      <c r="T853" s="143"/>
      <c r="U853" s="143"/>
      <c r="V853" s="143"/>
      <c r="W853" s="143"/>
      <c r="X853" s="143"/>
    </row>
    <row r="854" spans="1:24" ht="15" customHeight="1" x14ac:dyDescent="0.25">
      <c r="A854" s="55"/>
      <c r="B854" s="55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143"/>
      <c r="N854" s="143"/>
      <c r="O854" s="28"/>
      <c r="P854" s="28"/>
      <c r="Q854" s="28"/>
      <c r="R854" s="143"/>
      <c r="S854" s="143"/>
      <c r="T854" s="143"/>
      <c r="U854" s="143"/>
      <c r="V854" s="143"/>
      <c r="W854" s="143"/>
      <c r="X854" s="143"/>
    </row>
    <row r="855" spans="1:24" ht="15" customHeight="1" x14ac:dyDescent="0.25">
      <c r="A855" s="55"/>
      <c r="B855" s="55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143"/>
      <c r="N855" s="143"/>
      <c r="O855" s="28"/>
      <c r="P855" s="28"/>
      <c r="Q855" s="28"/>
      <c r="R855" s="143"/>
      <c r="S855" s="143"/>
      <c r="T855" s="143"/>
      <c r="U855" s="143"/>
      <c r="V855" s="143"/>
      <c r="W855" s="143"/>
      <c r="X855" s="143"/>
    </row>
    <row r="856" spans="1:24" ht="15" customHeight="1" x14ac:dyDescent="0.25">
      <c r="A856" s="55"/>
      <c r="B856" s="55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143"/>
      <c r="N856" s="143"/>
      <c r="O856" s="28"/>
      <c r="P856" s="28"/>
      <c r="Q856" s="28"/>
      <c r="R856" s="143"/>
      <c r="S856" s="143"/>
      <c r="T856" s="143"/>
      <c r="U856" s="143"/>
      <c r="V856" s="143"/>
      <c r="W856" s="143"/>
      <c r="X856" s="143"/>
    </row>
    <row r="857" spans="1:24" ht="15" customHeight="1" x14ac:dyDescent="0.25">
      <c r="A857" s="55"/>
      <c r="B857" s="55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143"/>
      <c r="N857" s="143"/>
      <c r="O857" s="28"/>
      <c r="P857" s="28"/>
      <c r="Q857" s="28"/>
      <c r="R857" s="143"/>
      <c r="S857" s="143"/>
      <c r="T857" s="143"/>
      <c r="U857" s="143"/>
      <c r="V857" s="143"/>
      <c r="W857" s="143"/>
      <c r="X857" s="143"/>
    </row>
    <row r="858" spans="1:24" ht="15" customHeight="1" x14ac:dyDescent="0.25">
      <c r="A858" s="55"/>
      <c r="B858" s="55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143"/>
      <c r="N858" s="143"/>
      <c r="O858" s="28"/>
      <c r="P858" s="28"/>
      <c r="Q858" s="28"/>
      <c r="R858" s="143"/>
      <c r="S858" s="143"/>
      <c r="T858" s="143"/>
      <c r="U858" s="143"/>
      <c r="V858" s="143"/>
      <c r="W858" s="143"/>
      <c r="X858" s="143"/>
    </row>
    <row r="859" spans="1:24" ht="15" customHeight="1" x14ac:dyDescent="0.25">
      <c r="A859" s="55"/>
      <c r="B859" s="55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143"/>
      <c r="N859" s="143"/>
      <c r="O859" s="28"/>
      <c r="P859" s="28"/>
      <c r="Q859" s="28"/>
      <c r="R859" s="143"/>
      <c r="S859" s="143"/>
      <c r="T859" s="143"/>
      <c r="U859" s="143"/>
      <c r="V859" s="143"/>
      <c r="W859" s="143"/>
      <c r="X859" s="143"/>
    </row>
    <row r="860" spans="1:24" ht="15" customHeight="1" x14ac:dyDescent="0.25">
      <c r="A860" s="55"/>
      <c r="B860" s="55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143"/>
      <c r="N860" s="143"/>
      <c r="O860" s="28"/>
      <c r="P860" s="28"/>
      <c r="Q860" s="28"/>
      <c r="R860" s="143"/>
      <c r="S860" s="143"/>
      <c r="T860" s="143"/>
      <c r="U860" s="143"/>
      <c r="V860" s="143"/>
      <c r="W860" s="143"/>
      <c r="X860" s="143"/>
    </row>
    <row r="861" spans="1:24" ht="15" customHeight="1" x14ac:dyDescent="0.25">
      <c r="A861" s="55"/>
      <c r="B861" s="55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143"/>
      <c r="N861" s="143"/>
      <c r="O861" s="28"/>
      <c r="P861" s="28"/>
      <c r="Q861" s="28"/>
      <c r="R861" s="143"/>
      <c r="S861" s="143"/>
      <c r="T861" s="143"/>
      <c r="U861" s="143"/>
      <c r="V861" s="143"/>
      <c r="W861" s="143"/>
      <c r="X861" s="143"/>
    </row>
    <row r="862" spans="1:24" ht="15" customHeight="1" x14ac:dyDescent="0.25">
      <c r="A862" s="55"/>
      <c r="B862" s="55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143"/>
      <c r="N862" s="143"/>
      <c r="O862" s="28"/>
      <c r="P862" s="28"/>
      <c r="Q862" s="28"/>
      <c r="R862" s="143"/>
      <c r="S862" s="143"/>
      <c r="T862" s="143"/>
      <c r="U862" s="143"/>
      <c r="V862" s="143"/>
      <c r="W862" s="143"/>
      <c r="X862" s="143"/>
    </row>
    <row r="863" spans="1:24" ht="15" customHeight="1" x14ac:dyDescent="0.25">
      <c r="A863" s="55"/>
      <c r="B863" s="55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143"/>
      <c r="N863" s="143"/>
      <c r="O863" s="28"/>
      <c r="P863" s="28"/>
      <c r="Q863" s="28"/>
      <c r="R863" s="143"/>
      <c r="S863" s="143"/>
      <c r="T863" s="143"/>
      <c r="U863" s="143"/>
      <c r="V863" s="143"/>
      <c r="W863" s="143"/>
      <c r="X863" s="143"/>
    </row>
    <row r="864" spans="1:24" ht="15" customHeight="1" x14ac:dyDescent="0.25">
      <c r="A864" s="55"/>
      <c r="B864" s="55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143"/>
      <c r="N864" s="143"/>
      <c r="O864" s="28"/>
      <c r="P864" s="28"/>
      <c r="Q864" s="28"/>
      <c r="R864" s="143"/>
      <c r="S864" s="143"/>
      <c r="T864" s="143"/>
      <c r="U864" s="143"/>
      <c r="V864" s="143"/>
      <c r="W864" s="143"/>
      <c r="X864" s="143"/>
    </row>
    <row r="865" spans="1:24" ht="15" customHeight="1" x14ac:dyDescent="0.25">
      <c r="A865" s="55"/>
      <c r="B865" s="55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143"/>
      <c r="N865" s="143"/>
      <c r="O865" s="28"/>
      <c r="P865" s="28"/>
      <c r="Q865" s="28"/>
      <c r="R865" s="143"/>
      <c r="S865" s="143"/>
      <c r="T865" s="143"/>
      <c r="U865" s="143"/>
      <c r="V865" s="143"/>
      <c r="W865" s="143"/>
      <c r="X865" s="143"/>
    </row>
    <row r="866" spans="1:24" ht="15" customHeight="1" x14ac:dyDescent="0.25">
      <c r="A866" s="55"/>
      <c r="B866" s="55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143"/>
      <c r="N866" s="143"/>
      <c r="O866" s="28"/>
      <c r="P866" s="28"/>
      <c r="Q866" s="28"/>
      <c r="R866" s="143"/>
      <c r="S866" s="143"/>
      <c r="T866" s="143"/>
      <c r="U866" s="143"/>
      <c r="V866" s="143"/>
      <c r="W866" s="143"/>
      <c r="X866" s="143"/>
    </row>
    <row r="867" spans="1:24" ht="15" customHeight="1" x14ac:dyDescent="0.25">
      <c r="A867" s="55"/>
      <c r="B867" s="55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143"/>
      <c r="N867" s="143"/>
      <c r="O867" s="28"/>
      <c r="P867" s="28"/>
      <c r="Q867" s="28"/>
      <c r="R867" s="143"/>
      <c r="S867" s="143"/>
      <c r="T867" s="143"/>
      <c r="U867" s="143"/>
      <c r="V867" s="143"/>
      <c r="W867" s="143"/>
      <c r="X867" s="143"/>
    </row>
    <row r="868" spans="1:24" ht="15" customHeight="1" x14ac:dyDescent="0.25">
      <c r="A868" s="55"/>
      <c r="B868" s="55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143"/>
      <c r="N868" s="143"/>
      <c r="O868" s="28"/>
      <c r="P868" s="28"/>
      <c r="Q868" s="28"/>
      <c r="R868" s="143"/>
      <c r="S868" s="143"/>
      <c r="T868" s="143"/>
      <c r="U868" s="143"/>
      <c r="V868" s="143"/>
      <c r="W868" s="143"/>
      <c r="X868" s="143"/>
    </row>
    <row r="869" spans="1:24" ht="15" customHeight="1" x14ac:dyDescent="0.25">
      <c r="A869" s="55"/>
      <c r="B869" s="55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143"/>
      <c r="N869" s="143"/>
      <c r="O869" s="28"/>
      <c r="P869" s="28"/>
      <c r="Q869" s="28"/>
      <c r="R869" s="143"/>
      <c r="S869" s="143"/>
      <c r="T869" s="143"/>
      <c r="U869" s="143"/>
      <c r="V869" s="143"/>
      <c r="W869" s="143"/>
      <c r="X869" s="143"/>
    </row>
    <row r="870" spans="1:24" ht="15" customHeight="1" x14ac:dyDescent="0.25">
      <c r="A870" s="55"/>
      <c r="B870" s="55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143"/>
      <c r="N870" s="143"/>
      <c r="O870" s="28"/>
      <c r="P870" s="28"/>
      <c r="Q870" s="28"/>
      <c r="R870" s="143"/>
      <c r="S870" s="143"/>
      <c r="T870" s="143"/>
      <c r="U870" s="143"/>
      <c r="V870" s="143"/>
      <c r="W870" s="143"/>
      <c r="X870" s="143"/>
    </row>
    <row r="871" spans="1:24" ht="15" customHeight="1" x14ac:dyDescent="0.25">
      <c r="A871" s="55"/>
      <c r="B871" s="55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143"/>
      <c r="N871" s="143"/>
      <c r="O871" s="28"/>
      <c r="P871" s="28"/>
      <c r="Q871" s="28"/>
      <c r="R871" s="143"/>
      <c r="S871" s="143"/>
      <c r="T871" s="143"/>
      <c r="U871" s="143"/>
      <c r="V871" s="143"/>
      <c r="W871" s="143"/>
      <c r="X871" s="143"/>
    </row>
    <row r="872" spans="1:24" ht="15" customHeight="1" x14ac:dyDescent="0.25">
      <c r="A872" s="55"/>
      <c r="B872" s="55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143"/>
      <c r="N872" s="143"/>
      <c r="O872" s="28"/>
      <c r="P872" s="28"/>
      <c r="Q872" s="28"/>
      <c r="R872" s="143"/>
      <c r="S872" s="143"/>
      <c r="T872" s="143"/>
      <c r="U872" s="143"/>
      <c r="V872" s="143"/>
      <c r="W872" s="143"/>
      <c r="X872" s="143"/>
    </row>
    <row r="873" spans="1:24" ht="15" customHeight="1" x14ac:dyDescent="0.25">
      <c r="A873" s="55"/>
      <c r="B873" s="55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143"/>
      <c r="N873" s="143"/>
      <c r="O873" s="28"/>
      <c r="P873" s="28"/>
      <c r="Q873" s="28"/>
      <c r="R873" s="143"/>
      <c r="S873" s="143"/>
      <c r="T873" s="143"/>
      <c r="U873" s="143"/>
      <c r="V873" s="143"/>
      <c r="W873" s="143"/>
      <c r="X873" s="143"/>
    </row>
    <row r="874" spans="1:24" ht="15" customHeight="1" x14ac:dyDescent="0.25">
      <c r="A874" s="55"/>
      <c r="B874" s="55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143"/>
      <c r="N874" s="143"/>
      <c r="O874" s="28"/>
      <c r="P874" s="28"/>
      <c r="Q874" s="28"/>
      <c r="R874" s="143"/>
      <c r="S874" s="143"/>
      <c r="T874" s="143"/>
      <c r="U874" s="143"/>
      <c r="V874" s="143"/>
      <c r="W874" s="143"/>
      <c r="X874" s="143"/>
    </row>
    <row r="875" spans="1:24" ht="15" customHeight="1" x14ac:dyDescent="0.25">
      <c r="A875" s="55"/>
      <c r="B875" s="55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143"/>
      <c r="N875" s="143"/>
      <c r="O875" s="28"/>
      <c r="P875" s="28"/>
      <c r="Q875" s="28"/>
      <c r="R875" s="143"/>
      <c r="S875" s="143"/>
      <c r="T875" s="143"/>
      <c r="U875" s="143"/>
      <c r="V875" s="143"/>
      <c r="W875" s="143"/>
      <c r="X875" s="143"/>
    </row>
    <row r="876" spans="1:24" ht="15" customHeight="1" x14ac:dyDescent="0.25">
      <c r="A876" s="55"/>
      <c r="B876" s="55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143"/>
      <c r="N876" s="143"/>
      <c r="O876" s="28"/>
      <c r="P876" s="28"/>
      <c r="Q876" s="28"/>
      <c r="R876" s="143"/>
      <c r="S876" s="143"/>
      <c r="T876" s="143"/>
      <c r="U876" s="143"/>
      <c r="V876" s="143"/>
      <c r="W876" s="143"/>
      <c r="X876" s="143"/>
    </row>
    <row r="877" spans="1:24" ht="15" customHeight="1" x14ac:dyDescent="0.25">
      <c r="A877" s="55"/>
      <c r="B877" s="55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143"/>
      <c r="N877" s="143"/>
      <c r="O877" s="28"/>
      <c r="P877" s="28"/>
      <c r="Q877" s="28"/>
      <c r="R877" s="143"/>
      <c r="S877" s="143"/>
      <c r="T877" s="143"/>
      <c r="U877" s="143"/>
      <c r="V877" s="143"/>
      <c r="W877" s="143"/>
      <c r="X877" s="143"/>
    </row>
    <row r="878" spans="1:24" ht="15" customHeight="1" x14ac:dyDescent="0.25">
      <c r="A878" s="55"/>
      <c r="B878" s="55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143"/>
      <c r="N878" s="143"/>
      <c r="O878" s="28"/>
      <c r="P878" s="28"/>
      <c r="Q878" s="28"/>
      <c r="R878" s="143"/>
      <c r="S878" s="143"/>
      <c r="T878" s="143"/>
      <c r="U878" s="143"/>
      <c r="V878" s="143"/>
      <c r="W878" s="143"/>
      <c r="X878" s="143"/>
    </row>
    <row r="879" spans="1:24" ht="15" customHeight="1" x14ac:dyDescent="0.25">
      <c r="A879" s="55"/>
      <c r="B879" s="55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143"/>
      <c r="N879" s="143"/>
      <c r="O879" s="28"/>
      <c r="P879" s="28"/>
      <c r="Q879" s="28"/>
      <c r="R879" s="143"/>
      <c r="S879" s="143"/>
      <c r="T879" s="143"/>
      <c r="U879" s="143"/>
      <c r="V879" s="143"/>
      <c r="W879" s="143"/>
      <c r="X879" s="143"/>
    </row>
    <row r="880" spans="1:24" ht="15" customHeight="1" x14ac:dyDescent="0.25">
      <c r="A880" s="55"/>
      <c r="B880" s="55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143"/>
      <c r="N880" s="143"/>
      <c r="O880" s="28"/>
      <c r="P880" s="28"/>
      <c r="Q880" s="28"/>
      <c r="R880" s="143"/>
      <c r="S880" s="143"/>
      <c r="T880" s="143"/>
      <c r="U880" s="143"/>
      <c r="V880" s="143"/>
      <c r="W880" s="143"/>
      <c r="X880" s="143"/>
    </row>
    <row r="881" spans="1:24" ht="15" customHeight="1" x14ac:dyDescent="0.25">
      <c r="A881" s="55"/>
      <c r="B881" s="55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143"/>
      <c r="N881" s="143"/>
      <c r="O881" s="28"/>
      <c r="P881" s="28"/>
      <c r="Q881" s="28"/>
      <c r="R881" s="143"/>
      <c r="S881" s="143"/>
      <c r="T881" s="143"/>
      <c r="U881" s="143"/>
      <c r="V881" s="143"/>
      <c r="W881" s="143"/>
      <c r="X881" s="143"/>
    </row>
    <row r="882" spans="1:24" ht="15" customHeight="1" x14ac:dyDescent="0.25">
      <c r="A882" s="55"/>
      <c r="B882" s="55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143"/>
      <c r="N882" s="143"/>
      <c r="O882" s="28"/>
      <c r="P882" s="28"/>
      <c r="Q882" s="28"/>
      <c r="R882" s="143"/>
      <c r="S882" s="143"/>
      <c r="T882" s="143"/>
      <c r="U882" s="143"/>
      <c r="V882" s="143"/>
      <c r="W882" s="143"/>
      <c r="X882" s="143"/>
    </row>
    <row r="883" spans="1:24" ht="15" customHeight="1" x14ac:dyDescent="0.25">
      <c r="A883" s="55"/>
      <c r="B883" s="55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143"/>
      <c r="N883" s="143"/>
      <c r="O883" s="28"/>
      <c r="P883" s="28"/>
      <c r="Q883" s="28"/>
      <c r="R883" s="143"/>
      <c r="S883" s="143"/>
      <c r="T883" s="143"/>
      <c r="U883" s="143"/>
      <c r="V883" s="143"/>
      <c r="W883" s="143"/>
      <c r="X883" s="143"/>
    </row>
    <row r="884" spans="1:24" ht="15" customHeight="1" x14ac:dyDescent="0.25">
      <c r="A884" s="55"/>
      <c r="B884" s="55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143"/>
      <c r="N884" s="143"/>
      <c r="O884" s="28"/>
      <c r="P884" s="28"/>
      <c r="Q884" s="28"/>
      <c r="R884" s="143"/>
      <c r="S884" s="143"/>
      <c r="T884" s="143"/>
      <c r="U884" s="143"/>
      <c r="V884" s="143"/>
      <c r="W884" s="143"/>
      <c r="X884" s="143"/>
    </row>
    <row r="885" spans="1:24" ht="15" customHeight="1" x14ac:dyDescent="0.25">
      <c r="A885" s="55"/>
      <c r="B885" s="55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143"/>
      <c r="N885" s="143"/>
      <c r="O885" s="28"/>
      <c r="P885" s="28"/>
      <c r="Q885" s="28"/>
      <c r="R885" s="143"/>
      <c r="S885" s="143"/>
      <c r="T885" s="143"/>
      <c r="U885" s="143"/>
      <c r="V885" s="143"/>
      <c r="W885" s="143"/>
      <c r="X885" s="143"/>
    </row>
    <row r="886" spans="1:24" ht="15" customHeight="1" x14ac:dyDescent="0.25">
      <c r="A886" s="55"/>
      <c r="B886" s="55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143"/>
      <c r="N886" s="143"/>
      <c r="O886" s="28"/>
      <c r="P886" s="28"/>
      <c r="Q886" s="28"/>
      <c r="R886" s="143"/>
      <c r="S886" s="143"/>
      <c r="T886" s="143"/>
      <c r="U886" s="143"/>
      <c r="V886" s="143"/>
      <c r="W886" s="143"/>
      <c r="X886" s="143"/>
    </row>
    <row r="887" spans="1:24" ht="15" customHeight="1" x14ac:dyDescent="0.25">
      <c r="A887" s="55"/>
      <c r="B887" s="55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143"/>
      <c r="N887" s="143"/>
      <c r="O887" s="28"/>
      <c r="P887" s="28"/>
      <c r="Q887" s="28"/>
      <c r="R887" s="143"/>
      <c r="S887" s="143"/>
      <c r="T887" s="143"/>
      <c r="U887" s="143"/>
      <c r="V887" s="143"/>
      <c r="W887" s="143"/>
      <c r="X887" s="143"/>
    </row>
    <row r="888" spans="1:24" ht="15" customHeight="1" x14ac:dyDescent="0.25">
      <c r="A888" s="55"/>
      <c r="B888" s="55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143"/>
      <c r="N888" s="143"/>
      <c r="O888" s="28"/>
      <c r="P888" s="28"/>
      <c r="Q888" s="28"/>
      <c r="R888" s="143"/>
      <c r="S888" s="143"/>
      <c r="T888" s="143"/>
      <c r="U888" s="143"/>
      <c r="V888" s="143"/>
      <c r="W888" s="143"/>
      <c r="X888" s="143"/>
    </row>
    <row r="889" spans="1:24" ht="15" customHeight="1" x14ac:dyDescent="0.25">
      <c r="A889" s="55"/>
      <c r="B889" s="55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143"/>
      <c r="N889" s="143"/>
      <c r="O889" s="28"/>
      <c r="P889" s="28"/>
      <c r="Q889" s="28"/>
      <c r="R889" s="143"/>
      <c r="S889" s="143"/>
      <c r="T889" s="143"/>
      <c r="U889" s="143"/>
      <c r="V889" s="143"/>
      <c r="W889" s="143"/>
      <c r="X889" s="143"/>
    </row>
    <row r="890" spans="1:24" ht="15" customHeight="1" x14ac:dyDescent="0.25">
      <c r="A890" s="55"/>
      <c r="B890" s="55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143"/>
      <c r="N890" s="143"/>
      <c r="O890" s="28"/>
      <c r="P890" s="28"/>
      <c r="Q890" s="28"/>
      <c r="R890" s="143"/>
      <c r="S890" s="143"/>
      <c r="T890" s="143"/>
      <c r="U890" s="143"/>
      <c r="V890" s="143"/>
      <c r="W890" s="143"/>
      <c r="X890" s="143"/>
    </row>
    <row r="891" spans="1:24" ht="15" customHeight="1" x14ac:dyDescent="0.25">
      <c r="A891" s="55"/>
      <c r="B891" s="55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143"/>
      <c r="N891" s="143"/>
      <c r="O891" s="28"/>
      <c r="P891" s="28"/>
      <c r="Q891" s="28"/>
      <c r="R891" s="143"/>
      <c r="S891" s="143"/>
      <c r="T891" s="143"/>
      <c r="U891" s="143"/>
      <c r="V891" s="143"/>
      <c r="W891" s="143"/>
      <c r="X891" s="143"/>
    </row>
    <row r="892" spans="1:24" ht="15" customHeight="1" x14ac:dyDescent="0.25">
      <c r="A892" s="55"/>
      <c r="B892" s="55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143"/>
      <c r="N892" s="143"/>
      <c r="O892" s="28"/>
      <c r="P892" s="28"/>
      <c r="Q892" s="28"/>
      <c r="R892" s="143"/>
      <c r="S892" s="143"/>
      <c r="T892" s="143"/>
      <c r="U892" s="143"/>
      <c r="V892" s="143"/>
      <c r="W892" s="143"/>
      <c r="X892" s="143"/>
    </row>
    <row r="893" spans="1:24" ht="15" customHeight="1" x14ac:dyDescent="0.25">
      <c r="A893" s="55"/>
      <c r="B893" s="55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143"/>
      <c r="N893" s="143"/>
      <c r="O893" s="28"/>
      <c r="P893" s="28"/>
      <c r="Q893" s="28"/>
      <c r="R893" s="143"/>
      <c r="S893" s="143"/>
      <c r="T893" s="143"/>
      <c r="U893" s="143"/>
      <c r="V893" s="143"/>
      <c r="W893" s="143"/>
      <c r="X893" s="143"/>
    </row>
    <row r="894" spans="1:24" ht="15" customHeight="1" x14ac:dyDescent="0.25">
      <c r="A894" s="55"/>
      <c r="B894" s="55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143"/>
      <c r="N894" s="143"/>
      <c r="O894" s="28"/>
      <c r="P894" s="28"/>
      <c r="Q894" s="28"/>
      <c r="R894" s="143"/>
      <c r="S894" s="143"/>
      <c r="T894" s="143"/>
      <c r="U894" s="143"/>
      <c r="V894" s="143"/>
      <c r="W894" s="143"/>
      <c r="X894" s="143"/>
    </row>
    <row r="895" spans="1:24" ht="15" customHeight="1" x14ac:dyDescent="0.25">
      <c r="A895" s="55"/>
      <c r="B895" s="55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143"/>
      <c r="N895" s="143"/>
      <c r="O895" s="28"/>
      <c r="P895" s="28"/>
      <c r="Q895" s="28"/>
      <c r="R895" s="143"/>
      <c r="S895" s="143"/>
      <c r="T895" s="143"/>
      <c r="U895" s="143"/>
      <c r="V895" s="143"/>
      <c r="W895" s="143"/>
      <c r="X895" s="143"/>
    </row>
    <row r="896" spans="1:24" ht="15" customHeight="1" x14ac:dyDescent="0.25">
      <c r="A896" s="55"/>
      <c r="B896" s="55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143"/>
      <c r="N896" s="143"/>
      <c r="O896" s="28"/>
      <c r="P896" s="28"/>
      <c r="Q896" s="28"/>
      <c r="R896" s="143"/>
      <c r="S896" s="143"/>
      <c r="T896" s="143"/>
      <c r="U896" s="143"/>
      <c r="V896" s="143"/>
      <c r="W896" s="143"/>
      <c r="X896" s="143"/>
    </row>
    <row r="897" spans="1:24" ht="15" customHeight="1" x14ac:dyDescent="0.25">
      <c r="A897" s="55"/>
      <c r="B897" s="55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143"/>
      <c r="N897" s="143"/>
      <c r="O897" s="28"/>
      <c r="P897" s="28"/>
      <c r="Q897" s="28"/>
      <c r="R897" s="143"/>
      <c r="S897" s="143"/>
      <c r="T897" s="143"/>
      <c r="U897" s="143"/>
      <c r="V897" s="143"/>
      <c r="W897" s="143"/>
      <c r="X897" s="143"/>
    </row>
    <row r="898" spans="1:24" ht="15" customHeight="1" x14ac:dyDescent="0.25">
      <c r="A898" s="55"/>
      <c r="B898" s="55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143"/>
      <c r="N898" s="143"/>
      <c r="O898" s="28"/>
      <c r="P898" s="28"/>
      <c r="Q898" s="28"/>
      <c r="R898" s="143"/>
      <c r="S898" s="143"/>
      <c r="T898" s="143"/>
      <c r="U898" s="143"/>
      <c r="V898" s="143"/>
      <c r="W898" s="143"/>
      <c r="X898" s="143"/>
    </row>
    <row r="899" spans="1:24" ht="15" customHeight="1" x14ac:dyDescent="0.25">
      <c r="A899" s="55"/>
      <c r="B899" s="55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143"/>
      <c r="N899" s="143"/>
      <c r="O899" s="28"/>
      <c r="P899" s="28"/>
      <c r="Q899" s="28"/>
      <c r="R899" s="143"/>
      <c r="S899" s="143"/>
      <c r="T899" s="143"/>
      <c r="U899" s="143"/>
      <c r="V899" s="143"/>
      <c r="W899" s="143"/>
      <c r="X899" s="143"/>
    </row>
    <row r="900" spans="1:24" ht="15" customHeight="1" x14ac:dyDescent="0.25">
      <c r="A900" s="55"/>
      <c r="B900" s="55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143"/>
      <c r="N900" s="143"/>
      <c r="O900" s="28"/>
      <c r="P900" s="28"/>
      <c r="Q900" s="28"/>
      <c r="R900" s="143"/>
      <c r="S900" s="143"/>
      <c r="T900" s="143"/>
      <c r="U900" s="143"/>
      <c r="V900" s="143"/>
      <c r="W900" s="143"/>
      <c r="X900" s="143"/>
    </row>
    <row r="901" spans="1:24" ht="15" customHeight="1" x14ac:dyDescent="0.25">
      <c r="A901" s="55"/>
      <c r="B901" s="55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143"/>
      <c r="N901" s="143"/>
      <c r="O901" s="28"/>
      <c r="P901" s="28"/>
      <c r="Q901" s="28"/>
      <c r="R901" s="143"/>
      <c r="S901" s="143"/>
      <c r="T901" s="143"/>
      <c r="U901" s="143"/>
      <c r="V901" s="143"/>
      <c r="W901" s="143"/>
      <c r="X901" s="143"/>
    </row>
    <row r="902" spans="1:24" ht="15" customHeight="1" x14ac:dyDescent="0.25">
      <c r="A902" s="55"/>
      <c r="B902" s="55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143"/>
      <c r="N902" s="143"/>
      <c r="O902" s="28"/>
      <c r="P902" s="28"/>
      <c r="Q902" s="28"/>
      <c r="R902" s="143"/>
      <c r="S902" s="143"/>
      <c r="T902" s="143"/>
      <c r="U902" s="143"/>
      <c r="V902" s="143"/>
      <c r="W902" s="143"/>
      <c r="X902" s="143"/>
    </row>
    <row r="903" spans="1:24" ht="15" customHeight="1" x14ac:dyDescent="0.25">
      <c r="A903" s="55"/>
      <c r="B903" s="55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143"/>
      <c r="N903" s="143"/>
      <c r="O903" s="28"/>
      <c r="P903" s="28"/>
      <c r="Q903" s="28"/>
      <c r="R903" s="143"/>
      <c r="S903" s="143"/>
      <c r="T903" s="143"/>
      <c r="U903" s="143"/>
      <c r="V903" s="143"/>
      <c r="W903" s="143"/>
      <c r="X903" s="143"/>
    </row>
    <row r="904" spans="1:24" ht="15" customHeight="1" x14ac:dyDescent="0.25">
      <c r="A904" s="55"/>
      <c r="B904" s="55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143"/>
      <c r="N904" s="143"/>
      <c r="O904" s="28"/>
      <c r="P904" s="28"/>
      <c r="Q904" s="28"/>
      <c r="R904" s="143"/>
      <c r="S904" s="143"/>
      <c r="T904" s="143"/>
      <c r="U904" s="143"/>
      <c r="V904" s="143"/>
      <c r="W904" s="143"/>
      <c r="X904" s="143"/>
    </row>
    <row r="905" spans="1:24" ht="15" customHeight="1" x14ac:dyDescent="0.25">
      <c r="A905" s="55"/>
      <c r="B905" s="55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143"/>
      <c r="N905" s="143"/>
      <c r="O905" s="28"/>
      <c r="P905" s="28"/>
      <c r="Q905" s="28"/>
      <c r="R905" s="143"/>
      <c r="S905" s="143"/>
      <c r="T905" s="143"/>
      <c r="U905" s="143"/>
      <c r="V905" s="143"/>
      <c r="W905" s="143"/>
      <c r="X905" s="143"/>
    </row>
    <row r="906" spans="1:24" ht="15" customHeight="1" x14ac:dyDescent="0.25">
      <c r="A906" s="55"/>
      <c r="B906" s="55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143"/>
      <c r="N906" s="143"/>
      <c r="O906" s="28"/>
      <c r="P906" s="28"/>
      <c r="Q906" s="28"/>
      <c r="R906" s="143"/>
      <c r="S906" s="143"/>
      <c r="T906" s="143"/>
      <c r="U906" s="143"/>
      <c r="V906" s="143"/>
      <c r="W906" s="143"/>
      <c r="X906" s="143"/>
    </row>
    <row r="907" spans="1:24" ht="15" customHeight="1" x14ac:dyDescent="0.25">
      <c r="A907" s="55"/>
      <c r="B907" s="55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143"/>
      <c r="N907" s="143"/>
      <c r="O907" s="28"/>
      <c r="P907" s="28"/>
      <c r="Q907" s="28"/>
      <c r="R907" s="143"/>
      <c r="S907" s="143"/>
      <c r="T907" s="143"/>
      <c r="U907" s="143"/>
      <c r="V907" s="143"/>
      <c r="W907" s="143"/>
      <c r="X907" s="143"/>
    </row>
    <row r="908" spans="1:24" ht="15" customHeight="1" x14ac:dyDescent="0.25">
      <c r="A908" s="55"/>
      <c r="B908" s="55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143"/>
      <c r="N908" s="143"/>
      <c r="O908" s="28"/>
      <c r="P908" s="28"/>
      <c r="Q908" s="28"/>
      <c r="R908" s="143"/>
      <c r="S908" s="143"/>
      <c r="T908" s="143"/>
      <c r="U908" s="143"/>
      <c r="V908" s="143"/>
      <c r="W908" s="143"/>
      <c r="X908" s="143"/>
    </row>
    <row r="909" spans="1:24" ht="15" customHeight="1" x14ac:dyDescent="0.25">
      <c r="A909" s="55"/>
      <c r="B909" s="55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143"/>
      <c r="N909" s="143"/>
      <c r="O909" s="28"/>
      <c r="P909" s="28"/>
      <c r="Q909" s="28"/>
      <c r="R909" s="143"/>
      <c r="S909" s="143"/>
      <c r="T909" s="143"/>
      <c r="U909" s="143"/>
      <c r="V909" s="143"/>
      <c r="W909" s="143"/>
      <c r="X909" s="143"/>
    </row>
    <row r="910" spans="1:24" ht="15" customHeight="1" x14ac:dyDescent="0.25">
      <c r="A910" s="55"/>
      <c r="B910" s="55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143"/>
      <c r="N910" s="143"/>
      <c r="O910" s="28"/>
      <c r="P910" s="28"/>
      <c r="Q910" s="28"/>
      <c r="R910" s="143"/>
      <c r="S910" s="143"/>
      <c r="T910" s="143"/>
      <c r="U910" s="143"/>
      <c r="V910" s="143"/>
      <c r="W910" s="143"/>
      <c r="X910" s="143"/>
    </row>
    <row r="911" spans="1:24" ht="15" customHeight="1" x14ac:dyDescent="0.25">
      <c r="A911" s="55"/>
      <c r="B911" s="55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143"/>
      <c r="N911" s="143"/>
      <c r="O911" s="28"/>
      <c r="P911" s="28"/>
      <c r="Q911" s="28"/>
      <c r="R911" s="143"/>
      <c r="S911" s="143"/>
      <c r="T911" s="143"/>
      <c r="U911" s="143"/>
      <c r="V911" s="143"/>
      <c r="W911" s="143"/>
      <c r="X911" s="143"/>
    </row>
    <row r="912" spans="1:24" ht="15" customHeight="1" x14ac:dyDescent="0.25">
      <c r="A912" s="55"/>
      <c r="B912" s="55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143"/>
      <c r="N912" s="143"/>
      <c r="O912" s="28"/>
      <c r="P912" s="28"/>
      <c r="Q912" s="28"/>
      <c r="R912" s="143"/>
      <c r="S912" s="143"/>
      <c r="T912" s="143"/>
      <c r="U912" s="143"/>
      <c r="V912" s="143"/>
      <c r="W912" s="143"/>
      <c r="X912" s="143"/>
    </row>
    <row r="913" spans="1:24" ht="15" customHeight="1" x14ac:dyDescent="0.25">
      <c r="A913" s="55"/>
      <c r="B913" s="55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143"/>
      <c r="N913" s="143"/>
      <c r="O913" s="28"/>
      <c r="P913" s="28"/>
      <c r="Q913" s="28"/>
      <c r="R913" s="143"/>
      <c r="S913" s="143"/>
      <c r="T913" s="143"/>
      <c r="U913" s="143"/>
      <c r="V913" s="143"/>
      <c r="W913" s="143"/>
      <c r="X913" s="143"/>
    </row>
    <row r="914" spans="1:24" ht="15" customHeight="1" x14ac:dyDescent="0.25">
      <c r="A914" s="55"/>
      <c r="B914" s="55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143"/>
      <c r="N914" s="143"/>
      <c r="O914" s="28"/>
      <c r="P914" s="28"/>
      <c r="Q914" s="28"/>
      <c r="R914" s="143"/>
      <c r="S914" s="143"/>
      <c r="T914" s="143"/>
      <c r="U914" s="143"/>
      <c r="V914" s="143"/>
      <c r="W914" s="143"/>
      <c r="X914" s="143"/>
    </row>
    <row r="915" spans="1:24" ht="15" customHeight="1" x14ac:dyDescent="0.25">
      <c r="A915" s="55"/>
      <c r="B915" s="55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143"/>
      <c r="N915" s="143"/>
      <c r="O915" s="28"/>
      <c r="P915" s="28"/>
      <c r="Q915" s="28"/>
      <c r="R915" s="143"/>
      <c r="S915" s="143"/>
      <c r="T915" s="143"/>
      <c r="U915" s="143"/>
      <c r="V915" s="143"/>
      <c r="W915" s="143"/>
      <c r="X915" s="143"/>
    </row>
    <row r="916" spans="1:24" ht="15" customHeight="1" x14ac:dyDescent="0.25">
      <c r="A916" s="55"/>
      <c r="B916" s="55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143"/>
      <c r="N916" s="143"/>
      <c r="O916" s="28"/>
      <c r="P916" s="28"/>
      <c r="Q916" s="28"/>
      <c r="R916" s="143"/>
      <c r="S916" s="143"/>
      <c r="T916" s="143"/>
      <c r="U916" s="143"/>
      <c r="V916" s="143"/>
      <c r="W916" s="143"/>
      <c r="X916" s="143"/>
    </row>
    <row r="917" spans="1:24" ht="15" customHeight="1" x14ac:dyDescent="0.25">
      <c r="A917" s="55"/>
      <c r="B917" s="55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143"/>
      <c r="N917" s="143"/>
      <c r="O917" s="28"/>
      <c r="P917" s="28"/>
      <c r="Q917" s="28"/>
      <c r="R917" s="143"/>
      <c r="S917" s="143"/>
      <c r="T917" s="143"/>
      <c r="U917" s="143"/>
      <c r="V917" s="143"/>
      <c r="W917" s="143"/>
      <c r="X917" s="143"/>
    </row>
    <row r="918" spans="1:24" ht="15" customHeight="1" x14ac:dyDescent="0.25">
      <c r="A918" s="55"/>
      <c r="B918" s="55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143"/>
      <c r="N918" s="143"/>
      <c r="O918" s="28"/>
      <c r="P918" s="28"/>
      <c r="Q918" s="28"/>
      <c r="R918" s="143"/>
      <c r="S918" s="143"/>
      <c r="T918" s="143"/>
      <c r="U918" s="143"/>
      <c r="V918" s="143"/>
      <c r="W918" s="143"/>
      <c r="X918" s="143"/>
    </row>
    <row r="919" spans="1:24" ht="15" customHeight="1" x14ac:dyDescent="0.25">
      <c r="A919" s="55"/>
      <c r="B919" s="55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143"/>
      <c r="N919" s="143"/>
      <c r="O919" s="28"/>
      <c r="P919" s="28"/>
      <c r="Q919" s="28"/>
      <c r="R919" s="143"/>
      <c r="S919" s="143"/>
      <c r="T919" s="143"/>
      <c r="U919" s="143"/>
      <c r="V919" s="143"/>
      <c r="W919" s="143"/>
      <c r="X919" s="143"/>
    </row>
    <row r="920" spans="1:24" ht="15" customHeight="1" x14ac:dyDescent="0.25">
      <c r="A920" s="55"/>
      <c r="B920" s="55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143"/>
      <c r="N920" s="143"/>
      <c r="O920" s="28"/>
      <c r="P920" s="28"/>
      <c r="Q920" s="28"/>
      <c r="R920" s="143"/>
      <c r="S920" s="143"/>
      <c r="T920" s="143"/>
      <c r="U920" s="143"/>
      <c r="V920" s="143"/>
      <c r="W920" s="143"/>
      <c r="X920" s="143"/>
    </row>
    <row r="921" spans="1:24" ht="15" customHeight="1" x14ac:dyDescent="0.25">
      <c r="A921" s="55"/>
      <c r="B921" s="55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143"/>
      <c r="N921" s="143"/>
      <c r="O921" s="28"/>
      <c r="P921" s="28"/>
      <c r="Q921" s="28"/>
      <c r="R921" s="143"/>
      <c r="S921" s="143"/>
      <c r="T921" s="143"/>
      <c r="U921" s="143"/>
      <c r="V921" s="143"/>
      <c r="W921" s="143"/>
      <c r="X921" s="143"/>
    </row>
    <row r="922" spans="1:24" ht="15" customHeight="1" x14ac:dyDescent="0.25">
      <c r="A922" s="55"/>
      <c r="B922" s="55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143"/>
      <c r="N922" s="143"/>
      <c r="O922" s="28"/>
      <c r="P922" s="28"/>
      <c r="Q922" s="28"/>
      <c r="R922" s="143"/>
      <c r="S922" s="143"/>
      <c r="T922" s="143"/>
      <c r="U922" s="143"/>
      <c r="V922" s="143"/>
      <c r="W922" s="143"/>
      <c r="X922" s="143"/>
    </row>
    <row r="923" spans="1:24" ht="15" customHeight="1" x14ac:dyDescent="0.25">
      <c r="A923" s="55"/>
      <c r="B923" s="55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143"/>
      <c r="N923" s="143"/>
      <c r="O923" s="28"/>
      <c r="P923" s="28"/>
      <c r="Q923" s="28"/>
      <c r="R923" s="143"/>
      <c r="S923" s="143"/>
      <c r="T923" s="143"/>
      <c r="U923" s="143"/>
      <c r="V923" s="143"/>
      <c r="W923" s="143"/>
      <c r="X923" s="143"/>
    </row>
    <row r="924" spans="1:24" ht="15" customHeight="1" x14ac:dyDescent="0.25">
      <c r="A924" s="55"/>
      <c r="B924" s="55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143"/>
      <c r="N924" s="143"/>
      <c r="O924" s="28"/>
      <c r="P924" s="28"/>
      <c r="Q924" s="28"/>
      <c r="R924" s="143"/>
      <c r="S924" s="143"/>
      <c r="T924" s="143"/>
      <c r="U924" s="143"/>
      <c r="V924" s="143"/>
      <c r="W924" s="143"/>
      <c r="X924" s="143"/>
    </row>
    <row r="925" spans="1:24" ht="15" customHeight="1" x14ac:dyDescent="0.25">
      <c r="A925" s="55"/>
      <c r="B925" s="55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143"/>
      <c r="N925" s="143"/>
      <c r="O925" s="28"/>
      <c r="P925" s="28"/>
      <c r="Q925" s="28"/>
      <c r="R925" s="143"/>
      <c r="S925" s="143"/>
      <c r="T925" s="143"/>
      <c r="U925" s="143"/>
      <c r="V925" s="143"/>
      <c r="W925" s="143"/>
      <c r="X925" s="143"/>
    </row>
    <row r="926" spans="1:24" ht="15" customHeight="1" x14ac:dyDescent="0.25">
      <c r="A926" s="55"/>
      <c r="B926" s="55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143"/>
      <c r="N926" s="143"/>
      <c r="O926" s="28"/>
      <c r="P926" s="28"/>
      <c r="Q926" s="28"/>
      <c r="R926" s="143"/>
      <c r="S926" s="143"/>
      <c r="T926" s="143"/>
      <c r="U926" s="143"/>
      <c r="V926" s="143"/>
      <c r="W926" s="143"/>
      <c r="X926" s="143"/>
    </row>
    <row r="927" spans="1:24" ht="15" customHeight="1" x14ac:dyDescent="0.25">
      <c r="A927" s="55"/>
      <c r="B927" s="55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143"/>
      <c r="N927" s="143"/>
      <c r="O927" s="28"/>
      <c r="P927" s="28"/>
      <c r="Q927" s="28"/>
      <c r="R927" s="143"/>
      <c r="S927" s="143"/>
      <c r="T927" s="143"/>
      <c r="U927" s="143"/>
      <c r="V927" s="143"/>
      <c r="W927" s="143"/>
      <c r="X927" s="143"/>
    </row>
    <row r="928" spans="1:24" ht="15" customHeight="1" x14ac:dyDescent="0.25">
      <c r="A928" s="55"/>
      <c r="B928" s="55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143"/>
      <c r="N928" s="143"/>
      <c r="O928" s="28"/>
      <c r="P928" s="28"/>
      <c r="Q928" s="28"/>
      <c r="R928" s="143"/>
      <c r="S928" s="143"/>
      <c r="T928" s="143"/>
      <c r="U928" s="143"/>
      <c r="V928" s="143"/>
      <c r="W928" s="143"/>
      <c r="X928" s="143"/>
    </row>
    <row r="929" spans="1:24" ht="15" customHeight="1" x14ac:dyDescent="0.25">
      <c r="A929" s="55"/>
      <c r="B929" s="55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143"/>
      <c r="N929" s="143"/>
      <c r="O929" s="28"/>
      <c r="P929" s="28"/>
      <c r="Q929" s="28"/>
      <c r="R929" s="143"/>
      <c r="S929" s="143"/>
      <c r="T929" s="143"/>
      <c r="U929" s="143"/>
      <c r="V929" s="143"/>
      <c r="W929" s="143"/>
      <c r="X929" s="143"/>
    </row>
    <row r="930" spans="1:24" ht="15" customHeight="1" x14ac:dyDescent="0.25">
      <c r="A930" s="55"/>
      <c r="B930" s="55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143"/>
      <c r="N930" s="143"/>
      <c r="O930" s="28"/>
      <c r="P930" s="28"/>
      <c r="Q930" s="28"/>
      <c r="R930" s="143"/>
      <c r="S930" s="143"/>
      <c r="T930" s="143"/>
      <c r="U930" s="143"/>
      <c r="V930" s="143"/>
      <c r="W930" s="143"/>
      <c r="X930" s="143"/>
    </row>
    <row r="931" spans="1:24" ht="15" customHeight="1" x14ac:dyDescent="0.25">
      <c r="A931" s="55"/>
      <c r="B931" s="55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143"/>
      <c r="N931" s="143"/>
      <c r="O931" s="28"/>
      <c r="P931" s="28"/>
      <c r="Q931" s="28"/>
      <c r="R931" s="143"/>
      <c r="S931" s="143"/>
      <c r="T931" s="143"/>
      <c r="U931" s="143"/>
      <c r="V931" s="143"/>
      <c r="W931" s="143"/>
      <c r="X931" s="143"/>
    </row>
    <row r="932" spans="1:24" ht="15" customHeight="1" x14ac:dyDescent="0.25">
      <c r="A932" s="55"/>
      <c r="B932" s="55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143"/>
      <c r="N932" s="143"/>
      <c r="O932" s="28"/>
      <c r="P932" s="28"/>
      <c r="Q932" s="28"/>
      <c r="R932" s="143"/>
      <c r="S932" s="143"/>
      <c r="T932" s="143"/>
      <c r="U932" s="143"/>
      <c r="V932" s="143"/>
      <c r="W932" s="143"/>
      <c r="X932" s="143"/>
    </row>
    <row r="933" spans="1:24" ht="15" customHeight="1" x14ac:dyDescent="0.25">
      <c r="A933" s="55"/>
      <c r="B933" s="55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143"/>
      <c r="N933" s="143"/>
      <c r="O933" s="28"/>
      <c r="P933" s="28"/>
      <c r="Q933" s="28"/>
      <c r="R933" s="143"/>
      <c r="S933" s="143"/>
      <c r="T933" s="143"/>
      <c r="U933" s="143"/>
      <c r="V933" s="143"/>
      <c r="W933" s="143"/>
      <c r="X933" s="143"/>
    </row>
    <row r="934" spans="1:24" ht="15" customHeight="1" x14ac:dyDescent="0.25">
      <c r="A934" s="55"/>
      <c r="B934" s="55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143"/>
      <c r="N934" s="143"/>
      <c r="O934" s="28"/>
      <c r="P934" s="28"/>
      <c r="Q934" s="28"/>
      <c r="R934" s="143"/>
      <c r="S934" s="143"/>
      <c r="T934" s="143"/>
      <c r="U934" s="143"/>
      <c r="V934" s="143"/>
      <c r="W934" s="143"/>
      <c r="X934" s="143"/>
    </row>
    <row r="935" spans="1:24" ht="15" customHeight="1" x14ac:dyDescent="0.25">
      <c r="A935" s="55"/>
      <c r="B935" s="55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143"/>
      <c r="N935" s="143"/>
      <c r="O935" s="28"/>
      <c r="P935" s="28"/>
      <c r="Q935" s="28"/>
      <c r="R935" s="143"/>
      <c r="S935" s="143"/>
      <c r="T935" s="143"/>
      <c r="U935" s="143"/>
      <c r="V935" s="143"/>
      <c r="W935" s="143"/>
      <c r="X935" s="143"/>
    </row>
    <row r="936" spans="1:24" ht="15" customHeight="1" x14ac:dyDescent="0.25">
      <c r="A936" s="55"/>
      <c r="B936" s="55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143"/>
      <c r="N936" s="143"/>
      <c r="O936" s="28"/>
      <c r="P936" s="28"/>
      <c r="Q936" s="28"/>
      <c r="R936" s="143"/>
      <c r="S936" s="143"/>
      <c r="T936" s="143"/>
      <c r="U936" s="143"/>
      <c r="V936" s="143"/>
      <c r="W936" s="143"/>
      <c r="X936" s="143"/>
    </row>
    <row r="937" spans="1:24" ht="15" customHeight="1" x14ac:dyDescent="0.25">
      <c r="A937" s="55"/>
      <c r="B937" s="55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143"/>
      <c r="N937" s="143"/>
      <c r="O937" s="28"/>
      <c r="P937" s="28"/>
      <c r="Q937" s="28"/>
      <c r="R937" s="143"/>
      <c r="S937" s="143"/>
      <c r="T937" s="143"/>
      <c r="U937" s="143"/>
      <c r="V937" s="143"/>
      <c r="W937" s="143"/>
      <c r="X937" s="143"/>
    </row>
    <row r="938" spans="1:24" ht="15" customHeight="1" x14ac:dyDescent="0.25">
      <c r="A938" s="55"/>
      <c r="B938" s="55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143"/>
      <c r="N938" s="143"/>
      <c r="O938" s="28"/>
      <c r="P938" s="28"/>
      <c r="Q938" s="28"/>
      <c r="R938" s="143"/>
      <c r="S938" s="143"/>
      <c r="T938" s="143"/>
      <c r="U938" s="143"/>
      <c r="V938" s="143"/>
      <c r="W938" s="143"/>
      <c r="X938" s="143"/>
    </row>
    <row r="939" spans="1:24" ht="15" customHeight="1" x14ac:dyDescent="0.25">
      <c r="A939" s="55"/>
      <c r="B939" s="55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143"/>
      <c r="N939" s="143"/>
      <c r="O939" s="28"/>
      <c r="P939" s="28"/>
      <c r="Q939" s="28"/>
      <c r="R939" s="143"/>
      <c r="S939" s="143"/>
      <c r="T939" s="143"/>
      <c r="U939" s="143"/>
      <c r="V939" s="143"/>
      <c r="W939" s="143"/>
      <c r="X939" s="143"/>
    </row>
    <row r="940" spans="1:24" ht="15" customHeight="1" x14ac:dyDescent="0.25">
      <c r="A940" s="55"/>
      <c r="B940" s="55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143"/>
      <c r="N940" s="143"/>
      <c r="O940" s="28"/>
      <c r="P940" s="28"/>
      <c r="Q940" s="28"/>
      <c r="R940" s="143"/>
      <c r="S940" s="143"/>
      <c r="T940" s="143"/>
      <c r="U940" s="143"/>
      <c r="V940" s="143"/>
      <c r="W940" s="143"/>
      <c r="X940" s="143"/>
    </row>
    <row r="941" spans="1:24" ht="15" customHeight="1" x14ac:dyDescent="0.25">
      <c r="A941" s="55"/>
      <c r="B941" s="55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143"/>
      <c r="N941" s="143"/>
      <c r="O941" s="28"/>
      <c r="P941" s="28"/>
      <c r="Q941" s="28"/>
      <c r="R941" s="143"/>
      <c r="S941" s="143"/>
      <c r="T941" s="143"/>
      <c r="U941" s="143"/>
      <c r="V941" s="143"/>
      <c r="W941" s="143"/>
      <c r="X941" s="143"/>
    </row>
    <row r="942" spans="1:24" ht="15" customHeight="1" x14ac:dyDescent="0.25">
      <c r="A942" s="55"/>
      <c r="B942" s="55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143"/>
      <c r="N942" s="143"/>
      <c r="O942" s="28"/>
      <c r="P942" s="28"/>
      <c r="Q942" s="28"/>
      <c r="R942" s="143"/>
      <c r="S942" s="143"/>
      <c r="T942" s="143"/>
      <c r="U942" s="143"/>
      <c r="V942" s="143"/>
      <c r="W942" s="143"/>
      <c r="X942" s="143"/>
    </row>
    <row r="943" spans="1:24" ht="15" customHeight="1" x14ac:dyDescent="0.25">
      <c r="A943" s="55"/>
      <c r="B943" s="55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143"/>
      <c r="N943" s="143"/>
      <c r="O943" s="28"/>
      <c r="P943" s="28"/>
      <c r="Q943" s="28"/>
      <c r="R943" s="143"/>
      <c r="S943" s="143"/>
      <c r="T943" s="143"/>
      <c r="U943" s="143"/>
      <c r="V943" s="143"/>
      <c r="W943" s="143"/>
      <c r="X943" s="143"/>
    </row>
    <row r="944" spans="1:24" ht="15" customHeight="1" x14ac:dyDescent="0.25">
      <c r="A944" s="55"/>
      <c r="B944" s="55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143"/>
      <c r="N944" s="143"/>
      <c r="O944" s="28"/>
      <c r="P944" s="28"/>
      <c r="Q944" s="28"/>
      <c r="R944" s="143"/>
      <c r="S944" s="143"/>
      <c r="T944" s="143"/>
      <c r="U944" s="143"/>
      <c r="V944" s="143"/>
      <c r="W944" s="143"/>
      <c r="X944" s="143"/>
    </row>
    <row r="945" spans="1:24" ht="15" customHeight="1" x14ac:dyDescent="0.25">
      <c r="A945" s="55"/>
      <c r="B945" s="55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143"/>
      <c r="N945" s="143"/>
      <c r="O945" s="28"/>
      <c r="P945" s="28"/>
      <c r="Q945" s="28"/>
      <c r="R945" s="143"/>
      <c r="S945" s="143"/>
      <c r="T945" s="143"/>
      <c r="U945" s="143"/>
      <c r="V945" s="143"/>
      <c r="W945" s="143"/>
      <c r="X945" s="143"/>
    </row>
    <row r="946" spans="1:24" ht="15" customHeight="1" x14ac:dyDescent="0.25">
      <c r="A946" s="55"/>
      <c r="B946" s="55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143"/>
      <c r="N946" s="143"/>
      <c r="O946" s="28"/>
      <c r="P946" s="28"/>
      <c r="Q946" s="28"/>
      <c r="R946" s="143"/>
      <c r="S946" s="143"/>
      <c r="T946" s="143"/>
      <c r="U946" s="143"/>
      <c r="V946" s="143"/>
      <c r="W946" s="143"/>
      <c r="X946" s="143"/>
    </row>
    <row r="947" spans="1:24" ht="15" customHeight="1" x14ac:dyDescent="0.25">
      <c r="A947" s="55"/>
      <c r="B947" s="55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143"/>
      <c r="N947" s="143"/>
      <c r="O947" s="28"/>
      <c r="P947" s="28"/>
      <c r="Q947" s="28"/>
      <c r="R947" s="143"/>
      <c r="S947" s="143"/>
      <c r="T947" s="143"/>
      <c r="U947" s="143"/>
      <c r="V947" s="143"/>
      <c r="W947" s="143"/>
      <c r="X947" s="143"/>
    </row>
    <row r="948" spans="1:24" ht="15" customHeight="1" x14ac:dyDescent="0.25">
      <c r="A948" s="55"/>
      <c r="B948" s="55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143"/>
      <c r="N948" s="143"/>
      <c r="O948" s="28"/>
      <c r="P948" s="28"/>
      <c r="Q948" s="28"/>
      <c r="R948" s="143"/>
      <c r="S948" s="143"/>
      <c r="T948" s="143"/>
      <c r="U948" s="143"/>
      <c r="V948" s="143"/>
      <c r="W948" s="143"/>
      <c r="X948" s="143"/>
    </row>
    <row r="949" spans="1:24" ht="15" customHeight="1" x14ac:dyDescent="0.25">
      <c r="A949" s="55"/>
      <c r="B949" s="55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143"/>
      <c r="N949" s="143"/>
      <c r="O949" s="28"/>
      <c r="P949" s="28"/>
      <c r="Q949" s="28"/>
      <c r="R949" s="143"/>
      <c r="S949" s="143"/>
      <c r="T949" s="143"/>
      <c r="U949" s="143"/>
      <c r="V949" s="143"/>
      <c r="W949" s="143"/>
      <c r="X949" s="143"/>
    </row>
    <row r="950" spans="1:24" ht="15" customHeight="1" x14ac:dyDescent="0.25">
      <c r="A950" s="55"/>
      <c r="B950" s="55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143"/>
      <c r="N950" s="143"/>
      <c r="O950" s="28"/>
      <c r="P950" s="28"/>
      <c r="Q950" s="28"/>
      <c r="R950" s="143"/>
      <c r="S950" s="143"/>
      <c r="T950" s="143"/>
      <c r="U950" s="143"/>
      <c r="V950" s="143"/>
      <c r="W950" s="143"/>
      <c r="X950" s="143"/>
    </row>
    <row r="951" spans="1:24" ht="15" customHeight="1" x14ac:dyDescent="0.25">
      <c r="A951" s="55"/>
      <c r="B951" s="55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143"/>
      <c r="N951" s="143"/>
      <c r="O951" s="28"/>
      <c r="P951" s="28"/>
      <c r="Q951" s="28"/>
      <c r="R951" s="143"/>
      <c r="S951" s="143"/>
      <c r="T951" s="143"/>
      <c r="U951" s="143"/>
      <c r="V951" s="143"/>
      <c r="W951" s="143"/>
      <c r="X951" s="143"/>
    </row>
    <row r="952" spans="1:24" ht="15" customHeight="1" x14ac:dyDescent="0.25">
      <c r="A952" s="55"/>
      <c r="B952" s="55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143"/>
      <c r="N952" s="143"/>
      <c r="O952" s="28"/>
      <c r="P952" s="28"/>
      <c r="Q952" s="28"/>
      <c r="R952" s="143"/>
      <c r="S952" s="143"/>
      <c r="T952" s="143"/>
      <c r="U952" s="143"/>
      <c r="V952" s="143"/>
      <c r="W952" s="143"/>
      <c r="X952" s="143"/>
    </row>
    <row r="953" spans="1:24" ht="15" customHeight="1" x14ac:dyDescent="0.25">
      <c r="A953" s="55"/>
      <c r="B953" s="55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143"/>
      <c r="N953" s="143"/>
      <c r="O953" s="28"/>
      <c r="P953" s="28"/>
      <c r="Q953" s="28"/>
      <c r="R953" s="143"/>
      <c r="S953" s="143"/>
      <c r="T953" s="143"/>
      <c r="U953" s="143"/>
      <c r="V953" s="143"/>
      <c r="W953" s="143"/>
      <c r="X953" s="143"/>
    </row>
    <row r="954" spans="1:24" ht="15" customHeight="1" x14ac:dyDescent="0.25">
      <c r="A954" s="55"/>
      <c r="B954" s="55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143"/>
      <c r="N954" s="143"/>
      <c r="O954" s="28"/>
      <c r="P954" s="28"/>
      <c r="Q954" s="28"/>
      <c r="R954" s="143"/>
      <c r="S954" s="143"/>
      <c r="T954" s="143"/>
      <c r="U954" s="143"/>
      <c r="V954" s="143"/>
      <c r="W954" s="143"/>
      <c r="X954" s="143"/>
    </row>
    <row r="955" spans="1:24" ht="15" customHeight="1" x14ac:dyDescent="0.25">
      <c r="A955" s="55"/>
      <c r="B955" s="55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143"/>
      <c r="N955" s="143"/>
      <c r="O955" s="28"/>
      <c r="P955" s="28"/>
      <c r="Q955" s="28"/>
      <c r="R955" s="143"/>
      <c r="S955" s="143"/>
      <c r="T955" s="143"/>
      <c r="U955" s="143"/>
      <c r="V955" s="143"/>
      <c r="W955" s="143"/>
      <c r="X955" s="143"/>
    </row>
    <row r="956" spans="1:24" ht="15" customHeight="1" x14ac:dyDescent="0.25">
      <c r="A956" s="55"/>
      <c r="B956" s="55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143"/>
      <c r="N956" s="143"/>
      <c r="O956" s="28"/>
      <c r="P956" s="28"/>
      <c r="Q956" s="28"/>
      <c r="R956" s="143"/>
      <c r="S956" s="143"/>
      <c r="T956" s="143"/>
      <c r="U956" s="143"/>
      <c r="V956" s="143"/>
      <c r="W956" s="143"/>
      <c r="X956" s="143"/>
    </row>
    <row r="957" spans="1:24" ht="15" customHeight="1" x14ac:dyDescent="0.25">
      <c r="A957" s="55"/>
      <c r="B957" s="55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143"/>
      <c r="N957" s="143"/>
      <c r="O957" s="28"/>
      <c r="P957" s="28"/>
      <c r="Q957" s="28"/>
      <c r="R957" s="143"/>
      <c r="S957" s="143"/>
      <c r="T957" s="143"/>
      <c r="U957" s="143"/>
      <c r="V957" s="143"/>
      <c r="W957" s="143"/>
      <c r="X957" s="143"/>
    </row>
    <row r="958" spans="1:24" ht="15" customHeight="1" x14ac:dyDescent="0.25">
      <c r="A958" s="55"/>
      <c r="B958" s="55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143"/>
      <c r="N958" s="143"/>
      <c r="O958" s="28"/>
      <c r="P958" s="28"/>
      <c r="Q958" s="28"/>
      <c r="R958" s="143"/>
      <c r="S958" s="143"/>
      <c r="T958" s="143"/>
      <c r="U958" s="143"/>
      <c r="V958" s="143"/>
      <c r="W958" s="143"/>
      <c r="X958" s="143"/>
    </row>
    <row r="959" spans="1:24" ht="15" customHeight="1" x14ac:dyDescent="0.25">
      <c r="A959" s="55"/>
      <c r="B959" s="55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143"/>
      <c r="N959" s="143"/>
      <c r="O959" s="28"/>
      <c r="P959" s="28"/>
      <c r="Q959" s="28"/>
      <c r="R959" s="143"/>
      <c r="S959" s="143"/>
      <c r="T959" s="143"/>
      <c r="U959" s="143"/>
      <c r="V959" s="143"/>
      <c r="W959" s="143"/>
      <c r="X959" s="143"/>
    </row>
    <row r="960" spans="1:24" ht="15" customHeight="1" x14ac:dyDescent="0.25">
      <c r="A960" s="55"/>
      <c r="B960" s="55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143"/>
      <c r="N960" s="143"/>
      <c r="O960" s="28"/>
      <c r="P960" s="28"/>
      <c r="Q960" s="28"/>
      <c r="R960" s="143"/>
      <c r="S960" s="143"/>
      <c r="T960" s="143"/>
      <c r="U960" s="143"/>
      <c r="V960" s="143"/>
      <c r="W960" s="143"/>
      <c r="X960" s="143"/>
    </row>
    <row r="961" spans="1:24" ht="15" customHeight="1" x14ac:dyDescent="0.25">
      <c r="A961" s="55"/>
      <c r="B961" s="55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143"/>
      <c r="N961" s="143"/>
      <c r="O961" s="28"/>
      <c r="P961" s="28"/>
      <c r="Q961" s="28"/>
      <c r="R961" s="143"/>
      <c r="S961" s="143"/>
      <c r="T961" s="143"/>
      <c r="U961" s="143"/>
      <c r="V961" s="143"/>
      <c r="W961" s="143"/>
      <c r="X961" s="143"/>
    </row>
    <row r="962" spans="1:24" ht="15" customHeight="1" x14ac:dyDescent="0.25">
      <c r="A962" s="55"/>
      <c r="B962" s="55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143"/>
      <c r="N962" s="143"/>
      <c r="O962" s="28"/>
      <c r="P962" s="28"/>
      <c r="Q962" s="28"/>
      <c r="R962" s="143"/>
      <c r="S962" s="143"/>
      <c r="T962" s="143"/>
      <c r="U962" s="143"/>
      <c r="V962" s="143"/>
      <c r="W962" s="143"/>
      <c r="X962" s="143"/>
    </row>
    <row r="963" spans="1:24" ht="15" customHeight="1" x14ac:dyDescent="0.25">
      <c r="A963" s="55"/>
      <c r="B963" s="55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143"/>
      <c r="N963" s="143"/>
      <c r="O963" s="28"/>
      <c r="P963" s="28"/>
      <c r="Q963" s="28"/>
      <c r="R963" s="143"/>
      <c r="S963" s="143"/>
      <c r="T963" s="143"/>
      <c r="U963" s="143"/>
      <c r="V963" s="143"/>
      <c r="W963" s="143"/>
      <c r="X963" s="143"/>
    </row>
    <row r="964" spans="1:24" ht="15" customHeight="1" x14ac:dyDescent="0.25">
      <c r="A964" s="55"/>
      <c r="B964" s="55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143"/>
      <c r="N964" s="143"/>
      <c r="O964" s="28"/>
      <c r="P964" s="28"/>
      <c r="Q964" s="28"/>
      <c r="R964" s="143"/>
      <c r="S964" s="143"/>
      <c r="T964" s="143"/>
      <c r="U964" s="143"/>
      <c r="V964" s="143"/>
      <c r="W964" s="143"/>
      <c r="X964" s="143"/>
    </row>
    <row r="965" spans="1:24" ht="15" customHeight="1" x14ac:dyDescent="0.25">
      <c r="A965" s="55"/>
      <c r="B965" s="55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143"/>
      <c r="N965" s="143"/>
      <c r="O965" s="28"/>
      <c r="P965" s="28"/>
      <c r="Q965" s="28"/>
      <c r="R965" s="143"/>
      <c r="S965" s="143"/>
      <c r="T965" s="143"/>
      <c r="U965" s="143"/>
      <c r="V965" s="143"/>
      <c r="W965" s="143"/>
      <c r="X965" s="143"/>
    </row>
    <row r="966" spans="1:24" ht="15" customHeight="1" x14ac:dyDescent="0.25">
      <c r="A966" s="55"/>
      <c r="B966" s="55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143"/>
      <c r="N966" s="143"/>
      <c r="O966" s="28"/>
      <c r="P966" s="28"/>
      <c r="Q966" s="28"/>
      <c r="R966" s="143"/>
      <c r="S966" s="143"/>
      <c r="T966" s="143"/>
      <c r="U966" s="143"/>
      <c r="V966" s="143"/>
      <c r="W966" s="143"/>
      <c r="X966" s="143"/>
    </row>
    <row r="967" spans="1:24" ht="15" customHeight="1" x14ac:dyDescent="0.25">
      <c r="A967" s="55"/>
      <c r="B967" s="55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143"/>
      <c r="N967" s="143"/>
      <c r="O967" s="28"/>
      <c r="P967" s="28"/>
      <c r="Q967" s="28"/>
      <c r="R967" s="143"/>
      <c r="S967" s="143"/>
      <c r="T967" s="143"/>
      <c r="U967" s="143"/>
      <c r="V967" s="143"/>
      <c r="W967" s="143"/>
      <c r="X967" s="143"/>
    </row>
    <row r="968" spans="1:24" ht="15" customHeight="1" x14ac:dyDescent="0.25">
      <c r="A968" s="55"/>
      <c r="B968" s="55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143"/>
      <c r="N968" s="143"/>
      <c r="O968" s="28"/>
      <c r="P968" s="28"/>
      <c r="Q968" s="28"/>
      <c r="R968" s="143"/>
      <c r="S968" s="143"/>
      <c r="T968" s="143"/>
      <c r="U968" s="143"/>
      <c r="V968" s="143"/>
      <c r="W968" s="143"/>
      <c r="X968" s="143"/>
    </row>
    <row r="969" spans="1:24" ht="15" customHeight="1" x14ac:dyDescent="0.25">
      <c r="A969" s="55"/>
      <c r="B969" s="55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143"/>
      <c r="N969" s="143"/>
      <c r="O969" s="28"/>
      <c r="P969" s="28"/>
      <c r="Q969" s="28"/>
      <c r="R969" s="143"/>
      <c r="S969" s="143"/>
      <c r="T969" s="143"/>
      <c r="U969" s="143"/>
      <c r="V969" s="143"/>
      <c r="W969" s="143"/>
      <c r="X969" s="143"/>
    </row>
    <row r="970" spans="1:24" ht="15" customHeight="1" x14ac:dyDescent="0.25">
      <c r="A970" s="55"/>
      <c r="B970" s="55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143"/>
      <c r="N970" s="143"/>
      <c r="O970" s="28"/>
      <c r="P970" s="28"/>
      <c r="Q970" s="28"/>
      <c r="R970" s="143"/>
      <c r="S970" s="143"/>
      <c r="T970" s="143"/>
      <c r="U970" s="143"/>
      <c r="V970" s="143"/>
      <c r="W970" s="143"/>
      <c r="X970" s="143"/>
    </row>
    <row r="971" spans="1:24" ht="15" customHeight="1" x14ac:dyDescent="0.25">
      <c r="A971" s="55"/>
      <c r="B971" s="55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143"/>
      <c r="N971" s="143"/>
      <c r="O971" s="28"/>
      <c r="P971" s="28"/>
      <c r="Q971" s="28"/>
      <c r="R971" s="143"/>
      <c r="S971" s="143"/>
      <c r="T971" s="143"/>
      <c r="U971" s="143"/>
      <c r="V971" s="143"/>
      <c r="W971" s="143"/>
      <c r="X971" s="143"/>
    </row>
    <row r="972" spans="1:24" ht="15" customHeight="1" x14ac:dyDescent="0.25">
      <c r="A972" s="55"/>
      <c r="B972" s="55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143"/>
      <c r="N972" s="143"/>
      <c r="O972" s="28"/>
      <c r="P972" s="28"/>
      <c r="Q972" s="28"/>
      <c r="R972" s="143"/>
      <c r="S972" s="143"/>
      <c r="T972" s="143"/>
      <c r="U972" s="143"/>
      <c r="V972" s="143"/>
      <c r="W972" s="143"/>
      <c r="X972" s="143"/>
    </row>
    <row r="973" spans="1:24" ht="15" customHeight="1" x14ac:dyDescent="0.25">
      <c r="A973" s="55"/>
      <c r="B973" s="55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143"/>
      <c r="N973" s="143"/>
      <c r="O973" s="28"/>
      <c r="P973" s="28"/>
      <c r="Q973" s="28"/>
      <c r="R973" s="143"/>
      <c r="S973" s="143"/>
      <c r="T973" s="143"/>
      <c r="U973" s="143"/>
      <c r="V973" s="143"/>
      <c r="W973" s="143"/>
      <c r="X973" s="143"/>
    </row>
    <row r="974" spans="1:24" ht="15" customHeight="1" x14ac:dyDescent="0.25">
      <c r="A974" s="55"/>
      <c r="B974" s="55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143"/>
      <c r="N974" s="143"/>
      <c r="O974" s="28"/>
      <c r="P974" s="28"/>
      <c r="Q974" s="28"/>
      <c r="R974" s="143"/>
      <c r="S974" s="143"/>
      <c r="T974" s="143"/>
      <c r="U974" s="143"/>
      <c r="V974" s="143"/>
      <c r="W974" s="143"/>
      <c r="X974" s="143"/>
    </row>
    <row r="975" spans="1:24" ht="15" customHeight="1" x14ac:dyDescent="0.25">
      <c r="A975" s="55"/>
      <c r="B975" s="55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143"/>
      <c r="N975" s="143"/>
      <c r="O975" s="28"/>
      <c r="P975" s="28"/>
      <c r="Q975" s="28"/>
      <c r="R975" s="143"/>
      <c r="S975" s="143"/>
      <c r="T975" s="143"/>
      <c r="U975" s="143"/>
      <c r="V975" s="143"/>
      <c r="W975" s="143"/>
      <c r="X975" s="143"/>
    </row>
    <row r="976" spans="1:24" ht="15" customHeight="1" x14ac:dyDescent="0.25">
      <c r="A976" s="55"/>
      <c r="B976" s="55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143"/>
      <c r="N976" s="143"/>
      <c r="O976" s="28"/>
      <c r="P976" s="28"/>
      <c r="Q976" s="28"/>
      <c r="R976" s="143"/>
      <c r="S976" s="143"/>
      <c r="T976" s="143"/>
      <c r="U976" s="143"/>
      <c r="V976" s="143"/>
      <c r="W976" s="143"/>
      <c r="X976" s="143"/>
    </row>
    <row r="977" spans="1:24" ht="15" customHeight="1" x14ac:dyDescent="0.25">
      <c r="A977" s="55"/>
      <c r="B977" s="55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143"/>
      <c r="N977" s="143"/>
      <c r="O977" s="28"/>
      <c r="P977" s="28"/>
      <c r="Q977" s="28"/>
      <c r="R977" s="143"/>
      <c r="S977" s="143"/>
      <c r="T977" s="143"/>
      <c r="U977" s="143"/>
      <c r="V977" s="143"/>
      <c r="W977" s="143"/>
      <c r="X977" s="143"/>
    </row>
    <row r="978" spans="1:24" ht="15" customHeight="1" x14ac:dyDescent="0.25">
      <c r="A978" s="55"/>
      <c r="B978" s="55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143"/>
      <c r="N978" s="143"/>
      <c r="O978" s="28"/>
      <c r="P978" s="28"/>
      <c r="Q978" s="28"/>
      <c r="R978" s="143"/>
      <c r="S978" s="143"/>
      <c r="T978" s="143"/>
      <c r="U978" s="143"/>
      <c r="V978" s="143"/>
      <c r="W978" s="143"/>
      <c r="X978" s="143"/>
    </row>
    <row r="979" spans="1:24" ht="15" customHeight="1" x14ac:dyDescent="0.25">
      <c r="A979" s="55"/>
      <c r="B979" s="55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143"/>
      <c r="N979" s="143"/>
      <c r="O979" s="28"/>
      <c r="P979" s="28"/>
      <c r="Q979" s="28"/>
      <c r="R979" s="143"/>
      <c r="S979" s="143"/>
      <c r="T979" s="143"/>
      <c r="U979" s="143"/>
      <c r="V979" s="143"/>
      <c r="W979" s="143"/>
      <c r="X979" s="143"/>
    </row>
    <row r="980" spans="1:24" ht="15" customHeight="1" x14ac:dyDescent="0.25">
      <c r="A980" s="55"/>
      <c r="B980" s="55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143"/>
      <c r="N980" s="143"/>
      <c r="O980" s="28"/>
      <c r="P980" s="28"/>
      <c r="Q980" s="28"/>
      <c r="R980" s="143"/>
      <c r="S980" s="143"/>
      <c r="T980" s="143"/>
      <c r="U980" s="143"/>
      <c r="V980" s="143"/>
      <c r="W980" s="143"/>
      <c r="X980" s="143"/>
    </row>
    <row r="981" spans="1:24" ht="15" customHeight="1" x14ac:dyDescent="0.25">
      <c r="A981" s="55"/>
      <c r="B981" s="55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143"/>
      <c r="N981" s="143"/>
      <c r="O981" s="28"/>
      <c r="P981" s="28"/>
      <c r="Q981" s="28"/>
      <c r="R981" s="143"/>
      <c r="S981" s="143"/>
      <c r="T981" s="143"/>
      <c r="U981" s="143"/>
      <c r="V981" s="143"/>
      <c r="W981" s="143"/>
      <c r="X981" s="143"/>
    </row>
    <row r="982" spans="1:24" ht="15" customHeight="1" x14ac:dyDescent="0.25">
      <c r="A982" s="55"/>
      <c r="B982" s="55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143"/>
      <c r="N982" s="143"/>
      <c r="O982" s="28"/>
      <c r="P982" s="28"/>
      <c r="Q982" s="28"/>
      <c r="R982" s="143"/>
      <c r="S982" s="143"/>
      <c r="T982" s="143"/>
      <c r="U982" s="143"/>
      <c r="V982" s="143"/>
      <c r="W982" s="143"/>
      <c r="X982" s="143"/>
    </row>
    <row r="983" spans="1:24" ht="15" customHeight="1" x14ac:dyDescent="0.25">
      <c r="A983" s="55"/>
      <c r="B983" s="55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143"/>
      <c r="N983" s="143"/>
      <c r="O983" s="28"/>
      <c r="P983" s="28"/>
      <c r="Q983" s="28"/>
      <c r="R983" s="143"/>
      <c r="S983" s="143"/>
      <c r="T983" s="143"/>
      <c r="U983" s="143"/>
      <c r="V983" s="143"/>
      <c r="W983" s="143"/>
      <c r="X983" s="143"/>
    </row>
    <row r="984" spans="1:24" ht="15" customHeight="1" x14ac:dyDescent="0.25">
      <c r="A984" s="55"/>
      <c r="B984" s="55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143"/>
      <c r="N984" s="143"/>
      <c r="O984" s="28"/>
      <c r="P984" s="28"/>
      <c r="Q984" s="28"/>
      <c r="R984" s="143"/>
      <c r="S984" s="143"/>
      <c r="T984" s="143"/>
      <c r="U984" s="143"/>
      <c r="V984" s="143"/>
      <c r="W984" s="143"/>
      <c r="X984" s="143"/>
    </row>
    <row r="985" spans="1:24" ht="15" customHeight="1" x14ac:dyDescent="0.25">
      <c r="A985" s="55"/>
      <c r="B985" s="55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143"/>
      <c r="N985" s="143"/>
      <c r="O985" s="28"/>
      <c r="P985" s="28"/>
      <c r="Q985" s="28"/>
      <c r="R985" s="143"/>
      <c r="S985" s="143"/>
      <c r="T985" s="143"/>
      <c r="U985" s="143"/>
      <c r="V985" s="143"/>
      <c r="W985" s="143"/>
      <c r="X985" s="143"/>
    </row>
    <row r="986" spans="1:24" ht="15" customHeight="1" x14ac:dyDescent="0.25">
      <c r="A986" s="55"/>
      <c r="B986" s="55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143"/>
      <c r="N986" s="143"/>
      <c r="O986" s="28"/>
      <c r="P986" s="28"/>
      <c r="Q986" s="28"/>
      <c r="R986" s="143"/>
      <c r="S986" s="143"/>
      <c r="T986" s="143"/>
      <c r="U986" s="143"/>
      <c r="V986" s="143"/>
      <c r="W986" s="143"/>
      <c r="X986" s="143"/>
    </row>
    <row r="987" spans="1:24" ht="15" customHeight="1" x14ac:dyDescent="0.25">
      <c r="A987" s="55"/>
      <c r="B987" s="55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143"/>
      <c r="N987" s="143"/>
      <c r="O987" s="28"/>
      <c r="P987" s="28"/>
      <c r="Q987" s="28"/>
      <c r="R987" s="143"/>
      <c r="S987" s="143"/>
      <c r="T987" s="143"/>
      <c r="U987" s="143"/>
      <c r="V987" s="143"/>
      <c r="W987" s="143"/>
      <c r="X987" s="143"/>
    </row>
    <row r="988" spans="1:24" ht="15" customHeight="1" x14ac:dyDescent="0.25">
      <c r="A988" s="55"/>
      <c r="B988" s="55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143"/>
      <c r="N988" s="143"/>
      <c r="O988" s="28"/>
      <c r="P988" s="28"/>
      <c r="Q988" s="28"/>
      <c r="R988" s="143"/>
      <c r="S988" s="143"/>
      <c r="T988" s="143"/>
      <c r="U988" s="143"/>
      <c r="V988" s="143"/>
      <c r="W988" s="143"/>
      <c r="X988" s="143"/>
    </row>
    <row r="989" spans="1:24" ht="15" customHeight="1" x14ac:dyDescent="0.25">
      <c r="A989" s="55"/>
      <c r="B989" s="55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143"/>
      <c r="N989" s="143"/>
      <c r="O989" s="28"/>
      <c r="P989" s="28"/>
      <c r="Q989" s="28"/>
      <c r="R989" s="143"/>
      <c r="S989" s="143"/>
      <c r="T989" s="143"/>
      <c r="U989" s="143"/>
      <c r="V989" s="143"/>
      <c r="W989" s="143"/>
      <c r="X989" s="143"/>
    </row>
    <row r="990" spans="1:24" ht="15" customHeight="1" x14ac:dyDescent="0.25">
      <c r="A990" s="55"/>
      <c r="B990" s="55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143"/>
      <c r="N990" s="143"/>
      <c r="O990" s="28"/>
      <c r="P990" s="28"/>
      <c r="Q990" s="28"/>
      <c r="R990" s="143"/>
      <c r="S990" s="143"/>
      <c r="T990" s="143"/>
      <c r="U990" s="143"/>
      <c r="V990" s="143"/>
      <c r="W990" s="143"/>
      <c r="X990" s="143"/>
    </row>
    <row r="991" spans="1:24" ht="15" customHeight="1" x14ac:dyDescent="0.25">
      <c r="A991" s="55"/>
      <c r="B991" s="55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143"/>
      <c r="N991" s="143"/>
      <c r="O991" s="28"/>
      <c r="P991" s="28"/>
      <c r="Q991" s="28"/>
      <c r="R991" s="143"/>
      <c r="S991" s="143"/>
      <c r="T991" s="143"/>
      <c r="U991" s="143"/>
      <c r="V991" s="143"/>
      <c r="W991" s="143"/>
      <c r="X991" s="143"/>
    </row>
    <row r="992" spans="1:24" ht="15" customHeight="1" x14ac:dyDescent="0.25">
      <c r="A992" s="55"/>
      <c r="B992" s="55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143"/>
      <c r="N992" s="143"/>
      <c r="O992" s="28"/>
      <c r="P992" s="28"/>
      <c r="Q992" s="28"/>
      <c r="R992" s="143"/>
      <c r="S992" s="143"/>
      <c r="T992" s="143"/>
      <c r="U992" s="143"/>
      <c r="V992" s="143"/>
      <c r="W992" s="143"/>
      <c r="X992" s="143"/>
    </row>
    <row r="993" spans="1:24" ht="15" customHeight="1" x14ac:dyDescent="0.25">
      <c r="A993" s="55"/>
      <c r="B993" s="55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143"/>
      <c r="N993" s="143"/>
      <c r="O993" s="28"/>
      <c r="P993" s="28"/>
      <c r="Q993" s="28"/>
      <c r="R993" s="143"/>
      <c r="S993" s="143"/>
      <c r="T993" s="143"/>
      <c r="U993" s="143"/>
      <c r="V993" s="143"/>
      <c r="W993" s="143"/>
      <c r="X993" s="143"/>
    </row>
    <row r="994" spans="1:24" ht="15" customHeight="1" x14ac:dyDescent="0.25">
      <c r="A994" s="55"/>
      <c r="B994" s="55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143"/>
      <c r="N994" s="143"/>
      <c r="O994" s="28"/>
      <c r="P994" s="28"/>
      <c r="Q994" s="28"/>
      <c r="R994" s="143"/>
      <c r="S994" s="143"/>
      <c r="T994" s="143"/>
      <c r="U994" s="143"/>
      <c r="V994" s="143"/>
      <c r="W994" s="143"/>
      <c r="X994" s="143"/>
    </row>
    <row r="995" spans="1:24" ht="15" customHeight="1" x14ac:dyDescent="0.25">
      <c r="A995" s="55"/>
      <c r="B995" s="55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143"/>
      <c r="N995" s="143"/>
      <c r="O995" s="28"/>
      <c r="P995" s="28"/>
      <c r="Q995" s="28"/>
      <c r="R995" s="143"/>
      <c r="S995" s="143"/>
      <c r="T995" s="143"/>
      <c r="U995" s="143"/>
      <c r="V995" s="143"/>
      <c r="W995" s="143"/>
      <c r="X995" s="143"/>
    </row>
    <row r="996" spans="1:24" ht="15" customHeight="1" x14ac:dyDescent="0.25">
      <c r="A996" s="55"/>
      <c r="B996" s="55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143"/>
      <c r="N996" s="143"/>
      <c r="O996" s="28"/>
      <c r="P996" s="28"/>
      <c r="Q996" s="28"/>
      <c r="R996" s="143"/>
      <c r="S996" s="143"/>
      <c r="T996" s="143"/>
      <c r="U996" s="143"/>
      <c r="V996" s="143"/>
      <c r="W996" s="143"/>
      <c r="X996" s="143"/>
    </row>
    <row r="997" spans="1:24" ht="15" customHeight="1" x14ac:dyDescent="0.25">
      <c r="A997" s="55"/>
      <c r="B997" s="55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143"/>
      <c r="N997" s="143"/>
      <c r="O997" s="28"/>
      <c r="P997" s="28"/>
      <c r="Q997" s="28"/>
      <c r="R997" s="143"/>
      <c r="S997" s="143"/>
      <c r="T997" s="143"/>
      <c r="U997" s="143"/>
      <c r="V997" s="143"/>
      <c r="W997" s="143"/>
      <c r="X997" s="143"/>
    </row>
    <row r="998" spans="1:24" ht="15" customHeight="1" x14ac:dyDescent="0.25">
      <c r="A998" s="55"/>
      <c r="B998" s="55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143"/>
      <c r="N998" s="143"/>
      <c r="O998" s="28"/>
      <c r="P998" s="28"/>
      <c r="Q998" s="28"/>
      <c r="R998" s="143"/>
      <c r="S998" s="143"/>
      <c r="T998" s="143"/>
      <c r="U998" s="143"/>
      <c r="V998" s="143"/>
      <c r="W998" s="143"/>
      <c r="X998" s="143"/>
    </row>
    <row r="999" spans="1:24" ht="15" customHeight="1" x14ac:dyDescent="0.25">
      <c r="A999" s="55"/>
      <c r="B999" s="55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143"/>
      <c r="N999" s="143"/>
      <c r="O999" s="28"/>
      <c r="P999" s="28"/>
      <c r="Q999" s="28"/>
      <c r="R999" s="143"/>
      <c r="S999" s="143"/>
      <c r="T999" s="143"/>
      <c r="U999" s="143"/>
      <c r="V999" s="143"/>
      <c r="W999" s="143"/>
      <c r="X999" s="143"/>
    </row>
    <row r="1000" spans="1:24" ht="15" customHeight="1" x14ac:dyDescent="0.25">
      <c r="A1000" s="55"/>
      <c r="B1000" s="55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143"/>
      <c r="N1000" s="143"/>
      <c r="O1000" s="28"/>
      <c r="P1000" s="28"/>
      <c r="Q1000" s="28"/>
      <c r="R1000" s="143"/>
      <c r="S1000" s="143"/>
      <c r="T1000" s="143"/>
      <c r="U1000" s="143"/>
      <c r="V1000" s="143"/>
      <c r="W1000" s="143"/>
      <c r="X1000" s="143"/>
    </row>
    <row r="1001" spans="1:24" ht="15" customHeight="1" x14ac:dyDescent="0.25">
      <c r="A1001" s="55"/>
      <c r="B1001" s="55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143"/>
      <c r="N1001" s="143"/>
      <c r="O1001" s="28"/>
      <c r="P1001" s="28"/>
      <c r="Q1001" s="28"/>
      <c r="R1001" s="143"/>
      <c r="S1001" s="143"/>
      <c r="T1001" s="143"/>
      <c r="U1001" s="143"/>
      <c r="V1001" s="143"/>
      <c r="W1001" s="143"/>
      <c r="X1001" s="143"/>
    </row>
    <row r="1002" spans="1:24" ht="15" customHeight="1" x14ac:dyDescent="0.25">
      <c r="A1002" s="55"/>
      <c r="B1002" s="55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143"/>
      <c r="N1002" s="143"/>
      <c r="O1002" s="28"/>
      <c r="P1002" s="28"/>
      <c r="Q1002" s="28"/>
      <c r="R1002" s="143"/>
      <c r="S1002" s="143"/>
      <c r="T1002" s="143"/>
      <c r="U1002" s="143"/>
      <c r="V1002" s="143"/>
      <c r="W1002" s="143"/>
      <c r="X1002" s="143"/>
    </row>
    <row r="1003" spans="1:24" ht="15" customHeight="1" x14ac:dyDescent="0.25">
      <c r="A1003" s="55"/>
      <c r="B1003" s="55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143"/>
      <c r="N1003" s="143"/>
      <c r="O1003" s="28"/>
      <c r="P1003" s="28"/>
      <c r="Q1003" s="28"/>
      <c r="R1003" s="143"/>
      <c r="S1003" s="143"/>
      <c r="T1003" s="143"/>
      <c r="U1003" s="143"/>
      <c r="V1003" s="143"/>
      <c r="W1003" s="143"/>
      <c r="X1003" s="143"/>
    </row>
    <row r="1004" spans="1:24" ht="15" customHeight="1" x14ac:dyDescent="0.25">
      <c r="A1004" s="55"/>
      <c r="B1004" s="55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143"/>
      <c r="N1004" s="143"/>
      <c r="O1004" s="28"/>
      <c r="P1004" s="28"/>
      <c r="Q1004" s="28"/>
      <c r="R1004" s="143"/>
      <c r="S1004" s="143"/>
      <c r="T1004" s="143"/>
      <c r="U1004" s="143"/>
      <c r="V1004" s="143"/>
      <c r="W1004" s="143"/>
      <c r="X1004" s="143"/>
    </row>
    <row r="1005" spans="1:24" ht="15" customHeight="1" x14ac:dyDescent="0.25">
      <c r="A1005" s="55"/>
      <c r="B1005" s="55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143"/>
      <c r="N1005" s="143"/>
      <c r="O1005" s="28"/>
      <c r="P1005" s="28"/>
      <c r="Q1005" s="28"/>
      <c r="R1005" s="143"/>
      <c r="S1005" s="143"/>
      <c r="T1005" s="143"/>
      <c r="U1005" s="143"/>
      <c r="V1005" s="143"/>
      <c r="W1005" s="143"/>
      <c r="X1005" s="143"/>
    </row>
    <row r="1006" spans="1:24" ht="15" customHeight="1" x14ac:dyDescent="0.25">
      <c r="A1006" s="55"/>
      <c r="B1006" s="55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143"/>
      <c r="N1006" s="143"/>
      <c r="O1006" s="28"/>
      <c r="P1006" s="28"/>
      <c r="Q1006" s="28"/>
      <c r="R1006" s="143"/>
      <c r="S1006" s="143"/>
      <c r="T1006" s="143"/>
      <c r="U1006" s="143"/>
      <c r="V1006" s="143"/>
      <c r="W1006" s="143"/>
      <c r="X1006" s="143"/>
    </row>
    <row r="1007" spans="1:24" ht="15" customHeight="1" x14ac:dyDescent="0.25">
      <c r="A1007" s="55"/>
      <c r="B1007" s="55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143"/>
      <c r="N1007" s="143"/>
      <c r="O1007" s="28"/>
      <c r="P1007" s="28"/>
      <c r="Q1007" s="28"/>
      <c r="R1007" s="143"/>
      <c r="S1007" s="143"/>
      <c r="T1007" s="143"/>
      <c r="U1007" s="143"/>
      <c r="V1007" s="143"/>
      <c r="W1007" s="143"/>
      <c r="X1007" s="143"/>
    </row>
    <row r="1008" spans="1:24" ht="15" customHeight="1" x14ac:dyDescent="0.25">
      <c r="A1008" s="55"/>
      <c r="B1008" s="55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143"/>
      <c r="N1008" s="143"/>
      <c r="O1008" s="28"/>
      <c r="P1008" s="28"/>
      <c r="Q1008" s="28"/>
      <c r="R1008" s="143"/>
      <c r="S1008" s="143"/>
      <c r="T1008" s="143"/>
      <c r="U1008" s="143"/>
      <c r="V1008" s="143"/>
      <c r="W1008" s="143"/>
      <c r="X1008" s="143"/>
    </row>
    <row r="1009" spans="1:24" ht="15" customHeight="1" x14ac:dyDescent="0.25">
      <c r="A1009" s="55"/>
      <c r="B1009" s="55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143"/>
      <c r="N1009" s="143"/>
      <c r="O1009" s="28"/>
      <c r="P1009" s="28"/>
      <c r="Q1009" s="28"/>
      <c r="R1009" s="143"/>
      <c r="S1009" s="143"/>
      <c r="T1009" s="143"/>
      <c r="U1009" s="143"/>
      <c r="V1009" s="143"/>
      <c r="W1009" s="143"/>
      <c r="X1009" s="143"/>
    </row>
    <row r="1010" spans="1:24" ht="15" customHeight="1" x14ac:dyDescent="0.25">
      <c r="A1010" s="55"/>
      <c r="B1010" s="55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143"/>
      <c r="N1010" s="143"/>
      <c r="O1010" s="28"/>
      <c r="P1010" s="28"/>
      <c r="Q1010" s="28"/>
      <c r="R1010" s="143"/>
      <c r="S1010" s="143"/>
      <c r="T1010" s="143"/>
      <c r="U1010" s="143"/>
      <c r="V1010" s="143"/>
      <c r="W1010" s="143"/>
      <c r="X1010" s="143"/>
    </row>
    <row r="1011" spans="1:24" ht="15" customHeight="1" x14ac:dyDescent="0.25">
      <c r="A1011" s="55"/>
      <c r="B1011" s="55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143"/>
      <c r="N1011" s="143"/>
      <c r="O1011" s="28"/>
      <c r="P1011" s="28"/>
      <c r="Q1011" s="28"/>
      <c r="R1011" s="143"/>
      <c r="S1011" s="143"/>
      <c r="T1011" s="143"/>
      <c r="U1011" s="143"/>
      <c r="V1011" s="143"/>
      <c r="W1011" s="143"/>
      <c r="X1011" s="143"/>
    </row>
    <row r="1012" spans="1:24" ht="15" customHeight="1" x14ac:dyDescent="0.25">
      <c r="A1012" s="55"/>
      <c r="B1012" s="55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143"/>
      <c r="N1012" s="143"/>
      <c r="O1012" s="28"/>
      <c r="P1012" s="28"/>
      <c r="Q1012" s="28"/>
      <c r="R1012" s="143"/>
      <c r="S1012" s="143"/>
      <c r="T1012" s="143"/>
      <c r="U1012" s="143"/>
      <c r="V1012" s="143"/>
      <c r="W1012" s="143"/>
      <c r="X1012" s="143"/>
    </row>
    <row r="1013" spans="1:24" ht="15" customHeight="1" x14ac:dyDescent="0.25">
      <c r="A1013" s="55"/>
      <c r="B1013" s="55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143"/>
      <c r="N1013" s="143"/>
      <c r="O1013" s="28"/>
      <c r="P1013" s="28"/>
      <c r="Q1013" s="28"/>
      <c r="R1013" s="143"/>
      <c r="S1013" s="143"/>
      <c r="T1013" s="143"/>
      <c r="U1013" s="143"/>
      <c r="V1013" s="143"/>
      <c r="W1013" s="143"/>
      <c r="X1013" s="143"/>
    </row>
    <row r="1014" spans="1:24" ht="15" customHeight="1" x14ac:dyDescent="0.25">
      <c r="A1014" s="55"/>
      <c r="B1014" s="55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143"/>
      <c r="N1014" s="143"/>
      <c r="O1014" s="28"/>
      <c r="P1014" s="28"/>
      <c r="Q1014" s="28"/>
      <c r="R1014" s="143"/>
      <c r="S1014" s="143"/>
      <c r="T1014" s="143"/>
      <c r="U1014" s="143"/>
      <c r="V1014" s="143"/>
      <c r="W1014" s="143"/>
      <c r="X1014" s="143"/>
    </row>
    <row r="1015" spans="1:24" ht="15" customHeight="1" x14ac:dyDescent="0.25">
      <c r="A1015" s="55"/>
      <c r="B1015" s="55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143"/>
      <c r="N1015" s="143"/>
      <c r="O1015" s="28"/>
      <c r="P1015" s="28"/>
      <c r="Q1015" s="28"/>
      <c r="R1015" s="143"/>
      <c r="S1015" s="143"/>
      <c r="T1015" s="143"/>
      <c r="U1015" s="143"/>
      <c r="V1015" s="143"/>
      <c r="W1015" s="143"/>
      <c r="X1015" s="143"/>
    </row>
    <row r="1016" spans="1:24" ht="15" customHeight="1" x14ac:dyDescent="0.25">
      <c r="A1016" s="55"/>
      <c r="B1016" s="55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143"/>
      <c r="N1016" s="143"/>
      <c r="O1016" s="28"/>
      <c r="P1016" s="28"/>
      <c r="Q1016" s="28"/>
      <c r="R1016" s="143"/>
      <c r="S1016" s="143"/>
      <c r="T1016" s="143"/>
      <c r="U1016" s="143"/>
      <c r="V1016" s="143"/>
      <c r="W1016" s="143"/>
      <c r="X1016" s="143"/>
    </row>
    <row r="1017" spans="1:24" ht="15" customHeight="1" x14ac:dyDescent="0.25">
      <c r="A1017" s="55"/>
      <c r="B1017" s="55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143"/>
      <c r="N1017" s="143"/>
      <c r="O1017" s="28"/>
      <c r="P1017" s="28"/>
      <c r="Q1017" s="28"/>
      <c r="R1017" s="143"/>
      <c r="S1017" s="143"/>
      <c r="T1017" s="143"/>
      <c r="U1017" s="143"/>
      <c r="V1017" s="143"/>
      <c r="W1017" s="143"/>
      <c r="X1017" s="143"/>
    </row>
    <row r="1018" spans="1:24" ht="15" customHeight="1" x14ac:dyDescent="0.25">
      <c r="A1018" s="55"/>
      <c r="B1018" s="55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143"/>
      <c r="N1018" s="143"/>
      <c r="O1018" s="28"/>
      <c r="P1018" s="28"/>
      <c r="Q1018" s="28"/>
      <c r="R1018" s="143"/>
      <c r="S1018" s="143"/>
      <c r="T1018" s="143"/>
      <c r="U1018" s="143"/>
      <c r="V1018" s="143"/>
      <c r="W1018" s="143"/>
      <c r="X1018" s="143"/>
    </row>
    <row r="1019" spans="1:24" ht="15" customHeight="1" x14ac:dyDescent="0.25">
      <c r="A1019" s="55"/>
      <c r="B1019" s="55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143"/>
      <c r="N1019" s="143"/>
      <c r="O1019" s="28"/>
      <c r="P1019" s="28"/>
      <c r="Q1019" s="28"/>
      <c r="R1019" s="143"/>
      <c r="S1019" s="143"/>
      <c r="T1019" s="143"/>
      <c r="U1019" s="143"/>
      <c r="V1019" s="143"/>
      <c r="W1019" s="143"/>
      <c r="X1019" s="143"/>
    </row>
    <row r="1020" spans="1:24" ht="15" customHeight="1" x14ac:dyDescent="0.25">
      <c r="A1020" s="55"/>
      <c r="B1020" s="55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143"/>
      <c r="N1020" s="143"/>
      <c r="O1020" s="28"/>
      <c r="P1020" s="28"/>
      <c r="Q1020" s="28"/>
      <c r="R1020" s="143"/>
      <c r="S1020" s="143"/>
      <c r="T1020" s="143"/>
      <c r="U1020" s="143"/>
      <c r="V1020" s="143"/>
      <c r="W1020" s="143"/>
      <c r="X1020" s="143"/>
    </row>
    <row r="1021" spans="1:24" ht="15" customHeight="1" x14ac:dyDescent="0.25">
      <c r="A1021" s="55"/>
      <c r="B1021" s="55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143"/>
      <c r="N1021" s="143"/>
      <c r="O1021" s="28"/>
      <c r="P1021" s="28"/>
      <c r="Q1021" s="28"/>
      <c r="R1021" s="143"/>
      <c r="S1021" s="143"/>
      <c r="T1021" s="143"/>
      <c r="U1021" s="143"/>
      <c r="V1021" s="143"/>
      <c r="W1021" s="143"/>
      <c r="X1021" s="143"/>
    </row>
    <row r="1022" spans="1:24" ht="15" customHeight="1" x14ac:dyDescent="0.25">
      <c r="A1022" s="55"/>
      <c r="B1022" s="55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143"/>
      <c r="N1022" s="143"/>
      <c r="O1022" s="28"/>
      <c r="P1022" s="28"/>
      <c r="Q1022" s="28"/>
      <c r="R1022" s="143"/>
      <c r="S1022" s="143"/>
      <c r="T1022" s="143"/>
      <c r="U1022" s="143"/>
      <c r="V1022" s="143"/>
      <c r="W1022" s="143"/>
      <c r="X1022" s="143"/>
    </row>
    <row r="1023" spans="1:24" ht="15" customHeight="1" x14ac:dyDescent="0.25">
      <c r="A1023" s="55"/>
      <c r="B1023" s="55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143"/>
      <c r="N1023" s="143"/>
      <c r="O1023" s="28"/>
      <c r="P1023" s="28"/>
      <c r="Q1023" s="28"/>
      <c r="R1023" s="143"/>
      <c r="S1023" s="143"/>
      <c r="T1023" s="143"/>
      <c r="U1023" s="143"/>
      <c r="V1023" s="143"/>
      <c r="W1023" s="143"/>
      <c r="X1023" s="143"/>
    </row>
    <row r="1024" spans="1:24" ht="15" customHeight="1" x14ac:dyDescent="0.25">
      <c r="A1024" s="55"/>
      <c r="B1024" s="55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143"/>
      <c r="N1024" s="143"/>
      <c r="O1024" s="28"/>
      <c r="P1024" s="28"/>
      <c r="Q1024" s="28"/>
      <c r="R1024" s="143"/>
      <c r="S1024" s="143"/>
      <c r="T1024" s="143"/>
      <c r="U1024" s="143"/>
      <c r="V1024" s="143"/>
      <c r="W1024" s="143"/>
      <c r="X1024" s="143"/>
    </row>
    <row r="1025" spans="1:24" ht="15" customHeight="1" x14ac:dyDescent="0.25">
      <c r="A1025" s="55"/>
      <c r="B1025" s="55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143"/>
      <c r="N1025" s="143"/>
      <c r="O1025" s="28"/>
      <c r="P1025" s="28"/>
      <c r="Q1025" s="28"/>
      <c r="R1025" s="143"/>
      <c r="S1025" s="143"/>
      <c r="T1025" s="143"/>
      <c r="U1025" s="143"/>
      <c r="V1025" s="143"/>
      <c r="W1025" s="143"/>
      <c r="X1025" s="143"/>
    </row>
    <row r="1026" spans="1:24" ht="15" customHeight="1" x14ac:dyDescent="0.25">
      <c r="A1026" s="55"/>
      <c r="B1026" s="55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143"/>
      <c r="N1026" s="143"/>
      <c r="O1026" s="28"/>
      <c r="P1026" s="28"/>
      <c r="Q1026" s="28"/>
      <c r="R1026" s="143"/>
      <c r="S1026" s="143"/>
      <c r="T1026" s="143"/>
      <c r="U1026" s="143"/>
      <c r="V1026" s="143"/>
      <c r="W1026" s="143"/>
      <c r="X1026" s="143"/>
    </row>
    <row r="1027" spans="1:24" ht="15" customHeight="1" x14ac:dyDescent="0.25">
      <c r="A1027" s="55"/>
      <c r="B1027" s="55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143"/>
      <c r="N1027" s="143"/>
      <c r="O1027" s="28"/>
      <c r="P1027" s="28"/>
      <c r="Q1027" s="28"/>
      <c r="R1027" s="143"/>
      <c r="S1027" s="143"/>
      <c r="T1027" s="143"/>
      <c r="U1027" s="143"/>
      <c r="V1027" s="143"/>
      <c r="W1027" s="143"/>
      <c r="X1027" s="143"/>
    </row>
    <row r="1028" spans="1:24" ht="15" customHeight="1" x14ac:dyDescent="0.25">
      <c r="A1028" s="55"/>
      <c r="B1028" s="55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143"/>
      <c r="N1028" s="143"/>
      <c r="O1028" s="28"/>
      <c r="P1028" s="28"/>
      <c r="Q1028" s="28"/>
      <c r="R1028" s="143"/>
      <c r="S1028" s="143"/>
      <c r="T1028" s="143"/>
      <c r="U1028" s="143"/>
      <c r="V1028" s="143"/>
      <c r="W1028" s="143"/>
      <c r="X1028" s="143"/>
    </row>
    <row r="1029" spans="1:24" ht="15" customHeight="1" x14ac:dyDescent="0.25">
      <c r="A1029" s="55"/>
      <c r="B1029" s="55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143"/>
      <c r="N1029" s="143"/>
      <c r="O1029" s="28"/>
      <c r="P1029" s="28"/>
      <c r="Q1029" s="28"/>
      <c r="R1029" s="143"/>
      <c r="S1029" s="143"/>
      <c r="T1029" s="143"/>
      <c r="U1029" s="143"/>
      <c r="V1029" s="143"/>
      <c r="W1029" s="143"/>
      <c r="X1029" s="143"/>
    </row>
    <row r="1030" spans="1:24" ht="15" customHeight="1" x14ac:dyDescent="0.25">
      <c r="A1030" s="55"/>
      <c r="B1030" s="55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143"/>
      <c r="N1030" s="143"/>
      <c r="O1030" s="28"/>
      <c r="P1030" s="28"/>
      <c r="Q1030" s="28"/>
      <c r="R1030" s="143"/>
      <c r="S1030" s="143"/>
      <c r="T1030" s="143"/>
      <c r="U1030" s="143"/>
      <c r="V1030" s="143"/>
      <c r="W1030" s="143"/>
      <c r="X1030" s="143"/>
    </row>
    <row r="1031" spans="1:24" ht="15" customHeight="1" x14ac:dyDescent="0.25">
      <c r="A1031" s="55"/>
      <c r="B1031" s="55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143"/>
      <c r="N1031" s="143"/>
      <c r="O1031" s="28"/>
      <c r="P1031" s="28"/>
      <c r="Q1031" s="28"/>
      <c r="R1031" s="143"/>
      <c r="S1031" s="143"/>
      <c r="T1031" s="143"/>
      <c r="U1031" s="143"/>
      <c r="V1031" s="143"/>
      <c r="W1031" s="143"/>
      <c r="X1031" s="143"/>
    </row>
    <row r="1032" spans="1:24" ht="15" customHeight="1" x14ac:dyDescent="0.25">
      <c r="A1032" s="55"/>
      <c r="B1032" s="55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143"/>
      <c r="N1032" s="143"/>
      <c r="O1032" s="28"/>
      <c r="P1032" s="28"/>
      <c r="Q1032" s="28"/>
      <c r="R1032" s="143"/>
      <c r="S1032" s="143"/>
      <c r="T1032" s="143"/>
      <c r="U1032" s="143"/>
      <c r="V1032" s="143"/>
      <c r="W1032" s="143"/>
      <c r="X1032" s="143"/>
    </row>
    <row r="1033" spans="1:24" ht="15" customHeight="1" x14ac:dyDescent="0.25">
      <c r="A1033" s="55"/>
      <c r="B1033" s="55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143"/>
      <c r="N1033" s="143"/>
      <c r="O1033" s="28"/>
      <c r="P1033" s="28"/>
      <c r="Q1033" s="28"/>
      <c r="R1033" s="143"/>
      <c r="S1033" s="143"/>
      <c r="T1033" s="143"/>
      <c r="U1033" s="143"/>
      <c r="V1033" s="143"/>
      <c r="W1033" s="143"/>
      <c r="X1033" s="143"/>
    </row>
    <row r="1034" spans="1:24" ht="15" customHeight="1" x14ac:dyDescent="0.25">
      <c r="A1034" s="55"/>
      <c r="B1034" s="55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143"/>
      <c r="N1034" s="143"/>
      <c r="O1034" s="28"/>
      <c r="P1034" s="28"/>
      <c r="Q1034" s="28"/>
      <c r="R1034" s="143"/>
      <c r="S1034" s="143"/>
      <c r="T1034" s="143"/>
      <c r="U1034" s="143"/>
      <c r="V1034" s="143"/>
      <c r="W1034" s="143"/>
      <c r="X1034" s="143"/>
    </row>
    <row r="1035" spans="1:24" ht="15" customHeight="1" x14ac:dyDescent="0.25">
      <c r="A1035" s="55"/>
      <c r="B1035" s="55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143"/>
      <c r="N1035" s="143"/>
      <c r="O1035" s="28"/>
      <c r="P1035" s="28"/>
      <c r="Q1035" s="28"/>
      <c r="R1035" s="143"/>
      <c r="S1035" s="143"/>
      <c r="T1035" s="143"/>
      <c r="U1035" s="143"/>
      <c r="V1035" s="143"/>
      <c r="W1035" s="143"/>
      <c r="X1035" s="143"/>
    </row>
    <row r="1036" spans="1:24" ht="15" customHeight="1" x14ac:dyDescent="0.25">
      <c r="A1036" s="55"/>
      <c r="B1036" s="55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143"/>
      <c r="N1036" s="143"/>
      <c r="O1036" s="28"/>
      <c r="P1036" s="28"/>
      <c r="Q1036" s="28"/>
      <c r="R1036" s="143"/>
      <c r="S1036" s="143"/>
      <c r="T1036" s="143"/>
      <c r="U1036" s="143"/>
      <c r="V1036" s="143"/>
      <c r="W1036" s="143"/>
      <c r="X1036" s="143"/>
    </row>
    <row r="1037" spans="1:24" ht="15" customHeight="1" x14ac:dyDescent="0.25">
      <c r="A1037" s="55"/>
      <c r="B1037" s="55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143"/>
      <c r="N1037" s="143"/>
      <c r="O1037" s="28"/>
      <c r="P1037" s="28"/>
      <c r="Q1037" s="28"/>
      <c r="R1037" s="143"/>
      <c r="S1037" s="143"/>
      <c r="T1037" s="143"/>
      <c r="U1037" s="143"/>
      <c r="V1037" s="143"/>
      <c r="W1037" s="143"/>
      <c r="X1037" s="143"/>
    </row>
    <row r="1038" spans="1:24" ht="15" customHeight="1" x14ac:dyDescent="0.25">
      <c r="A1038" s="55"/>
      <c r="B1038" s="55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143"/>
      <c r="N1038" s="143"/>
      <c r="O1038" s="28"/>
      <c r="P1038" s="28"/>
      <c r="Q1038" s="28"/>
      <c r="R1038" s="143"/>
      <c r="S1038" s="143"/>
      <c r="T1038" s="143"/>
      <c r="U1038" s="143"/>
      <c r="V1038" s="143"/>
      <c r="W1038" s="143"/>
      <c r="X1038" s="143"/>
    </row>
    <row r="1039" spans="1:24" ht="15" customHeight="1" x14ac:dyDescent="0.25">
      <c r="A1039" s="55"/>
      <c r="B1039" s="55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143"/>
      <c r="N1039" s="143"/>
      <c r="O1039" s="28"/>
      <c r="P1039" s="28"/>
      <c r="Q1039" s="28"/>
      <c r="R1039" s="143"/>
      <c r="S1039" s="143"/>
      <c r="T1039" s="143"/>
      <c r="U1039" s="143"/>
      <c r="V1039" s="143"/>
      <c r="W1039" s="143"/>
      <c r="X1039" s="143"/>
    </row>
    <row r="1040" spans="1:24" ht="15" customHeight="1" x14ac:dyDescent="0.25">
      <c r="A1040" s="55"/>
      <c r="B1040" s="55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143"/>
      <c r="N1040" s="143"/>
      <c r="O1040" s="28"/>
      <c r="P1040" s="28"/>
      <c r="Q1040" s="28"/>
      <c r="R1040" s="143"/>
      <c r="S1040" s="143"/>
      <c r="T1040" s="143"/>
      <c r="U1040" s="143"/>
      <c r="V1040" s="143"/>
      <c r="W1040" s="143"/>
      <c r="X1040" s="143"/>
    </row>
    <row r="1041" spans="1:24" ht="15" customHeight="1" x14ac:dyDescent="0.25">
      <c r="A1041" s="55"/>
      <c r="B1041" s="55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143"/>
      <c r="N1041" s="143"/>
      <c r="O1041" s="28"/>
      <c r="P1041" s="28"/>
      <c r="Q1041" s="28"/>
      <c r="R1041" s="143"/>
      <c r="S1041" s="143"/>
      <c r="T1041" s="143"/>
      <c r="U1041" s="143"/>
      <c r="V1041" s="143"/>
      <c r="W1041" s="143"/>
      <c r="X1041" s="143"/>
    </row>
    <row r="1042" spans="1:24" ht="15" customHeight="1" x14ac:dyDescent="0.25">
      <c r="A1042" s="55"/>
      <c r="B1042" s="55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143"/>
      <c r="N1042" s="143"/>
      <c r="O1042" s="28"/>
      <c r="P1042" s="28"/>
      <c r="Q1042" s="28"/>
      <c r="R1042" s="143"/>
      <c r="S1042" s="143"/>
      <c r="T1042" s="143"/>
      <c r="U1042" s="143"/>
      <c r="V1042" s="143"/>
      <c r="W1042" s="143"/>
      <c r="X1042" s="143"/>
    </row>
    <row r="1043" spans="1:24" ht="15" customHeight="1" x14ac:dyDescent="0.25">
      <c r="A1043" s="55"/>
      <c r="B1043" s="55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143"/>
      <c r="N1043" s="143"/>
      <c r="O1043" s="28"/>
      <c r="P1043" s="28"/>
      <c r="Q1043" s="28"/>
      <c r="R1043" s="143"/>
      <c r="S1043" s="143"/>
      <c r="T1043" s="143"/>
      <c r="U1043" s="143"/>
      <c r="V1043" s="143"/>
      <c r="W1043" s="143"/>
      <c r="X1043" s="143"/>
    </row>
    <row r="1044" spans="1:24" ht="15" customHeight="1" x14ac:dyDescent="0.25">
      <c r="A1044" s="55"/>
      <c r="B1044" s="55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143"/>
      <c r="N1044" s="143"/>
      <c r="O1044" s="28"/>
      <c r="P1044" s="28"/>
      <c r="Q1044" s="28"/>
      <c r="R1044" s="143"/>
      <c r="S1044" s="143"/>
      <c r="T1044" s="143"/>
      <c r="U1044" s="143"/>
      <c r="V1044" s="143"/>
      <c r="W1044" s="143"/>
      <c r="X1044" s="143"/>
    </row>
    <row r="1045" spans="1:24" ht="15" customHeight="1" x14ac:dyDescent="0.25">
      <c r="A1045" s="55"/>
      <c r="B1045" s="55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143"/>
      <c r="N1045" s="143"/>
      <c r="O1045" s="28"/>
      <c r="P1045" s="28"/>
      <c r="Q1045" s="28"/>
      <c r="R1045" s="143"/>
      <c r="S1045" s="143"/>
      <c r="T1045" s="143"/>
      <c r="U1045" s="143"/>
      <c r="V1045" s="143"/>
      <c r="W1045" s="143"/>
      <c r="X1045" s="143"/>
    </row>
    <row r="1046" spans="1:24" ht="15" customHeight="1" x14ac:dyDescent="0.25">
      <c r="A1046" s="55"/>
      <c r="B1046" s="55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143"/>
      <c r="N1046" s="143"/>
      <c r="O1046" s="28"/>
      <c r="P1046" s="28"/>
      <c r="Q1046" s="28"/>
      <c r="R1046" s="143"/>
      <c r="S1046" s="143"/>
      <c r="T1046" s="143"/>
      <c r="U1046" s="143"/>
      <c r="V1046" s="143"/>
      <c r="W1046" s="143"/>
      <c r="X1046" s="143"/>
    </row>
    <row r="1047" spans="1:24" ht="15" customHeight="1" x14ac:dyDescent="0.25">
      <c r="A1047" s="55"/>
      <c r="B1047" s="55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143"/>
      <c r="N1047" s="143"/>
      <c r="O1047" s="28"/>
      <c r="P1047" s="28"/>
      <c r="Q1047" s="28"/>
      <c r="R1047" s="143"/>
      <c r="S1047" s="143"/>
      <c r="T1047" s="143"/>
      <c r="U1047" s="143"/>
      <c r="V1047" s="143"/>
      <c r="W1047" s="143"/>
      <c r="X1047" s="143"/>
    </row>
    <row r="1048" spans="1:24" ht="15" customHeight="1" x14ac:dyDescent="0.25">
      <c r="A1048" s="55"/>
      <c r="B1048" s="55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143"/>
      <c r="N1048" s="143"/>
      <c r="O1048" s="28"/>
      <c r="P1048" s="28"/>
      <c r="Q1048" s="28"/>
      <c r="R1048" s="143"/>
      <c r="S1048" s="143"/>
      <c r="T1048" s="143"/>
      <c r="U1048" s="143"/>
      <c r="V1048" s="143"/>
      <c r="W1048" s="143"/>
      <c r="X1048" s="143"/>
    </row>
    <row r="1049" spans="1:24" ht="15" customHeight="1" x14ac:dyDescent="0.25">
      <c r="A1049" s="55"/>
      <c r="B1049" s="55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143"/>
      <c r="N1049" s="143"/>
      <c r="O1049" s="28"/>
      <c r="P1049" s="28"/>
      <c r="Q1049" s="28"/>
      <c r="R1049" s="143"/>
      <c r="S1049" s="143"/>
      <c r="T1049" s="143"/>
      <c r="U1049" s="143"/>
      <c r="V1049" s="143"/>
      <c r="W1049" s="143"/>
      <c r="X1049" s="143"/>
    </row>
    <row r="1050" spans="1:24" ht="15" customHeight="1" x14ac:dyDescent="0.25">
      <c r="A1050" s="55"/>
      <c r="B1050" s="55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143"/>
      <c r="N1050" s="143"/>
      <c r="O1050" s="28"/>
      <c r="P1050" s="28"/>
      <c r="Q1050" s="28"/>
      <c r="R1050" s="143"/>
      <c r="S1050" s="143"/>
      <c r="T1050" s="143"/>
      <c r="U1050" s="143"/>
      <c r="V1050" s="143"/>
      <c r="W1050" s="143"/>
      <c r="X1050" s="143"/>
    </row>
    <row r="1051" spans="1:24" ht="15" customHeight="1" x14ac:dyDescent="0.25">
      <c r="A1051" s="55"/>
      <c r="B1051" s="55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143"/>
      <c r="N1051" s="143"/>
      <c r="O1051" s="28"/>
      <c r="P1051" s="28"/>
      <c r="Q1051" s="28"/>
      <c r="R1051" s="143"/>
      <c r="S1051" s="143"/>
      <c r="T1051" s="143"/>
      <c r="U1051" s="143"/>
      <c r="V1051" s="143"/>
      <c r="W1051" s="143"/>
      <c r="X1051" s="143"/>
    </row>
    <row r="1052" spans="1:24" ht="15" customHeight="1" x14ac:dyDescent="0.25">
      <c r="A1052" s="55"/>
      <c r="B1052" s="55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143"/>
      <c r="N1052" s="143"/>
      <c r="O1052" s="28"/>
      <c r="P1052" s="28"/>
      <c r="Q1052" s="28"/>
      <c r="R1052" s="143"/>
      <c r="S1052" s="143"/>
      <c r="T1052" s="143"/>
      <c r="U1052" s="143"/>
      <c r="V1052" s="143"/>
      <c r="W1052" s="143"/>
      <c r="X1052" s="143"/>
    </row>
    <row r="1053" spans="1:24" ht="15" customHeight="1" x14ac:dyDescent="0.25">
      <c r="A1053" s="55"/>
      <c r="B1053" s="55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143"/>
      <c r="N1053" s="143"/>
      <c r="O1053" s="28"/>
      <c r="P1053" s="28"/>
      <c r="Q1053" s="28"/>
      <c r="R1053" s="143"/>
      <c r="S1053" s="143"/>
      <c r="T1053" s="143"/>
      <c r="U1053" s="143"/>
      <c r="V1053" s="143"/>
      <c r="W1053" s="143"/>
      <c r="X1053" s="143"/>
    </row>
    <row r="1054" spans="1:24" ht="15" customHeight="1" x14ac:dyDescent="0.25">
      <c r="A1054" s="55"/>
      <c r="B1054" s="55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143"/>
      <c r="N1054" s="143"/>
      <c r="O1054" s="28"/>
      <c r="P1054" s="28"/>
      <c r="Q1054" s="28"/>
      <c r="R1054" s="143"/>
      <c r="S1054" s="143"/>
      <c r="T1054" s="143"/>
      <c r="U1054" s="143"/>
      <c r="V1054" s="143"/>
      <c r="W1054" s="143"/>
      <c r="X1054" s="143"/>
    </row>
    <row r="1055" spans="1:24" ht="15" customHeight="1" x14ac:dyDescent="0.25">
      <c r="A1055" s="55"/>
      <c r="B1055" s="55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143"/>
      <c r="N1055" s="143"/>
      <c r="O1055" s="28"/>
      <c r="P1055" s="28"/>
      <c r="Q1055" s="28"/>
      <c r="R1055" s="143"/>
      <c r="S1055" s="143"/>
      <c r="T1055" s="143"/>
      <c r="U1055" s="143"/>
      <c r="V1055" s="143"/>
      <c r="W1055" s="143"/>
      <c r="X1055" s="143"/>
    </row>
    <row r="1056" spans="1:24" ht="15" customHeight="1" x14ac:dyDescent="0.25">
      <c r="A1056" s="55"/>
      <c r="B1056" s="55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143"/>
      <c r="N1056" s="143"/>
      <c r="O1056" s="28"/>
      <c r="P1056" s="28"/>
      <c r="Q1056" s="28"/>
      <c r="R1056" s="143"/>
      <c r="S1056" s="143"/>
      <c r="T1056" s="143"/>
      <c r="U1056" s="143"/>
      <c r="V1056" s="143"/>
      <c r="W1056" s="143"/>
      <c r="X1056" s="143"/>
    </row>
    <row r="1057" spans="1:24" ht="15" customHeight="1" x14ac:dyDescent="0.25">
      <c r="A1057" s="55"/>
      <c r="B1057" s="55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143"/>
      <c r="N1057" s="143"/>
      <c r="O1057" s="28"/>
      <c r="P1057" s="28"/>
      <c r="Q1057" s="28"/>
      <c r="R1057" s="143"/>
      <c r="S1057" s="143"/>
      <c r="T1057" s="143"/>
      <c r="U1057" s="143"/>
      <c r="V1057" s="143"/>
      <c r="W1057" s="143"/>
      <c r="X1057" s="143"/>
    </row>
    <row r="1058" spans="1:24" ht="15" customHeight="1" x14ac:dyDescent="0.25">
      <c r="A1058" s="55"/>
      <c r="B1058" s="55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143"/>
      <c r="N1058" s="143"/>
      <c r="O1058" s="28"/>
      <c r="P1058" s="28"/>
      <c r="Q1058" s="28"/>
      <c r="R1058" s="143"/>
      <c r="S1058" s="143"/>
      <c r="T1058" s="143"/>
      <c r="U1058" s="143"/>
      <c r="V1058" s="143"/>
      <c r="W1058" s="143"/>
      <c r="X1058" s="143"/>
    </row>
    <row r="1059" spans="1:24" ht="15" customHeight="1" x14ac:dyDescent="0.25">
      <c r="A1059" s="55"/>
      <c r="B1059" s="55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143"/>
      <c r="N1059" s="143"/>
      <c r="O1059" s="28"/>
      <c r="P1059" s="28"/>
      <c r="Q1059" s="28"/>
      <c r="R1059" s="143"/>
      <c r="S1059" s="143"/>
      <c r="T1059" s="143"/>
      <c r="U1059" s="143"/>
      <c r="V1059" s="143"/>
      <c r="W1059" s="143"/>
      <c r="X1059" s="143"/>
    </row>
    <row r="1060" spans="1:24" ht="15" customHeight="1" x14ac:dyDescent="0.25">
      <c r="A1060" s="55"/>
      <c r="B1060" s="55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143"/>
      <c r="N1060" s="143"/>
      <c r="O1060" s="28"/>
      <c r="P1060" s="28"/>
      <c r="Q1060" s="28"/>
      <c r="R1060" s="143"/>
      <c r="S1060" s="143"/>
      <c r="T1060" s="143"/>
      <c r="U1060" s="143"/>
      <c r="V1060" s="143"/>
      <c r="W1060" s="143"/>
      <c r="X1060" s="143"/>
    </row>
    <row r="1061" spans="1:24" ht="15" customHeight="1" x14ac:dyDescent="0.25">
      <c r="A1061" s="55"/>
      <c r="B1061" s="55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143"/>
      <c r="N1061" s="143"/>
      <c r="O1061" s="28"/>
      <c r="P1061" s="28"/>
      <c r="Q1061" s="28"/>
      <c r="R1061" s="143"/>
      <c r="S1061" s="143"/>
      <c r="T1061" s="143"/>
      <c r="U1061" s="143"/>
      <c r="V1061" s="143"/>
      <c r="W1061" s="143"/>
      <c r="X1061" s="143"/>
    </row>
    <row r="1062" spans="1:24" ht="15" customHeight="1" x14ac:dyDescent="0.25">
      <c r="A1062" s="55"/>
      <c r="B1062" s="55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143"/>
      <c r="N1062" s="143"/>
      <c r="O1062" s="28"/>
      <c r="P1062" s="28"/>
      <c r="Q1062" s="28"/>
      <c r="R1062" s="143"/>
      <c r="S1062" s="143"/>
      <c r="T1062" s="143"/>
      <c r="U1062" s="143"/>
      <c r="V1062" s="143"/>
      <c r="W1062" s="143"/>
      <c r="X1062" s="143"/>
    </row>
    <row r="1063" spans="1:24" ht="15" customHeight="1" x14ac:dyDescent="0.25">
      <c r="A1063" s="55"/>
      <c r="B1063" s="55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143"/>
      <c r="N1063" s="143"/>
      <c r="O1063" s="28"/>
      <c r="P1063" s="28"/>
      <c r="Q1063" s="28"/>
      <c r="R1063" s="143"/>
      <c r="S1063" s="143"/>
      <c r="T1063" s="143"/>
      <c r="U1063" s="143"/>
      <c r="V1063" s="143"/>
      <c r="W1063" s="143"/>
      <c r="X1063" s="143"/>
    </row>
    <row r="1064" spans="1:24" ht="15" customHeight="1" x14ac:dyDescent="0.25">
      <c r="A1064" s="55"/>
      <c r="B1064" s="55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143"/>
      <c r="N1064" s="143"/>
      <c r="O1064" s="28"/>
      <c r="P1064" s="28"/>
      <c r="Q1064" s="28"/>
      <c r="R1064" s="143"/>
      <c r="S1064" s="143"/>
      <c r="T1064" s="143"/>
      <c r="U1064" s="143"/>
      <c r="V1064" s="143"/>
      <c r="W1064" s="143"/>
      <c r="X1064" s="143"/>
    </row>
    <row r="1065" spans="1:24" ht="15" customHeight="1" x14ac:dyDescent="0.25">
      <c r="A1065" s="55"/>
      <c r="B1065" s="55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143"/>
      <c r="N1065" s="143"/>
      <c r="O1065" s="28"/>
      <c r="P1065" s="28"/>
      <c r="Q1065" s="28"/>
      <c r="R1065" s="143"/>
      <c r="S1065" s="143"/>
      <c r="T1065" s="143"/>
      <c r="U1065" s="143"/>
      <c r="V1065" s="143"/>
      <c r="W1065" s="143"/>
      <c r="X1065" s="143"/>
    </row>
    <row r="1066" spans="1:24" ht="15" customHeight="1" x14ac:dyDescent="0.25">
      <c r="A1066" s="55"/>
      <c r="B1066" s="55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143"/>
      <c r="N1066" s="143"/>
      <c r="O1066" s="28"/>
      <c r="P1066" s="28"/>
      <c r="Q1066" s="28"/>
      <c r="R1066" s="143"/>
      <c r="S1066" s="143"/>
      <c r="T1066" s="143"/>
      <c r="U1066" s="143"/>
      <c r="V1066" s="143"/>
      <c r="W1066" s="143"/>
      <c r="X1066" s="143"/>
    </row>
    <row r="1067" spans="1:24" ht="15" customHeight="1" x14ac:dyDescent="0.25">
      <c r="A1067" s="55"/>
      <c r="B1067" s="55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143"/>
      <c r="N1067" s="143"/>
      <c r="O1067" s="28"/>
      <c r="P1067" s="28"/>
      <c r="Q1067" s="28"/>
      <c r="R1067" s="143"/>
      <c r="S1067" s="143"/>
      <c r="T1067" s="143"/>
      <c r="U1067" s="143"/>
      <c r="V1067" s="143"/>
      <c r="W1067" s="143"/>
      <c r="X1067" s="143"/>
    </row>
    <row r="1068" spans="1:24" ht="15" customHeight="1" x14ac:dyDescent="0.25">
      <c r="A1068" s="55"/>
      <c r="B1068" s="55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143"/>
      <c r="N1068" s="143"/>
      <c r="O1068" s="28"/>
      <c r="P1068" s="28"/>
      <c r="Q1068" s="28"/>
      <c r="R1068" s="143"/>
      <c r="S1068" s="143"/>
      <c r="T1068" s="143"/>
      <c r="U1068" s="143"/>
      <c r="V1068" s="143"/>
      <c r="W1068" s="143"/>
      <c r="X1068" s="143"/>
    </row>
    <row r="1069" spans="1:24" ht="15" customHeight="1" x14ac:dyDescent="0.25">
      <c r="A1069" s="55"/>
      <c r="B1069" s="55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143"/>
      <c r="N1069" s="143"/>
      <c r="O1069" s="28"/>
      <c r="P1069" s="28"/>
      <c r="Q1069" s="28"/>
      <c r="R1069" s="143"/>
      <c r="S1069" s="143"/>
      <c r="T1069" s="143"/>
      <c r="U1069" s="143"/>
      <c r="V1069" s="143"/>
      <c r="W1069" s="143"/>
      <c r="X1069" s="143"/>
    </row>
    <row r="1070" spans="1:24" ht="15" customHeight="1" x14ac:dyDescent="0.25">
      <c r="A1070" s="55"/>
      <c r="B1070" s="55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143"/>
      <c r="N1070" s="143"/>
      <c r="O1070" s="28"/>
      <c r="P1070" s="28"/>
      <c r="Q1070" s="28"/>
      <c r="R1070" s="143"/>
      <c r="S1070" s="143"/>
      <c r="T1070" s="143"/>
      <c r="U1070" s="143"/>
      <c r="V1070" s="143"/>
      <c r="W1070" s="143"/>
      <c r="X1070" s="143"/>
    </row>
    <row r="1071" spans="1:24" ht="15" customHeight="1" x14ac:dyDescent="0.25">
      <c r="A1071" s="55"/>
      <c r="B1071" s="55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143"/>
      <c r="N1071" s="143"/>
      <c r="O1071" s="28"/>
      <c r="P1071" s="28"/>
      <c r="Q1071" s="28"/>
      <c r="R1071" s="143"/>
      <c r="S1071" s="143"/>
      <c r="T1071" s="143"/>
      <c r="U1071" s="143"/>
      <c r="V1071" s="143"/>
      <c r="W1071" s="143"/>
      <c r="X1071" s="143"/>
    </row>
    <row r="1072" spans="1:24" ht="15" customHeight="1" x14ac:dyDescent="0.25">
      <c r="A1072" s="55"/>
      <c r="B1072" s="55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143"/>
      <c r="N1072" s="143"/>
      <c r="O1072" s="28"/>
      <c r="P1072" s="28"/>
      <c r="Q1072" s="28"/>
      <c r="R1072" s="143"/>
      <c r="S1072" s="143"/>
      <c r="T1072" s="143"/>
      <c r="U1072" s="143"/>
      <c r="V1072" s="143"/>
      <c r="W1072" s="143"/>
      <c r="X1072" s="143"/>
    </row>
    <row r="1073" spans="1:24" ht="15" customHeight="1" x14ac:dyDescent="0.25">
      <c r="A1073" s="55"/>
      <c r="B1073" s="55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143"/>
      <c r="N1073" s="143"/>
      <c r="O1073" s="28"/>
      <c r="P1073" s="28"/>
      <c r="Q1073" s="28"/>
      <c r="R1073" s="143"/>
      <c r="S1073" s="143"/>
      <c r="T1073" s="143"/>
      <c r="U1073" s="143"/>
      <c r="V1073" s="143"/>
      <c r="W1073" s="143"/>
      <c r="X1073" s="143"/>
    </row>
    <row r="1074" spans="1:24" ht="15" customHeight="1" x14ac:dyDescent="0.25">
      <c r="A1074" s="55"/>
      <c r="B1074" s="55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143"/>
      <c r="N1074" s="143"/>
      <c r="O1074" s="28"/>
      <c r="P1074" s="28"/>
      <c r="Q1074" s="28"/>
      <c r="R1074" s="143"/>
      <c r="S1074" s="143"/>
      <c r="T1074" s="143"/>
      <c r="U1074" s="143"/>
      <c r="V1074" s="143"/>
      <c r="W1074" s="143"/>
      <c r="X1074" s="143"/>
    </row>
    <row r="1075" spans="1:24" ht="15" customHeight="1" x14ac:dyDescent="0.25">
      <c r="A1075" s="55"/>
      <c r="B1075" s="55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143"/>
      <c r="N1075" s="143"/>
      <c r="O1075" s="28"/>
      <c r="P1075" s="28"/>
      <c r="Q1075" s="28"/>
      <c r="R1075" s="143"/>
      <c r="S1075" s="143"/>
      <c r="T1075" s="143"/>
      <c r="U1075" s="143"/>
      <c r="V1075" s="143"/>
      <c r="W1075" s="143"/>
      <c r="X1075" s="143"/>
    </row>
    <row r="1076" spans="1:24" ht="15" customHeight="1" x14ac:dyDescent="0.25">
      <c r="A1076" s="55"/>
      <c r="B1076" s="55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143"/>
      <c r="N1076" s="143"/>
      <c r="O1076" s="28"/>
      <c r="P1076" s="28"/>
      <c r="Q1076" s="28"/>
      <c r="R1076" s="143"/>
      <c r="S1076" s="143"/>
      <c r="T1076" s="143"/>
      <c r="U1076" s="143"/>
      <c r="V1076" s="143"/>
      <c r="W1076" s="143"/>
      <c r="X1076" s="143"/>
    </row>
    <row r="1077" spans="1:24" ht="15" customHeight="1" x14ac:dyDescent="0.25">
      <c r="A1077" s="55"/>
      <c r="B1077" s="55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143"/>
      <c r="N1077" s="143"/>
      <c r="O1077" s="28"/>
      <c r="P1077" s="28"/>
      <c r="Q1077" s="28"/>
      <c r="R1077" s="143"/>
      <c r="S1077" s="143"/>
      <c r="T1077" s="143"/>
      <c r="U1077" s="143"/>
      <c r="V1077" s="143"/>
      <c r="W1077" s="143"/>
      <c r="X1077" s="143"/>
    </row>
    <row r="1078" spans="1:24" ht="15" customHeight="1" x14ac:dyDescent="0.25">
      <c r="A1078" s="55"/>
      <c r="B1078" s="55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143"/>
      <c r="N1078" s="143"/>
      <c r="O1078" s="28"/>
      <c r="P1078" s="28"/>
      <c r="Q1078" s="28"/>
      <c r="R1078" s="143"/>
      <c r="S1078" s="143"/>
      <c r="T1078" s="143"/>
      <c r="U1078" s="143"/>
      <c r="V1078" s="143"/>
      <c r="W1078" s="143"/>
      <c r="X1078" s="143"/>
    </row>
    <row r="1079" spans="1:24" ht="15" customHeight="1" x14ac:dyDescent="0.25">
      <c r="A1079" s="55"/>
      <c r="B1079" s="55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143"/>
      <c r="N1079" s="143"/>
      <c r="O1079" s="28"/>
      <c r="P1079" s="28"/>
      <c r="Q1079" s="28"/>
      <c r="R1079" s="143"/>
      <c r="S1079" s="143"/>
      <c r="T1079" s="143"/>
      <c r="U1079" s="143"/>
      <c r="V1079" s="143"/>
      <c r="W1079" s="143"/>
      <c r="X1079" s="143"/>
    </row>
    <row r="1080" spans="1:24" ht="15" customHeight="1" x14ac:dyDescent="0.25">
      <c r="A1080" s="55"/>
      <c r="B1080" s="55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143"/>
      <c r="N1080" s="143"/>
      <c r="O1080" s="28"/>
      <c r="P1080" s="28"/>
      <c r="Q1080" s="28"/>
      <c r="R1080" s="143"/>
      <c r="S1080" s="143"/>
      <c r="T1080" s="143"/>
      <c r="U1080" s="143"/>
      <c r="V1080" s="143"/>
      <c r="W1080" s="143"/>
      <c r="X1080" s="143"/>
    </row>
    <row r="1081" spans="1:24" ht="15" customHeight="1" x14ac:dyDescent="0.25">
      <c r="A1081" s="55"/>
      <c r="B1081" s="55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143"/>
      <c r="N1081" s="143"/>
      <c r="O1081" s="28"/>
      <c r="P1081" s="28"/>
      <c r="Q1081" s="28"/>
      <c r="R1081" s="143"/>
      <c r="S1081" s="143"/>
      <c r="T1081" s="143"/>
      <c r="U1081" s="143"/>
      <c r="V1081" s="143"/>
      <c r="W1081" s="143"/>
      <c r="X1081" s="143"/>
    </row>
    <row r="1082" spans="1:24" ht="15" customHeight="1" x14ac:dyDescent="0.25">
      <c r="A1082" s="55"/>
      <c r="B1082" s="55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143"/>
      <c r="N1082" s="143"/>
      <c r="O1082" s="28"/>
      <c r="P1082" s="28"/>
      <c r="Q1082" s="28"/>
      <c r="R1082" s="143"/>
      <c r="S1082" s="143"/>
      <c r="T1082" s="143"/>
      <c r="U1082" s="143"/>
      <c r="V1082" s="143"/>
      <c r="W1082" s="143"/>
      <c r="X1082" s="143"/>
    </row>
    <row r="1083" spans="1:24" ht="15" customHeight="1" x14ac:dyDescent="0.25">
      <c r="A1083" s="55"/>
      <c r="B1083" s="55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143"/>
      <c r="N1083" s="143"/>
      <c r="O1083" s="28"/>
      <c r="P1083" s="28"/>
      <c r="Q1083" s="28"/>
      <c r="R1083" s="143"/>
      <c r="S1083" s="143"/>
      <c r="T1083" s="143"/>
      <c r="U1083" s="143"/>
      <c r="V1083" s="143"/>
      <c r="W1083" s="143"/>
      <c r="X1083" s="143"/>
    </row>
    <row r="1084" spans="1:24" ht="15" customHeight="1" x14ac:dyDescent="0.25">
      <c r="A1084" s="55"/>
      <c r="B1084" s="55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143"/>
      <c r="N1084" s="143"/>
      <c r="O1084" s="28"/>
      <c r="P1084" s="28"/>
      <c r="Q1084" s="28"/>
      <c r="R1084" s="143"/>
      <c r="S1084" s="143"/>
      <c r="T1084" s="143"/>
      <c r="U1084" s="143"/>
      <c r="V1084" s="143"/>
      <c r="W1084" s="143"/>
      <c r="X1084" s="143"/>
    </row>
    <row r="1085" spans="1:24" ht="15" customHeight="1" x14ac:dyDescent="0.25">
      <c r="A1085" s="55"/>
      <c r="B1085" s="55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143"/>
      <c r="N1085" s="143"/>
      <c r="O1085" s="28"/>
      <c r="P1085" s="28"/>
      <c r="Q1085" s="28"/>
      <c r="R1085" s="143"/>
      <c r="S1085" s="143"/>
      <c r="T1085" s="143"/>
      <c r="U1085" s="143"/>
      <c r="V1085" s="143"/>
      <c r="W1085" s="143"/>
      <c r="X1085" s="143"/>
    </row>
    <row r="1086" spans="1:24" ht="15" customHeight="1" x14ac:dyDescent="0.25">
      <c r="A1086" s="55"/>
      <c r="B1086" s="55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143"/>
      <c r="N1086" s="143"/>
      <c r="O1086" s="28"/>
      <c r="P1086" s="28"/>
      <c r="Q1086" s="28"/>
      <c r="R1086" s="143"/>
      <c r="S1086" s="143"/>
      <c r="T1086" s="143"/>
      <c r="U1086" s="143"/>
      <c r="V1086" s="143"/>
      <c r="W1086" s="143"/>
      <c r="X1086" s="143"/>
    </row>
    <row r="1087" spans="1:24" ht="15" customHeight="1" x14ac:dyDescent="0.25">
      <c r="A1087" s="55"/>
      <c r="B1087" s="55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143"/>
      <c r="N1087" s="143"/>
      <c r="O1087" s="28"/>
      <c r="P1087" s="28"/>
      <c r="Q1087" s="28"/>
      <c r="R1087" s="143"/>
      <c r="S1087" s="143"/>
      <c r="T1087" s="143"/>
      <c r="U1087" s="143"/>
      <c r="V1087" s="143"/>
      <c r="W1087" s="143"/>
      <c r="X1087" s="143"/>
    </row>
    <row r="1088" spans="1:24" ht="15" customHeight="1" x14ac:dyDescent="0.25">
      <c r="A1088" s="55"/>
      <c r="B1088" s="55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143"/>
      <c r="N1088" s="143"/>
      <c r="O1088" s="28"/>
      <c r="P1088" s="28"/>
      <c r="Q1088" s="28"/>
      <c r="R1088" s="143"/>
      <c r="S1088" s="143"/>
      <c r="T1088" s="143"/>
      <c r="U1088" s="143"/>
      <c r="V1088" s="143"/>
      <c r="W1088" s="143"/>
      <c r="X1088" s="143"/>
    </row>
    <row r="1089" spans="1:24" ht="15" customHeight="1" x14ac:dyDescent="0.25">
      <c r="A1089" s="55"/>
      <c r="B1089" s="55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143"/>
      <c r="N1089" s="143"/>
      <c r="O1089" s="28"/>
      <c r="P1089" s="28"/>
      <c r="Q1089" s="28"/>
      <c r="R1089" s="143"/>
      <c r="S1089" s="143"/>
      <c r="T1089" s="143"/>
      <c r="U1089" s="143"/>
      <c r="V1089" s="143"/>
      <c r="W1089" s="143"/>
      <c r="X1089" s="143"/>
    </row>
    <row r="1090" spans="1:24" ht="15" customHeight="1" x14ac:dyDescent="0.25">
      <c r="A1090" s="55"/>
      <c r="B1090" s="55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143"/>
      <c r="N1090" s="143"/>
      <c r="O1090" s="28"/>
      <c r="P1090" s="28"/>
      <c r="Q1090" s="28"/>
      <c r="R1090" s="143"/>
      <c r="S1090" s="143"/>
      <c r="T1090" s="143"/>
      <c r="U1090" s="143"/>
      <c r="V1090" s="143"/>
      <c r="W1090" s="143"/>
      <c r="X1090" s="143"/>
    </row>
    <row r="1091" spans="1:24" ht="15" customHeight="1" x14ac:dyDescent="0.25">
      <c r="A1091" s="55"/>
      <c r="B1091" s="55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143"/>
      <c r="N1091" s="143"/>
      <c r="O1091" s="28"/>
      <c r="P1091" s="28"/>
      <c r="Q1091" s="28"/>
      <c r="R1091" s="143"/>
      <c r="S1091" s="143"/>
      <c r="T1091" s="143"/>
      <c r="U1091" s="143"/>
      <c r="V1091" s="143"/>
      <c r="W1091" s="143"/>
      <c r="X1091" s="143"/>
    </row>
    <row r="1092" spans="1:24" ht="15" customHeight="1" x14ac:dyDescent="0.25">
      <c r="A1092" s="55"/>
      <c r="B1092" s="55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143"/>
      <c r="N1092" s="143"/>
      <c r="O1092" s="28"/>
      <c r="P1092" s="28"/>
      <c r="Q1092" s="28"/>
      <c r="R1092" s="143"/>
      <c r="S1092" s="143"/>
      <c r="T1092" s="143"/>
      <c r="U1092" s="143"/>
      <c r="V1092" s="143"/>
      <c r="W1092" s="143"/>
      <c r="X1092" s="143"/>
    </row>
    <row r="1093" spans="1:24" ht="15" customHeight="1" x14ac:dyDescent="0.25">
      <c r="A1093" s="55"/>
      <c r="B1093" s="55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143"/>
      <c r="N1093" s="143"/>
      <c r="O1093" s="28"/>
      <c r="P1093" s="28"/>
      <c r="Q1093" s="28"/>
      <c r="R1093" s="143"/>
      <c r="S1093" s="143"/>
      <c r="T1093" s="143"/>
      <c r="U1093" s="143"/>
      <c r="V1093" s="143"/>
      <c r="W1093" s="143"/>
      <c r="X1093" s="143"/>
    </row>
    <row r="1094" spans="1:24" ht="15" customHeight="1" x14ac:dyDescent="0.25">
      <c r="A1094" s="55"/>
      <c r="B1094" s="55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143"/>
      <c r="N1094" s="143"/>
      <c r="O1094" s="28"/>
      <c r="P1094" s="28"/>
      <c r="Q1094" s="28"/>
      <c r="R1094" s="143"/>
      <c r="S1094" s="143"/>
      <c r="T1094" s="143"/>
      <c r="U1094" s="143"/>
      <c r="V1094" s="143"/>
      <c r="W1094" s="143"/>
      <c r="X1094" s="143"/>
    </row>
    <row r="1095" spans="1:24" ht="15" customHeight="1" x14ac:dyDescent="0.25">
      <c r="A1095" s="55"/>
      <c r="B1095" s="55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143"/>
      <c r="N1095" s="143"/>
      <c r="O1095" s="28"/>
      <c r="P1095" s="28"/>
      <c r="Q1095" s="28"/>
      <c r="R1095" s="143"/>
      <c r="S1095" s="143"/>
      <c r="T1095" s="143"/>
      <c r="U1095" s="143"/>
      <c r="V1095" s="143"/>
      <c r="W1095" s="143"/>
      <c r="X1095" s="143"/>
    </row>
    <row r="1096" spans="1:24" ht="15" customHeight="1" x14ac:dyDescent="0.25">
      <c r="A1096" s="55"/>
      <c r="B1096" s="55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143"/>
      <c r="N1096" s="143"/>
      <c r="O1096" s="28"/>
      <c r="P1096" s="28"/>
      <c r="Q1096" s="28"/>
      <c r="R1096" s="143"/>
      <c r="S1096" s="143"/>
      <c r="T1096" s="143"/>
      <c r="U1096" s="143"/>
      <c r="V1096" s="143"/>
      <c r="W1096" s="143"/>
      <c r="X1096" s="143"/>
    </row>
    <row r="1097" spans="1:24" ht="15" customHeight="1" x14ac:dyDescent="0.25">
      <c r="A1097" s="55"/>
      <c r="B1097" s="55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143"/>
      <c r="N1097" s="143"/>
      <c r="O1097" s="28"/>
      <c r="P1097" s="28"/>
      <c r="Q1097" s="28"/>
      <c r="R1097" s="143"/>
      <c r="S1097" s="143"/>
      <c r="T1097" s="143"/>
      <c r="U1097" s="143"/>
      <c r="V1097" s="143"/>
      <c r="W1097" s="143"/>
      <c r="X1097" s="143"/>
    </row>
    <row r="1098" spans="1:24" ht="15" customHeight="1" x14ac:dyDescent="0.25">
      <c r="A1098" s="55"/>
      <c r="B1098" s="55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143"/>
      <c r="N1098" s="143"/>
      <c r="O1098" s="28"/>
      <c r="P1098" s="28"/>
      <c r="Q1098" s="28"/>
      <c r="R1098" s="143"/>
      <c r="S1098" s="143"/>
      <c r="T1098" s="143"/>
      <c r="U1098" s="143"/>
      <c r="V1098" s="143"/>
      <c r="W1098" s="143"/>
      <c r="X1098" s="143"/>
    </row>
    <row r="1099" spans="1:24" ht="15" customHeight="1" x14ac:dyDescent="0.25">
      <c r="A1099" s="55"/>
      <c r="B1099" s="55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143"/>
      <c r="N1099" s="143"/>
      <c r="O1099" s="28"/>
      <c r="P1099" s="28"/>
      <c r="Q1099" s="28"/>
      <c r="R1099" s="143"/>
      <c r="S1099" s="143"/>
      <c r="T1099" s="143"/>
      <c r="U1099" s="143"/>
      <c r="V1099" s="143"/>
      <c r="W1099" s="143"/>
      <c r="X1099" s="143"/>
    </row>
    <row r="1100" spans="1:24" ht="15" customHeight="1" x14ac:dyDescent="0.25">
      <c r="A1100" s="55"/>
      <c r="B1100" s="55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143"/>
      <c r="N1100" s="143"/>
      <c r="O1100" s="28"/>
      <c r="P1100" s="28"/>
      <c r="Q1100" s="28"/>
      <c r="R1100" s="143"/>
      <c r="S1100" s="143"/>
      <c r="T1100" s="143"/>
      <c r="U1100" s="143"/>
      <c r="V1100" s="143"/>
      <c r="W1100" s="143"/>
      <c r="X1100" s="143"/>
    </row>
    <row r="1101" spans="1:24" ht="15" customHeight="1" x14ac:dyDescent="0.25">
      <c r="A1101" s="55"/>
      <c r="B1101" s="55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143"/>
      <c r="N1101" s="143"/>
      <c r="O1101" s="28"/>
      <c r="P1101" s="28"/>
      <c r="Q1101" s="28"/>
      <c r="R1101" s="143"/>
      <c r="S1101" s="143"/>
      <c r="T1101" s="143"/>
      <c r="U1101" s="143"/>
      <c r="V1101" s="143"/>
      <c r="W1101" s="143"/>
      <c r="X1101" s="143"/>
    </row>
    <row r="1102" spans="1:24" ht="15" customHeight="1" x14ac:dyDescent="0.25">
      <c r="A1102" s="55"/>
      <c r="B1102" s="55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143"/>
      <c r="N1102" s="143"/>
      <c r="O1102" s="28"/>
      <c r="P1102" s="28"/>
      <c r="Q1102" s="28"/>
      <c r="R1102" s="143"/>
      <c r="S1102" s="143"/>
      <c r="T1102" s="143"/>
      <c r="U1102" s="143"/>
      <c r="V1102" s="143"/>
      <c r="W1102" s="143"/>
      <c r="X1102" s="143"/>
    </row>
    <row r="1103" spans="1:24" ht="15" customHeight="1" x14ac:dyDescent="0.25">
      <c r="A1103" s="55"/>
      <c r="B1103" s="55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143"/>
      <c r="N1103" s="143"/>
      <c r="O1103" s="28"/>
      <c r="P1103" s="28"/>
      <c r="Q1103" s="28"/>
      <c r="R1103" s="143"/>
      <c r="S1103" s="143"/>
      <c r="T1103" s="143"/>
      <c r="U1103" s="143"/>
      <c r="V1103" s="143"/>
      <c r="W1103" s="143"/>
      <c r="X1103" s="143"/>
    </row>
    <row r="1104" spans="1:24" ht="15" customHeight="1" x14ac:dyDescent="0.25">
      <c r="A1104" s="55"/>
      <c r="B1104" s="55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143"/>
      <c r="N1104" s="143"/>
      <c r="O1104" s="28"/>
      <c r="P1104" s="28"/>
      <c r="Q1104" s="28"/>
      <c r="R1104" s="143"/>
      <c r="S1104" s="143"/>
      <c r="T1104" s="143"/>
      <c r="U1104" s="143"/>
      <c r="V1104" s="143"/>
      <c r="W1104" s="143"/>
      <c r="X1104" s="143"/>
    </row>
    <row r="1105" spans="1:24" ht="15" customHeight="1" x14ac:dyDescent="0.25">
      <c r="A1105" s="55"/>
      <c r="B1105" s="55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143"/>
      <c r="N1105" s="143"/>
      <c r="O1105" s="28"/>
      <c r="P1105" s="28"/>
      <c r="Q1105" s="28"/>
      <c r="R1105" s="143"/>
      <c r="S1105" s="143"/>
      <c r="T1105" s="143"/>
      <c r="U1105" s="143"/>
      <c r="V1105" s="143"/>
      <c r="W1105" s="143"/>
      <c r="X1105" s="143"/>
    </row>
    <row r="1106" spans="1:24" ht="15" customHeight="1" x14ac:dyDescent="0.25">
      <c r="A1106" s="55"/>
      <c r="B1106" s="55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143"/>
      <c r="N1106" s="143"/>
      <c r="O1106" s="28"/>
      <c r="P1106" s="28"/>
      <c r="Q1106" s="28"/>
      <c r="R1106" s="143"/>
      <c r="S1106" s="143"/>
      <c r="T1106" s="143"/>
      <c r="U1106" s="143"/>
      <c r="V1106" s="143"/>
      <c r="W1106" s="143"/>
      <c r="X1106" s="143"/>
    </row>
    <row r="1107" spans="1:24" ht="15" customHeight="1" x14ac:dyDescent="0.25">
      <c r="A1107" s="55"/>
      <c r="B1107" s="55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143"/>
      <c r="N1107" s="143"/>
      <c r="O1107" s="28"/>
      <c r="P1107" s="28"/>
      <c r="Q1107" s="28"/>
      <c r="R1107" s="143"/>
      <c r="S1107" s="143"/>
      <c r="T1107" s="143"/>
      <c r="U1107" s="143"/>
      <c r="V1107" s="143"/>
      <c r="W1107" s="143"/>
      <c r="X1107" s="143"/>
    </row>
    <row r="1108" spans="1:24" ht="15" customHeight="1" x14ac:dyDescent="0.25">
      <c r="A1108" s="55"/>
      <c r="B1108" s="55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143"/>
      <c r="N1108" s="143"/>
      <c r="O1108" s="28"/>
      <c r="P1108" s="28"/>
      <c r="Q1108" s="28"/>
      <c r="R1108" s="143"/>
      <c r="S1108" s="143"/>
      <c r="T1108" s="143"/>
      <c r="U1108" s="143"/>
      <c r="V1108" s="143"/>
      <c r="W1108" s="143"/>
      <c r="X1108" s="143"/>
    </row>
    <row r="1109" spans="1:24" ht="15" customHeight="1" x14ac:dyDescent="0.25">
      <c r="A1109" s="55"/>
      <c r="B1109" s="55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143"/>
      <c r="N1109" s="143"/>
      <c r="O1109" s="28"/>
      <c r="P1109" s="28"/>
      <c r="Q1109" s="28"/>
      <c r="R1109" s="143"/>
      <c r="S1109" s="143"/>
      <c r="T1109" s="143"/>
      <c r="U1109" s="143"/>
      <c r="V1109" s="143"/>
      <c r="W1109" s="143"/>
      <c r="X1109" s="143"/>
    </row>
    <row r="1110" spans="1:24" ht="15" customHeight="1" x14ac:dyDescent="0.25">
      <c r="A1110" s="55"/>
      <c r="B1110" s="55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143"/>
      <c r="N1110" s="143"/>
      <c r="O1110" s="28"/>
      <c r="P1110" s="28"/>
      <c r="Q1110" s="28"/>
      <c r="R1110" s="143"/>
      <c r="S1110" s="143"/>
      <c r="T1110" s="143"/>
      <c r="U1110" s="143"/>
      <c r="V1110" s="143"/>
      <c r="W1110" s="143"/>
      <c r="X1110" s="143"/>
    </row>
    <row r="1111" spans="1:24" ht="15" customHeight="1" x14ac:dyDescent="0.25">
      <c r="A1111" s="55"/>
      <c r="B1111" s="55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143"/>
      <c r="N1111" s="143"/>
      <c r="O1111" s="28"/>
      <c r="P1111" s="28"/>
      <c r="Q1111" s="28"/>
      <c r="R1111" s="143"/>
      <c r="S1111" s="143"/>
      <c r="T1111" s="143"/>
      <c r="U1111" s="143"/>
      <c r="V1111" s="143"/>
      <c r="W1111" s="143"/>
      <c r="X1111" s="143"/>
    </row>
    <row r="1112" spans="1:24" ht="15" customHeight="1" x14ac:dyDescent="0.25">
      <c r="A1112" s="55"/>
      <c r="B1112" s="55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143"/>
      <c r="N1112" s="143"/>
      <c r="O1112" s="28"/>
      <c r="P1112" s="28"/>
      <c r="Q1112" s="28"/>
      <c r="R1112" s="143"/>
      <c r="S1112" s="143"/>
      <c r="T1112" s="143"/>
      <c r="U1112" s="143"/>
      <c r="V1112" s="143"/>
      <c r="W1112" s="143"/>
      <c r="X1112" s="143"/>
    </row>
    <row r="1113" spans="1:24" ht="15" customHeight="1" x14ac:dyDescent="0.25">
      <c r="A1113" s="55"/>
      <c r="B1113" s="55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143"/>
      <c r="N1113" s="143"/>
      <c r="O1113" s="28"/>
      <c r="P1113" s="28"/>
      <c r="Q1113" s="28"/>
      <c r="R1113" s="143"/>
      <c r="S1113" s="143"/>
      <c r="T1113" s="143"/>
      <c r="U1113" s="143"/>
      <c r="V1113" s="143"/>
      <c r="W1113" s="143"/>
      <c r="X1113" s="143"/>
    </row>
    <row r="1114" spans="1:24" ht="15" customHeight="1" x14ac:dyDescent="0.25">
      <c r="A1114" s="55"/>
      <c r="B1114" s="55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143"/>
      <c r="N1114" s="143"/>
      <c r="O1114" s="28"/>
      <c r="P1114" s="28"/>
      <c r="Q1114" s="28"/>
      <c r="R1114" s="143"/>
      <c r="S1114" s="143"/>
      <c r="T1114" s="143"/>
      <c r="U1114" s="143"/>
      <c r="V1114" s="143"/>
      <c r="W1114" s="143"/>
      <c r="X1114" s="143"/>
    </row>
    <row r="1115" spans="1:24" ht="15" customHeight="1" x14ac:dyDescent="0.25">
      <c r="A1115" s="55"/>
      <c r="B1115" s="55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143"/>
      <c r="N1115" s="143"/>
      <c r="O1115" s="28"/>
      <c r="P1115" s="28"/>
      <c r="Q1115" s="28"/>
      <c r="R1115" s="143"/>
      <c r="S1115" s="143"/>
      <c r="T1115" s="143"/>
      <c r="U1115" s="143"/>
      <c r="V1115" s="143"/>
      <c r="W1115" s="143"/>
      <c r="X1115" s="143"/>
    </row>
    <row r="1116" spans="1:24" ht="15" customHeight="1" x14ac:dyDescent="0.25">
      <c r="A1116" s="55"/>
      <c r="B1116" s="55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143"/>
      <c r="N1116" s="143"/>
      <c r="O1116" s="28"/>
      <c r="P1116" s="28"/>
      <c r="Q1116" s="28"/>
      <c r="R1116" s="143"/>
      <c r="S1116" s="143"/>
      <c r="T1116" s="143"/>
      <c r="U1116" s="143"/>
      <c r="V1116" s="143"/>
      <c r="W1116" s="143"/>
      <c r="X1116" s="143"/>
    </row>
    <row r="1117" spans="1:24" ht="15" customHeight="1" x14ac:dyDescent="0.25">
      <c r="A1117" s="55"/>
      <c r="B1117" s="55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143"/>
      <c r="N1117" s="143"/>
      <c r="O1117" s="28"/>
      <c r="P1117" s="28"/>
      <c r="Q1117" s="28"/>
      <c r="R1117" s="143"/>
      <c r="S1117" s="143"/>
      <c r="T1117" s="143"/>
      <c r="U1117" s="143"/>
      <c r="V1117" s="143"/>
      <c r="W1117" s="143"/>
      <c r="X1117" s="143"/>
    </row>
    <row r="1118" spans="1:24" ht="15" customHeight="1" x14ac:dyDescent="0.25">
      <c r="A1118" s="55"/>
      <c r="B1118" s="55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143"/>
      <c r="N1118" s="143"/>
      <c r="O1118" s="28"/>
      <c r="P1118" s="28"/>
      <c r="Q1118" s="28"/>
      <c r="R1118" s="143"/>
      <c r="S1118" s="143"/>
      <c r="T1118" s="143"/>
      <c r="U1118" s="143"/>
      <c r="V1118" s="143"/>
      <c r="W1118" s="143"/>
      <c r="X1118" s="143"/>
    </row>
    <row r="1119" spans="1:24" ht="15" customHeight="1" x14ac:dyDescent="0.25">
      <c r="A1119" s="55"/>
      <c r="B1119" s="55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143"/>
      <c r="N1119" s="143"/>
      <c r="O1119" s="28"/>
      <c r="P1119" s="28"/>
      <c r="Q1119" s="28"/>
      <c r="R1119" s="143"/>
      <c r="S1119" s="143"/>
      <c r="T1119" s="143"/>
      <c r="U1119" s="143"/>
      <c r="V1119" s="143"/>
      <c r="W1119" s="143"/>
      <c r="X1119" s="143"/>
    </row>
    <row r="1120" spans="1:24" ht="15" customHeight="1" x14ac:dyDescent="0.25">
      <c r="A1120" s="55"/>
      <c r="B1120" s="55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143"/>
      <c r="N1120" s="143"/>
      <c r="O1120" s="28"/>
      <c r="P1120" s="28"/>
      <c r="Q1120" s="28"/>
      <c r="R1120" s="143"/>
      <c r="S1120" s="143"/>
      <c r="T1120" s="143"/>
      <c r="U1120" s="143"/>
      <c r="V1120" s="143"/>
      <c r="W1120" s="143"/>
      <c r="X1120" s="143"/>
    </row>
    <row r="1121" spans="1:24" ht="15" customHeight="1" x14ac:dyDescent="0.25">
      <c r="A1121" s="55"/>
      <c r="B1121" s="55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143"/>
      <c r="N1121" s="143"/>
      <c r="O1121" s="28"/>
      <c r="P1121" s="28"/>
      <c r="Q1121" s="28"/>
      <c r="R1121" s="143"/>
      <c r="S1121" s="143"/>
      <c r="T1121" s="143"/>
      <c r="U1121" s="143"/>
      <c r="V1121" s="143"/>
      <c r="W1121" s="143"/>
      <c r="X1121" s="143"/>
    </row>
    <row r="1122" spans="1:24" ht="15" customHeight="1" x14ac:dyDescent="0.25">
      <c r="A1122" s="55"/>
      <c r="B1122" s="55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143"/>
      <c r="N1122" s="143"/>
      <c r="O1122" s="28"/>
      <c r="P1122" s="28"/>
      <c r="Q1122" s="28"/>
      <c r="R1122" s="143"/>
      <c r="S1122" s="143"/>
      <c r="T1122" s="143"/>
      <c r="U1122" s="143"/>
      <c r="V1122" s="143"/>
      <c r="W1122" s="143"/>
      <c r="X1122" s="143"/>
    </row>
    <row r="1123" spans="1:24" ht="15" customHeight="1" x14ac:dyDescent="0.25">
      <c r="A1123" s="55"/>
      <c r="B1123" s="55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143"/>
      <c r="N1123" s="143"/>
      <c r="O1123" s="28"/>
      <c r="P1123" s="28"/>
      <c r="Q1123" s="28"/>
      <c r="R1123" s="143"/>
      <c r="S1123" s="143"/>
      <c r="T1123" s="143"/>
      <c r="U1123" s="143"/>
      <c r="V1123" s="143"/>
      <c r="W1123" s="143"/>
      <c r="X1123" s="143"/>
    </row>
    <row r="1124" spans="1:24" ht="15" customHeight="1" x14ac:dyDescent="0.25">
      <c r="A1124" s="55"/>
      <c r="B1124" s="55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143"/>
      <c r="N1124" s="143"/>
      <c r="O1124" s="28"/>
      <c r="P1124" s="28"/>
      <c r="Q1124" s="28"/>
      <c r="R1124" s="143"/>
      <c r="S1124" s="143"/>
      <c r="T1124" s="143"/>
      <c r="U1124" s="143"/>
      <c r="V1124" s="143"/>
      <c r="W1124" s="143"/>
      <c r="X1124" s="143"/>
    </row>
    <row r="1125" spans="1:24" ht="15" customHeight="1" x14ac:dyDescent="0.25">
      <c r="A1125" s="55"/>
      <c r="B1125" s="55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143"/>
      <c r="N1125" s="143"/>
      <c r="O1125" s="28"/>
      <c r="P1125" s="28"/>
      <c r="Q1125" s="28"/>
      <c r="R1125" s="143"/>
      <c r="S1125" s="143"/>
      <c r="T1125" s="143"/>
      <c r="U1125" s="143"/>
      <c r="V1125" s="143"/>
      <c r="W1125" s="143"/>
      <c r="X1125" s="143"/>
    </row>
    <row r="1126" spans="1:24" ht="15" customHeight="1" x14ac:dyDescent="0.25">
      <c r="A1126" s="55"/>
      <c r="B1126" s="55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143"/>
      <c r="N1126" s="143"/>
      <c r="O1126" s="28"/>
      <c r="P1126" s="28"/>
      <c r="Q1126" s="28"/>
      <c r="R1126" s="143"/>
      <c r="S1126" s="143"/>
      <c r="T1126" s="143"/>
      <c r="U1126" s="143"/>
      <c r="V1126" s="143"/>
      <c r="W1126" s="143"/>
      <c r="X1126" s="143"/>
    </row>
    <row r="1127" spans="1:24" ht="15" customHeight="1" x14ac:dyDescent="0.25">
      <c r="A1127" s="55"/>
      <c r="B1127" s="55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143"/>
      <c r="N1127" s="143"/>
      <c r="O1127" s="28"/>
      <c r="P1127" s="28"/>
      <c r="Q1127" s="28"/>
      <c r="R1127" s="143"/>
      <c r="S1127" s="143"/>
      <c r="T1127" s="143"/>
      <c r="U1127" s="143"/>
      <c r="V1127" s="143"/>
      <c r="W1127" s="143"/>
      <c r="X1127" s="143"/>
    </row>
    <row r="1128" spans="1:24" ht="15" customHeight="1" x14ac:dyDescent="0.25">
      <c r="A1128" s="55"/>
      <c r="B1128" s="55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143"/>
      <c r="N1128" s="143"/>
      <c r="O1128" s="28"/>
      <c r="P1128" s="28"/>
      <c r="Q1128" s="28"/>
      <c r="R1128" s="143"/>
      <c r="S1128" s="143"/>
      <c r="T1128" s="143"/>
      <c r="U1128" s="143"/>
      <c r="V1128" s="143"/>
      <c r="W1128" s="143"/>
      <c r="X1128" s="143"/>
    </row>
    <row r="1129" spans="1:24" ht="15" customHeight="1" x14ac:dyDescent="0.25">
      <c r="A1129" s="55"/>
      <c r="B1129" s="55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143"/>
      <c r="N1129" s="143"/>
      <c r="O1129" s="28"/>
      <c r="P1129" s="28"/>
      <c r="Q1129" s="28"/>
      <c r="R1129" s="143"/>
      <c r="S1129" s="143"/>
      <c r="T1129" s="143"/>
      <c r="U1129" s="143"/>
      <c r="V1129" s="143"/>
      <c r="W1129" s="143"/>
      <c r="X1129" s="143"/>
    </row>
    <row r="1130" spans="1:24" ht="15" customHeight="1" x14ac:dyDescent="0.25">
      <c r="A1130" s="55"/>
      <c r="B1130" s="55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143"/>
      <c r="N1130" s="143"/>
      <c r="O1130" s="28"/>
      <c r="P1130" s="28"/>
      <c r="Q1130" s="28"/>
      <c r="R1130" s="143"/>
      <c r="S1130" s="143"/>
      <c r="T1130" s="143"/>
      <c r="U1130" s="143"/>
      <c r="V1130" s="143"/>
      <c r="W1130" s="143"/>
      <c r="X1130" s="143"/>
    </row>
    <row r="1131" spans="1:24" ht="15" customHeight="1" x14ac:dyDescent="0.25">
      <c r="A1131" s="55"/>
      <c r="B1131" s="55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143"/>
      <c r="N1131" s="143"/>
      <c r="O1131" s="28"/>
      <c r="P1131" s="28"/>
      <c r="Q1131" s="28"/>
      <c r="R1131" s="143"/>
      <c r="S1131" s="143"/>
      <c r="T1131" s="143"/>
      <c r="U1131" s="143"/>
      <c r="V1131" s="143"/>
      <c r="W1131" s="143"/>
      <c r="X1131" s="143"/>
    </row>
    <row r="1132" spans="1:24" ht="15" customHeight="1" x14ac:dyDescent="0.25">
      <c r="A1132" s="55"/>
      <c r="B1132" s="55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143"/>
      <c r="N1132" s="143"/>
      <c r="O1132" s="28"/>
      <c r="P1132" s="28"/>
      <c r="Q1132" s="28"/>
      <c r="R1132" s="143"/>
      <c r="S1132" s="143"/>
      <c r="T1132" s="143"/>
      <c r="U1132" s="143"/>
      <c r="V1132" s="143"/>
      <c r="W1132" s="143"/>
      <c r="X1132" s="143"/>
    </row>
    <row r="1133" spans="1:24" ht="15" customHeight="1" x14ac:dyDescent="0.25">
      <c r="A1133" s="55"/>
      <c r="B1133" s="55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143"/>
      <c r="N1133" s="143"/>
      <c r="O1133" s="28"/>
      <c r="P1133" s="28"/>
      <c r="Q1133" s="28"/>
      <c r="R1133" s="143"/>
      <c r="S1133" s="143"/>
      <c r="T1133" s="143"/>
      <c r="U1133" s="143"/>
      <c r="V1133" s="143"/>
      <c r="W1133" s="143"/>
      <c r="X1133" s="143"/>
    </row>
    <row r="1134" spans="1:24" ht="15" customHeight="1" x14ac:dyDescent="0.25">
      <c r="A1134" s="55"/>
      <c r="B1134" s="55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143"/>
      <c r="N1134" s="143"/>
      <c r="O1134" s="28"/>
      <c r="P1134" s="28"/>
      <c r="Q1134" s="28"/>
      <c r="R1134" s="143"/>
      <c r="S1134" s="143"/>
      <c r="T1134" s="143"/>
      <c r="U1134" s="143"/>
      <c r="V1134" s="143"/>
      <c r="W1134" s="143"/>
      <c r="X1134" s="143"/>
    </row>
    <row r="1135" spans="1:24" ht="15" customHeight="1" x14ac:dyDescent="0.25">
      <c r="A1135" s="55"/>
      <c r="B1135" s="55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143"/>
      <c r="N1135" s="143"/>
      <c r="O1135" s="28"/>
      <c r="P1135" s="28"/>
      <c r="Q1135" s="28"/>
      <c r="R1135" s="143"/>
      <c r="S1135" s="143"/>
      <c r="T1135" s="143"/>
      <c r="U1135" s="143"/>
      <c r="V1135" s="143"/>
      <c r="W1135" s="143"/>
      <c r="X1135" s="143"/>
    </row>
    <row r="1136" spans="1:24" ht="15" customHeight="1" x14ac:dyDescent="0.25">
      <c r="A1136" s="55"/>
      <c r="B1136" s="55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143"/>
      <c r="N1136" s="143"/>
      <c r="O1136" s="28"/>
      <c r="P1136" s="28"/>
      <c r="Q1136" s="28"/>
      <c r="R1136" s="143"/>
      <c r="S1136" s="143"/>
      <c r="T1136" s="143"/>
      <c r="U1136" s="143"/>
      <c r="V1136" s="143"/>
      <c r="W1136" s="143"/>
      <c r="X1136" s="143"/>
    </row>
    <row r="1137" spans="1:24" ht="15" customHeight="1" x14ac:dyDescent="0.25">
      <c r="A1137" s="55"/>
      <c r="B1137" s="55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143"/>
      <c r="N1137" s="143"/>
      <c r="O1137" s="28"/>
      <c r="P1137" s="28"/>
      <c r="Q1137" s="28"/>
      <c r="R1137" s="143"/>
      <c r="S1137" s="143"/>
      <c r="T1137" s="143"/>
      <c r="U1137" s="143"/>
      <c r="V1137" s="143"/>
      <c r="W1137" s="143"/>
      <c r="X1137" s="143"/>
    </row>
    <row r="1138" spans="1:24" ht="15" customHeight="1" x14ac:dyDescent="0.25">
      <c r="A1138" s="55"/>
      <c r="B1138" s="55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143"/>
      <c r="N1138" s="143"/>
      <c r="O1138" s="28"/>
      <c r="P1138" s="28"/>
      <c r="Q1138" s="28"/>
      <c r="R1138" s="143"/>
      <c r="S1138" s="143"/>
      <c r="T1138" s="143"/>
      <c r="U1138" s="143"/>
      <c r="V1138" s="143"/>
      <c r="W1138" s="143"/>
      <c r="X1138" s="143"/>
    </row>
    <row r="1139" spans="1:24" ht="15" customHeight="1" x14ac:dyDescent="0.25">
      <c r="A1139" s="55"/>
      <c r="B1139" s="55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143"/>
      <c r="N1139" s="143"/>
      <c r="O1139" s="28"/>
      <c r="P1139" s="28"/>
      <c r="Q1139" s="28"/>
      <c r="R1139" s="143"/>
      <c r="S1139" s="143"/>
      <c r="T1139" s="143"/>
      <c r="U1139" s="143"/>
      <c r="V1139" s="143"/>
      <c r="W1139" s="143"/>
      <c r="X1139" s="143"/>
    </row>
    <row r="1140" spans="1:24" ht="15" customHeight="1" x14ac:dyDescent="0.25">
      <c r="A1140" s="55"/>
      <c r="B1140" s="55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143"/>
      <c r="N1140" s="143"/>
      <c r="O1140" s="28"/>
      <c r="P1140" s="28"/>
      <c r="Q1140" s="28"/>
      <c r="R1140" s="143"/>
      <c r="S1140" s="143"/>
      <c r="T1140" s="143"/>
      <c r="U1140" s="143"/>
      <c r="V1140" s="143"/>
      <c r="W1140" s="143"/>
      <c r="X1140" s="143"/>
    </row>
    <row r="1141" spans="1:24" ht="15" customHeight="1" x14ac:dyDescent="0.25">
      <c r="A1141" s="55"/>
      <c r="B1141" s="55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143"/>
      <c r="N1141" s="143"/>
      <c r="O1141" s="28"/>
      <c r="P1141" s="28"/>
      <c r="Q1141" s="28"/>
      <c r="R1141" s="143"/>
      <c r="S1141" s="143"/>
      <c r="T1141" s="143"/>
      <c r="U1141" s="143"/>
      <c r="V1141" s="143"/>
      <c r="W1141" s="143"/>
      <c r="X1141" s="143"/>
    </row>
    <row r="1142" spans="1:24" ht="15" customHeight="1" x14ac:dyDescent="0.25">
      <c r="A1142" s="55"/>
      <c r="B1142" s="55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143"/>
      <c r="N1142" s="143"/>
      <c r="O1142" s="28"/>
      <c r="P1142" s="28"/>
      <c r="Q1142" s="28"/>
      <c r="R1142" s="143"/>
      <c r="S1142" s="143"/>
      <c r="T1142" s="143"/>
      <c r="U1142" s="143"/>
      <c r="V1142" s="143"/>
      <c r="W1142" s="143"/>
      <c r="X1142" s="143"/>
    </row>
    <row r="1143" spans="1:24" ht="15" customHeight="1" x14ac:dyDescent="0.25">
      <c r="A1143" s="55"/>
      <c r="B1143" s="55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143"/>
      <c r="N1143" s="143"/>
      <c r="O1143" s="28"/>
      <c r="P1143" s="28"/>
      <c r="Q1143" s="28"/>
      <c r="R1143" s="143"/>
      <c r="S1143" s="143"/>
      <c r="T1143" s="143"/>
      <c r="U1143" s="143"/>
      <c r="V1143" s="143"/>
      <c r="W1143" s="143"/>
      <c r="X1143" s="143"/>
    </row>
    <row r="1144" spans="1:24" ht="15" customHeight="1" x14ac:dyDescent="0.25">
      <c r="A1144" s="55"/>
      <c r="B1144" s="55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143"/>
      <c r="N1144" s="143"/>
      <c r="O1144" s="28"/>
      <c r="P1144" s="28"/>
      <c r="Q1144" s="28"/>
      <c r="R1144" s="143"/>
      <c r="S1144" s="143"/>
      <c r="T1144" s="143"/>
      <c r="U1144" s="143"/>
      <c r="V1144" s="143"/>
      <c r="W1144" s="143"/>
      <c r="X1144" s="143"/>
    </row>
    <row r="1145" spans="1:24" ht="15" customHeight="1" x14ac:dyDescent="0.25">
      <c r="A1145" s="55"/>
      <c r="B1145" s="55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143"/>
      <c r="N1145" s="143"/>
      <c r="O1145" s="28"/>
      <c r="P1145" s="28"/>
      <c r="Q1145" s="28"/>
      <c r="R1145" s="143"/>
      <c r="S1145" s="143"/>
      <c r="T1145" s="143"/>
      <c r="U1145" s="143"/>
      <c r="V1145" s="143"/>
      <c r="W1145" s="143"/>
      <c r="X1145" s="143"/>
    </row>
    <row r="1146" spans="1:24" ht="15" customHeight="1" x14ac:dyDescent="0.25">
      <c r="A1146" s="55"/>
      <c r="B1146" s="55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143"/>
      <c r="N1146" s="143"/>
      <c r="O1146" s="28"/>
      <c r="P1146" s="28"/>
      <c r="Q1146" s="28"/>
      <c r="R1146" s="143"/>
      <c r="S1146" s="143"/>
      <c r="T1146" s="143"/>
      <c r="U1146" s="143"/>
      <c r="V1146" s="143"/>
      <c r="W1146" s="143"/>
      <c r="X1146" s="143"/>
    </row>
    <row r="1147" spans="1:24" ht="15" customHeight="1" x14ac:dyDescent="0.25">
      <c r="A1147" s="55"/>
      <c r="B1147" s="55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143"/>
      <c r="N1147" s="143"/>
      <c r="O1147" s="28"/>
      <c r="P1147" s="28"/>
      <c r="Q1147" s="28"/>
      <c r="R1147" s="143"/>
      <c r="S1147" s="143"/>
      <c r="T1147" s="143"/>
      <c r="U1147" s="143"/>
      <c r="V1147" s="143"/>
      <c r="W1147" s="143"/>
      <c r="X1147" s="143"/>
    </row>
    <row r="1148" spans="1:24" ht="15" customHeight="1" x14ac:dyDescent="0.25">
      <c r="A1148" s="55"/>
      <c r="B1148" s="55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143"/>
      <c r="N1148" s="143"/>
      <c r="O1148" s="28"/>
      <c r="P1148" s="28"/>
      <c r="Q1148" s="28"/>
      <c r="R1148" s="143"/>
      <c r="S1148" s="143"/>
      <c r="T1148" s="143"/>
      <c r="U1148" s="143"/>
      <c r="V1148" s="143"/>
      <c r="W1148" s="143"/>
      <c r="X1148" s="143"/>
    </row>
    <row r="1149" spans="1:24" ht="15" customHeight="1" x14ac:dyDescent="0.25">
      <c r="A1149" s="55"/>
      <c r="B1149" s="55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143"/>
      <c r="N1149" s="143"/>
      <c r="O1149" s="28"/>
      <c r="P1149" s="28"/>
      <c r="Q1149" s="28"/>
      <c r="R1149" s="143"/>
      <c r="S1149" s="143"/>
      <c r="T1149" s="143"/>
      <c r="U1149" s="143"/>
      <c r="V1149" s="143"/>
      <c r="W1149" s="143"/>
      <c r="X1149" s="143"/>
    </row>
    <row r="1150" spans="1:24" ht="15" customHeight="1" x14ac:dyDescent="0.25">
      <c r="A1150" s="55"/>
      <c r="B1150" s="55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143"/>
      <c r="N1150" s="143"/>
      <c r="O1150" s="28"/>
      <c r="P1150" s="28"/>
      <c r="Q1150" s="28"/>
      <c r="R1150" s="143"/>
      <c r="S1150" s="143"/>
      <c r="T1150" s="143"/>
      <c r="U1150" s="143"/>
      <c r="V1150" s="143"/>
      <c r="W1150" s="143"/>
      <c r="X1150" s="143"/>
    </row>
    <row r="1151" spans="1:24" ht="15" customHeight="1" x14ac:dyDescent="0.25">
      <c r="A1151" s="55"/>
      <c r="B1151" s="55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143"/>
      <c r="N1151" s="143"/>
      <c r="O1151" s="28"/>
      <c r="P1151" s="28"/>
      <c r="Q1151" s="28"/>
      <c r="R1151" s="143"/>
      <c r="S1151" s="143"/>
      <c r="T1151" s="143"/>
      <c r="U1151" s="143"/>
      <c r="V1151" s="143"/>
      <c r="W1151" s="143"/>
      <c r="X1151" s="143"/>
    </row>
    <row r="1152" spans="1:24" ht="15" customHeight="1" x14ac:dyDescent="0.25">
      <c r="A1152" s="55"/>
      <c r="B1152" s="55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143"/>
      <c r="N1152" s="143"/>
      <c r="O1152" s="28"/>
      <c r="P1152" s="28"/>
      <c r="Q1152" s="28"/>
      <c r="R1152" s="143"/>
      <c r="S1152" s="143"/>
      <c r="T1152" s="143"/>
      <c r="U1152" s="143"/>
      <c r="V1152" s="143"/>
      <c r="W1152" s="143"/>
      <c r="X1152" s="143"/>
    </row>
    <row r="1153" spans="1:24" ht="15" customHeight="1" x14ac:dyDescent="0.25">
      <c r="A1153" s="55"/>
      <c r="B1153" s="55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143"/>
      <c r="N1153" s="143"/>
      <c r="O1153" s="28"/>
      <c r="P1153" s="28"/>
      <c r="Q1153" s="28"/>
      <c r="R1153" s="143"/>
      <c r="S1153" s="143"/>
      <c r="T1153" s="143"/>
      <c r="U1153" s="143"/>
      <c r="V1153" s="143"/>
      <c r="W1153" s="143"/>
      <c r="X1153" s="143"/>
    </row>
    <row r="1154" spans="1:24" ht="15" customHeight="1" x14ac:dyDescent="0.25">
      <c r="A1154" s="55"/>
      <c r="B1154" s="55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143"/>
      <c r="N1154" s="143"/>
      <c r="O1154" s="28"/>
      <c r="P1154" s="28"/>
      <c r="Q1154" s="28"/>
      <c r="R1154" s="143"/>
      <c r="S1154" s="143"/>
      <c r="T1154" s="143"/>
      <c r="U1154" s="143"/>
      <c r="V1154" s="143"/>
      <c r="W1154" s="143"/>
      <c r="X1154" s="143"/>
    </row>
    <row r="1155" spans="1:24" ht="15" customHeight="1" x14ac:dyDescent="0.25">
      <c r="A1155" s="55"/>
      <c r="B1155" s="55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143"/>
      <c r="N1155" s="143"/>
      <c r="O1155" s="28"/>
      <c r="P1155" s="28"/>
      <c r="Q1155" s="28"/>
      <c r="R1155" s="143"/>
      <c r="S1155" s="143"/>
      <c r="T1155" s="143"/>
      <c r="U1155" s="143"/>
      <c r="V1155" s="143"/>
      <c r="W1155" s="143"/>
      <c r="X1155" s="143"/>
    </row>
    <row r="1156" spans="1:24" ht="15" customHeight="1" x14ac:dyDescent="0.25">
      <c r="A1156" s="55"/>
      <c r="B1156" s="55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143"/>
      <c r="N1156" s="143"/>
      <c r="O1156" s="28"/>
      <c r="P1156" s="28"/>
      <c r="Q1156" s="28"/>
      <c r="R1156" s="143"/>
      <c r="S1156" s="143"/>
      <c r="T1156" s="143"/>
      <c r="U1156" s="143"/>
      <c r="V1156" s="143"/>
      <c r="W1156" s="143"/>
      <c r="X1156" s="143"/>
    </row>
    <row r="1157" spans="1:24" ht="15" customHeight="1" x14ac:dyDescent="0.25">
      <c r="A1157" s="55"/>
      <c r="B1157" s="55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143"/>
      <c r="N1157" s="143"/>
      <c r="O1157" s="28"/>
      <c r="P1157" s="28"/>
      <c r="Q1157" s="28"/>
      <c r="R1157" s="143"/>
      <c r="S1157" s="143"/>
      <c r="T1157" s="143"/>
      <c r="U1157" s="143"/>
      <c r="V1157" s="143"/>
      <c r="W1157" s="143"/>
      <c r="X1157" s="143"/>
    </row>
    <row r="1158" spans="1:24" ht="15" customHeight="1" x14ac:dyDescent="0.25">
      <c r="A1158" s="55"/>
      <c r="B1158" s="55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143"/>
      <c r="N1158" s="143"/>
      <c r="O1158" s="28"/>
      <c r="P1158" s="28"/>
      <c r="Q1158" s="28"/>
      <c r="R1158" s="143"/>
      <c r="S1158" s="143"/>
      <c r="T1158" s="143"/>
      <c r="U1158" s="143"/>
      <c r="V1158" s="143"/>
      <c r="W1158" s="143"/>
      <c r="X1158" s="143"/>
    </row>
    <row r="1159" spans="1:24" ht="15" customHeight="1" x14ac:dyDescent="0.25">
      <c r="A1159" s="55"/>
      <c r="B1159" s="55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143"/>
      <c r="N1159" s="143"/>
      <c r="O1159" s="28"/>
      <c r="P1159" s="28"/>
      <c r="Q1159" s="28"/>
      <c r="R1159" s="143"/>
      <c r="S1159" s="143"/>
      <c r="T1159" s="143"/>
      <c r="U1159" s="143"/>
      <c r="V1159" s="143"/>
      <c r="W1159" s="143"/>
      <c r="X1159" s="143"/>
    </row>
    <row r="1160" spans="1:24" ht="15" customHeight="1" x14ac:dyDescent="0.25">
      <c r="A1160" s="55"/>
      <c r="B1160" s="55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143"/>
      <c r="N1160" s="143"/>
      <c r="O1160" s="28"/>
      <c r="P1160" s="28"/>
      <c r="Q1160" s="28"/>
      <c r="R1160" s="143"/>
      <c r="S1160" s="143"/>
      <c r="T1160" s="143"/>
      <c r="U1160" s="143"/>
      <c r="V1160" s="143"/>
      <c r="W1160" s="143"/>
      <c r="X1160" s="143"/>
    </row>
    <row r="1161" spans="1:24" ht="15" customHeight="1" x14ac:dyDescent="0.25">
      <c r="A1161" s="55"/>
      <c r="B1161" s="55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143"/>
      <c r="N1161" s="143"/>
      <c r="O1161" s="28"/>
      <c r="P1161" s="28"/>
      <c r="Q1161" s="28"/>
      <c r="R1161" s="143"/>
      <c r="S1161" s="143"/>
      <c r="T1161" s="143"/>
      <c r="U1161" s="143"/>
      <c r="V1161" s="143"/>
      <c r="W1161" s="143"/>
      <c r="X1161" s="143"/>
    </row>
    <row r="1162" spans="1:24" ht="15" customHeight="1" x14ac:dyDescent="0.25">
      <c r="A1162" s="55"/>
      <c r="B1162" s="55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143"/>
      <c r="N1162" s="143"/>
      <c r="O1162" s="28"/>
      <c r="P1162" s="28"/>
      <c r="Q1162" s="28"/>
      <c r="R1162" s="143"/>
      <c r="S1162" s="143"/>
      <c r="T1162" s="143"/>
      <c r="U1162" s="143"/>
      <c r="V1162" s="143"/>
      <c r="W1162" s="143"/>
      <c r="X1162" s="143"/>
    </row>
    <row r="1163" spans="1:24" ht="15" customHeight="1" x14ac:dyDescent="0.25">
      <c r="A1163" s="55"/>
      <c r="B1163" s="55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143"/>
      <c r="N1163" s="143"/>
      <c r="O1163" s="28"/>
      <c r="P1163" s="28"/>
      <c r="Q1163" s="28"/>
      <c r="R1163" s="143"/>
      <c r="S1163" s="143"/>
      <c r="T1163" s="143"/>
      <c r="U1163" s="143"/>
      <c r="V1163" s="143"/>
      <c r="W1163" s="143"/>
      <c r="X1163" s="143"/>
    </row>
    <row r="1164" spans="1:24" ht="15" customHeight="1" x14ac:dyDescent="0.25">
      <c r="A1164" s="55"/>
      <c r="B1164" s="55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143"/>
      <c r="N1164" s="143"/>
      <c r="O1164" s="28"/>
      <c r="P1164" s="28"/>
      <c r="Q1164" s="28"/>
      <c r="R1164" s="143"/>
      <c r="S1164" s="143"/>
      <c r="T1164" s="143"/>
      <c r="U1164" s="143"/>
      <c r="V1164" s="143"/>
      <c r="W1164" s="143"/>
      <c r="X1164" s="143"/>
    </row>
    <row r="1165" spans="1:24" ht="15" customHeight="1" x14ac:dyDescent="0.25">
      <c r="A1165" s="55"/>
      <c r="B1165" s="55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143"/>
      <c r="N1165" s="143"/>
      <c r="O1165" s="28"/>
      <c r="P1165" s="28"/>
      <c r="Q1165" s="28"/>
      <c r="R1165" s="143"/>
      <c r="S1165" s="143"/>
      <c r="T1165" s="143"/>
      <c r="U1165" s="143"/>
      <c r="V1165" s="143"/>
      <c r="W1165" s="143"/>
      <c r="X1165" s="143"/>
    </row>
    <row r="1166" spans="1:24" ht="15" customHeight="1" x14ac:dyDescent="0.25">
      <c r="A1166" s="55"/>
      <c r="B1166" s="55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143"/>
      <c r="N1166" s="143"/>
      <c r="O1166" s="28"/>
      <c r="P1166" s="28"/>
      <c r="Q1166" s="28"/>
      <c r="R1166" s="143"/>
      <c r="S1166" s="143"/>
      <c r="T1166" s="143"/>
      <c r="U1166" s="143"/>
      <c r="V1166" s="143"/>
      <c r="W1166" s="143"/>
      <c r="X1166" s="143"/>
    </row>
    <row r="1167" spans="1:24" ht="15" customHeight="1" x14ac:dyDescent="0.25">
      <c r="A1167" s="55"/>
      <c r="B1167" s="55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143"/>
      <c r="N1167" s="143"/>
      <c r="O1167" s="28"/>
      <c r="P1167" s="28"/>
      <c r="Q1167" s="28"/>
      <c r="R1167" s="143"/>
      <c r="S1167" s="143"/>
      <c r="T1167" s="143"/>
      <c r="U1167" s="143"/>
      <c r="V1167" s="143"/>
      <c r="W1167" s="143"/>
      <c r="X1167" s="143"/>
    </row>
    <row r="1168" spans="1:24" ht="15" customHeight="1" x14ac:dyDescent="0.25">
      <c r="A1168" s="55"/>
      <c r="B1168" s="55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143"/>
      <c r="N1168" s="143"/>
      <c r="O1168" s="28"/>
      <c r="P1168" s="28"/>
      <c r="Q1168" s="28"/>
      <c r="R1168" s="143"/>
      <c r="S1168" s="143"/>
      <c r="T1168" s="143"/>
      <c r="U1168" s="143"/>
      <c r="V1168" s="143"/>
      <c r="W1168" s="143"/>
      <c r="X1168" s="143"/>
    </row>
    <row r="1169" spans="1:24" ht="15" customHeight="1" x14ac:dyDescent="0.25">
      <c r="A1169" s="55"/>
      <c r="B1169" s="55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143"/>
      <c r="N1169" s="143"/>
      <c r="O1169" s="28"/>
      <c r="P1169" s="28"/>
      <c r="Q1169" s="28"/>
      <c r="R1169" s="143"/>
      <c r="S1169" s="143"/>
      <c r="T1169" s="143"/>
      <c r="U1169" s="143"/>
      <c r="V1169" s="143"/>
      <c r="W1169" s="143"/>
      <c r="X1169" s="143"/>
    </row>
    <row r="1170" spans="1:24" ht="15" customHeight="1" x14ac:dyDescent="0.25">
      <c r="A1170" s="55"/>
      <c r="B1170" s="55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143"/>
      <c r="N1170" s="143"/>
      <c r="O1170" s="28"/>
      <c r="P1170" s="28"/>
      <c r="Q1170" s="28"/>
      <c r="R1170" s="143"/>
      <c r="S1170" s="143"/>
      <c r="T1170" s="143"/>
      <c r="U1170" s="143"/>
      <c r="V1170" s="143"/>
      <c r="W1170" s="143"/>
      <c r="X1170" s="143"/>
    </row>
    <row r="1171" spans="1:24" ht="15" customHeight="1" x14ac:dyDescent="0.25">
      <c r="A1171" s="55"/>
      <c r="B1171" s="55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143"/>
      <c r="N1171" s="143"/>
      <c r="O1171" s="28"/>
      <c r="P1171" s="28"/>
      <c r="Q1171" s="28"/>
      <c r="R1171" s="143"/>
      <c r="S1171" s="143"/>
      <c r="T1171" s="143"/>
      <c r="U1171" s="143"/>
      <c r="V1171" s="143"/>
      <c r="W1171" s="143"/>
      <c r="X1171" s="143"/>
    </row>
    <row r="1172" spans="1:24" ht="15" customHeight="1" x14ac:dyDescent="0.25">
      <c r="A1172" s="55"/>
      <c r="B1172" s="55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143"/>
      <c r="N1172" s="143"/>
      <c r="O1172" s="28"/>
      <c r="P1172" s="28"/>
      <c r="Q1172" s="28"/>
      <c r="R1172" s="143"/>
      <c r="S1172" s="143"/>
      <c r="T1172" s="143"/>
      <c r="U1172" s="143"/>
      <c r="V1172" s="143"/>
      <c r="W1172" s="143"/>
      <c r="X1172" s="143"/>
    </row>
    <row r="1173" spans="1:24" ht="15" customHeight="1" x14ac:dyDescent="0.25">
      <c r="A1173" s="55"/>
      <c r="B1173" s="55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143"/>
      <c r="N1173" s="143"/>
      <c r="O1173" s="28"/>
      <c r="P1173" s="28"/>
      <c r="Q1173" s="28"/>
      <c r="R1173" s="143"/>
      <c r="S1173" s="143"/>
      <c r="T1173" s="143"/>
      <c r="U1173" s="143"/>
      <c r="V1173" s="143"/>
      <c r="W1173" s="143"/>
      <c r="X1173" s="143"/>
    </row>
    <row r="1174" spans="1:24" ht="15" customHeight="1" x14ac:dyDescent="0.25">
      <c r="A1174" s="55"/>
      <c r="B1174" s="55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143"/>
      <c r="N1174" s="143"/>
      <c r="O1174" s="28"/>
      <c r="P1174" s="28"/>
      <c r="Q1174" s="28"/>
      <c r="R1174" s="143"/>
      <c r="S1174" s="143"/>
      <c r="T1174" s="143"/>
      <c r="U1174" s="143"/>
      <c r="V1174" s="143"/>
      <c r="W1174" s="143"/>
      <c r="X1174" s="143"/>
    </row>
    <row r="1175" spans="1:24" ht="15" customHeight="1" x14ac:dyDescent="0.25">
      <c r="A1175" s="55"/>
      <c r="B1175" s="55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143"/>
      <c r="N1175" s="143"/>
      <c r="O1175" s="28"/>
      <c r="P1175" s="28"/>
      <c r="Q1175" s="28"/>
      <c r="R1175" s="143"/>
      <c r="S1175" s="143"/>
      <c r="T1175" s="143"/>
      <c r="U1175" s="143"/>
      <c r="V1175" s="143"/>
      <c r="W1175" s="143"/>
      <c r="X1175" s="143"/>
    </row>
    <row r="1176" spans="1:24" ht="15" customHeight="1" x14ac:dyDescent="0.25">
      <c r="A1176" s="55"/>
      <c r="B1176" s="55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143"/>
      <c r="N1176" s="143"/>
      <c r="O1176" s="28"/>
      <c r="P1176" s="28"/>
      <c r="Q1176" s="28"/>
      <c r="R1176" s="143"/>
      <c r="S1176" s="143"/>
      <c r="T1176" s="143"/>
      <c r="U1176" s="143"/>
      <c r="V1176" s="143"/>
      <c r="W1176" s="143"/>
      <c r="X1176" s="143"/>
    </row>
    <row r="1177" spans="1:24" ht="15" customHeight="1" x14ac:dyDescent="0.25">
      <c r="A1177" s="55"/>
      <c r="B1177" s="55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143"/>
      <c r="N1177" s="143"/>
      <c r="O1177" s="28"/>
      <c r="P1177" s="28"/>
      <c r="Q1177" s="28"/>
      <c r="R1177" s="143"/>
      <c r="S1177" s="143"/>
      <c r="T1177" s="143"/>
      <c r="U1177" s="143"/>
      <c r="V1177" s="143"/>
      <c r="W1177" s="143"/>
      <c r="X1177" s="143"/>
    </row>
    <row r="1178" spans="1:24" ht="15" customHeight="1" x14ac:dyDescent="0.25">
      <c r="A1178" s="55"/>
      <c r="B1178" s="55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143"/>
      <c r="N1178" s="143"/>
      <c r="O1178" s="28"/>
      <c r="P1178" s="28"/>
      <c r="Q1178" s="28"/>
      <c r="R1178" s="143"/>
      <c r="S1178" s="143"/>
      <c r="T1178" s="143"/>
      <c r="U1178" s="143"/>
      <c r="V1178" s="143"/>
      <c r="W1178" s="143"/>
      <c r="X1178" s="143"/>
    </row>
    <row r="1179" spans="1:24" ht="15" customHeight="1" x14ac:dyDescent="0.25">
      <c r="A1179" s="55"/>
      <c r="B1179" s="55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143"/>
      <c r="N1179" s="143"/>
      <c r="O1179" s="28"/>
      <c r="P1179" s="28"/>
      <c r="Q1179" s="28"/>
      <c r="R1179" s="143"/>
      <c r="S1179" s="143"/>
      <c r="T1179" s="143"/>
      <c r="U1179" s="143"/>
      <c r="V1179" s="143"/>
      <c r="W1179" s="143"/>
      <c r="X1179" s="143"/>
    </row>
    <row r="1180" spans="1:24" ht="15" customHeight="1" x14ac:dyDescent="0.25">
      <c r="A1180" s="55"/>
      <c r="B1180" s="55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143"/>
      <c r="N1180" s="143"/>
      <c r="O1180" s="28"/>
      <c r="P1180" s="28"/>
      <c r="Q1180" s="28"/>
      <c r="R1180" s="143"/>
      <c r="S1180" s="143"/>
      <c r="T1180" s="143"/>
      <c r="U1180" s="143"/>
      <c r="V1180" s="143"/>
      <c r="W1180" s="143"/>
      <c r="X1180" s="143"/>
    </row>
    <row r="1181" spans="1:24" ht="15" customHeight="1" x14ac:dyDescent="0.25">
      <c r="A1181" s="55"/>
      <c r="B1181" s="55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143"/>
      <c r="N1181" s="143"/>
      <c r="O1181" s="28"/>
      <c r="P1181" s="28"/>
      <c r="Q1181" s="28"/>
      <c r="R1181" s="143"/>
      <c r="S1181" s="143"/>
      <c r="T1181" s="143"/>
      <c r="U1181" s="143"/>
      <c r="V1181" s="143"/>
      <c r="W1181" s="143"/>
      <c r="X1181" s="143"/>
    </row>
    <row r="1182" spans="1:24" ht="15" customHeight="1" x14ac:dyDescent="0.25">
      <c r="A1182" s="55"/>
      <c r="B1182" s="55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143"/>
      <c r="N1182" s="143"/>
      <c r="O1182" s="28"/>
      <c r="P1182" s="28"/>
      <c r="Q1182" s="28"/>
      <c r="R1182" s="143"/>
      <c r="S1182" s="143"/>
      <c r="T1182" s="143"/>
      <c r="U1182" s="143"/>
      <c r="V1182" s="143"/>
      <c r="W1182" s="143"/>
      <c r="X1182" s="143"/>
    </row>
    <row r="1183" spans="1:24" ht="15" customHeight="1" x14ac:dyDescent="0.25">
      <c r="A1183" s="55"/>
      <c r="B1183" s="55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143"/>
      <c r="N1183" s="143"/>
      <c r="O1183" s="28"/>
      <c r="P1183" s="28"/>
      <c r="Q1183" s="28"/>
      <c r="R1183" s="143"/>
      <c r="S1183" s="143"/>
      <c r="T1183" s="143"/>
      <c r="U1183" s="143"/>
      <c r="V1183" s="143"/>
      <c r="W1183" s="143"/>
      <c r="X1183" s="143"/>
    </row>
    <row r="1184" spans="1:24" ht="15" customHeight="1" x14ac:dyDescent="0.25">
      <c r="A1184" s="55"/>
      <c r="B1184" s="55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143"/>
      <c r="N1184" s="143"/>
      <c r="O1184" s="28"/>
      <c r="P1184" s="28"/>
      <c r="Q1184" s="28"/>
      <c r="R1184" s="143"/>
      <c r="S1184" s="143"/>
      <c r="T1184" s="143"/>
      <c r="U1184" s="143"/>
      <c r="V1184" s="143"/>
      <c r="W1184" s="143"/>
      <c r="X1184" s="143"/>
    </row>
    <row r="1185" spans="1:24" ht="15" customHeight="1" x14ac:dyDescent="0.25">
      <c r="A1185" s="55"/>
      <c r="B1185" s="55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143"/>
      <c r="N1185" s="143"/>
      <c r="O1185" s="28"/>
      <c r="P1185" s="28"/>
      <c r="Q1185" s="28"/>
      <c r="R1185" s="143"/>
      <c r="S1185" s="143"/>
      <c r="T1185" s="143"/>
      <c r="U1185" s="143"/>
      <c r="V1185" s="143"/>
      <c r="W1185" s="143"/>
      <c r="X1185" s="143"/>
    </row>
    <row r="1186" spans="1:24" ht="15" customHeight="1" x14ac:dyDescent="0.25">
      <c r="A1186" s="55"/>
      <c r="B1186" s="55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143"/>
      <c r="N1186" s="143"/>
      <c r="O1186" s="28"/>
      <c r="P1186" s="28"/>
      <c r="Q1186" s="28"/>
      <c r="R1186" s="143"/>
      <c r="S1186" s="143"/>
      <c r="T1186" s="143"/>
      <c r="U1186" s="143"/>
      <c r="V1186" s="143"/>
      <c r="W1186" s="143"/>
      <c r="X1186" s="143"/>
    </row>
    <row r="1187" spans="1:24" ht="15" customHeight="1" x14ac:dyDescent="0.25">
      <c r="A1187" s="55"/>
      <c r="B1187" s="55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143"/>
      <c r="N1187" s="143"/>
      <c r="O1187" s="28"/>
      <c r="P1187" s="28"/>
      <c r="Q1187" s="28"/>
      <c r="R1187" s="143"/>
      <c r="S1187" s="143"/>
      <c r="T1187" s="143"/>
      <c r="U1187" s="143"/>
      <c r="V1187" s="143"/>
      <c r="W1187" s="143"/>
      <c r="X1187" s="143"/>
    </row>
    <row r="1188" spans="1:24" ht="15" customHeight="1" x14ac:dyDescent="0.25">
      <c r="A1188" s="55"/>
      <c r="B1188" s="55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143"/>
      <c r="N1188" s="143"/>
      <c r="O1188" s="28"/>
      <c r="P1188" s="28"/>
      <c r="Q1188" s="28"/>
      <c r="R1188" s="143"/>
      <c r="S1188" s="143"/>
      <c r="T1188" s="143"/>
      <c r="U1188" s="143"/>
      <c r="V1188" s="143"/>
      <c r="W1188" s="143"/>
      <c r="X1188" s="143"/>
    </row>
    <row r="1189" spans="1:24" ht="15" customHeight="1" x14ac:dyDescent="0.25">
      <c r="A1189" s="55"/>
      <c r="B1189" s="55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143"/>
      <c r="N1189" s="143"/>
      <c r="O1189" s="28"/>
      <c r="P1189" s="28"/>
      <c r="Q1189" s="28"/>
      <c r="R1189" s="143"/>
      <c r="S1189" s="143"/>
      <c r="T1189" s="143"/>
      <c r="U1189" s="143"/>
      <c r="V1189" s="143"/>
      <c r="W1189" s="143"/>
      <c r="X1189" s="143"/>
    </row>
    <row r="1190" spans="1:24" ht="15" customHeight="1" x14ac:dyDescent="0.25">
      <c r="A1190" s="55"/>
      <c r="B1190" s="55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143"/>
      <c r="N1190" s="143"/>
      <c r="O1190" s="28"/>
      <c r="P1190" s="28"/>
      <c r="Q1190" s="28"/>
      <c r="R1190" s="143"/>
      <c r="S1190" s="143"/>
      <c r="T1190" s="143"/>
      <c r="U1190" s="143"/>
      <c r="V1190" s="143"/>
      <c r="W1190" s="143"/>
      <c r="X1190" s="143"/>
    </row>
    <row r="1191" spans="1:24" ht="15" customHeight="1" x14ac:dyDescent="0.25">
      <c r="A1191" s="55"/>
      <c r="B1191" s="55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143"/>
      <c r="N1191" s="143"/>
      <c r="O1191" s="28"/>
      <c r="P1191" s="28"/>
      <c r="Q1191" s="28"/>
      <c r="R1191" s="143"/>
      <c r="S1191" s="143"/>
      <c r="T1191" s="143"/>
      <c r="U1191" s="143"/>
      <c r="V1191" s="143"/>
      <c r="W1191" s="143"/>
      <c r="X1191" s="143"/>
    </row>
    <row r="1192" spans="1:24" ht="15" customHeight="1" x14ac:dyDescent="0.25">
      <c r="A1192" s="55"/>
      <c r="B1192" s="55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143"/>
      <c r="N1192" s="143"/>
      <c r="O1192" s="28"/>
      <c r="P1192" s="28"/>
      <c r="Q1192" s="28"/>
      <c r="R1192" s="143"/>
      <c r="S1192" s="143"/>
      <c r="T1192" s="143"/>
      <c r="U1192" s="143"/>
      <c r="V1192" s="143"/>
      <c r="W1192" s="143"/>
      <c r="X1192" s="143"/>
    </row>
    <row r="1193" spans="1:24" ht="15" customHeight="1" x14ac:dyDescent="0.25">
      <c r="A1193" s="55"/>
      <c r="B1193" s="55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143"/>
      <c r="N1193" s="143"/>
      <c r="O1193" s="28"/>
      <c r="P1193" s="28"/>
      <c r="Q1193" s="28"/>
      <c r="R1193" s="143"/>
      <c r="S1193" s="143"/>
      <c r="T1193" s="143"/>
      <c r="U1193" s="143"/>
      <c r="V1193" s="143"/>
      <c r="W1193" s="143"/>
      <c r="X1193" s="143"/>
    </row>
    <row r="1194" spans="1:24" ht="15" customHeight="1" x14ac:dyDescent="0.25">
      <c r="A1194" s="55"/>
      <c r="B1194" s="55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143"/>
      <c r="N1194" s="143"/>
      <c r="O1194" s="28"/>
      <c r="P1194" s="28"/>
      <c r="Q1194" s="28"/>
      <c r="R1194" s="143"/>
      <c r="S1194" s="143"/>
      <c r="T1194" s="143"/>
      <c r="U1194" s="143"/>
      <c r="V1194" s="143"/>
      <c r="W1194" s="143"/>
      <c r="X1194" s="143"/>
    </row>
    <row r="1195" spans="1:24" ht="15" customHeight="1" x14ac:dyDescent="0.25">
      <c r="A1195" s="55"/>
      <c r="B1195" s="55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143"/>
      <c r="N1195" s="143"/>
      <c r="O1195" s="28"/>
      <c r="P1195" s="28"/>
      <c r="Q1195" s="28"/>
      <c r="R1195" s="143"/>
      <c r="S1195" s="143"/>
      <c r="T1195" s="143"/>
      <c r="U1195" s="143"/>
      <c r="V1195" s="143"/>
      <c r="W1195" s="143"/>
      <c r="X1195" s="143"/>
    </row>
    <row r="1196" spans="1:24" ht="15" customHeight="1" x14ac:dyDescent="0.25">
      <c r="A1196" s="55"/>
      <c r="B1196" s="55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143"/>
      <c r="N1196" s="143"/>
      <c r="O1196" s="28"/>
      <c r="P1196" s="28"/>
      <c r="Q1196" s="28"/>
      <c r="R1196" s="143"/>
      <c r="S1196" s="143"/>
      <c r="T1196" s="143"/>
      <c r="U1196" s="143"/>
      <c r="V1196" s="143"/>
      <c r="W1196" s="143"/>
      <c r="X1196" s="143"/>
    </row>
    <row r="1197" spans="1:24" ht="15" customHeight="1" x14ac:dyDescent="0.25">
      <c r="A1197" s="55"/>
      <c r="B1197" s="55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143"/>
      <c r="N1197" s="143"/>
      <c r="O1197" s="28"/>
      <c r="P1197" s="28"/>
      <c r="Q1197" s="28"/>
      <c r="R1197" s="143"/>
      <c r="S1197" s="143"/>
      <c r="T1197" s="143"/>
      <c r="U1197" s="143"/>
      <c r="V1197" s="143"/>
      <c r="W1197" s="143"/>
      <c r="X1197" s="143"/>
    </row>
    <row r="1198" spans="1:24" ht="15" customHeight="1" x14ac:dyDescent="0.25">
      <c r="A1198" s="55"/>
      <c r="B1198" s="55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143"/>
      <c r="N1198" s="143"/>
      <c r="O1198" s="28"/>
      <c r="P1198" s="28"/>
      <c r="Q1198" s="28"/>
      <c r="R1198" s="143"/>
      <c r="S1198" s="143"/>
      <c r="T1198" s="143"/>
      <c r="U1198" s="143"/>
      <c r="V1198" s="143"/>
      <c r="W1198" s="143"/>
      <c r="X1198" s="143"/>
    </row>
    <row r="1199" spans="1:24" ht="15" customHeight="1" x14ac:dyDescent="0.25">
      <c r="A1199" s="55"/>
      <c r="B1199" s="55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143"/>
      <c r="N1199" s="143"/>
      <c r="O1199" s="28"/>
      <c r="P1199" s="28"/>
      <c r="Q1199" s="28"/>
      <c r="R1199" s="143"/>
      <c r="S1199" s="143"/>
      <c r="T1199" s="143"/>
      <c r="U1199" s="143"/>
      <c r="V1199" s="143"/>
      <c r="W1199" s="143"/>
      <c r="X1199" s="143"/>
    </row>
    <row r="1200" spans="1:24" ht="15" customHeight="1" x14ac:dyDescent="0.25">
      <c r="A1200" s="55"/>
      <c r="B1200" s="55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143"/>
      <c r="N1200" s="143"/>
      <c r="O1200" s="28"/>
      <c r="P1200" s="28"/>
      <c r="Q1200" s="28"/>
      <c r="R1200" s="143"/>
      <c r="S1200" s="143"/>
      <c r="T1200" s="143"/>
      <c r="U1200" s="143"/>
      <c r="V1200" s="143"/>
      <c r="W1200" s="143"/>
      <c r="X1200" s="143"/>
    </row>
    <row r="1201" spans="1:24" ht="15" customHeight="1" x14ac:dyDescent="0.25">
      <c r="A1201" s="55"/>
      <c r="B1201" s="55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143"/>
      <c r="N1201" s="143"/>
      <c r="O1201" s="28"/>
      <c r="P1201" s="28"/>
      <c r="Q1201" s="28"/>
      <c r="R1201" s="143"/>
      <c r="S1201" s="143"/>
      <c r="T1201" s="143"/>
      <c r="U1201" s="143"/>
      <c r="V1201" s="143"/>
      <c r="W1201" s="143"/>
      <c r="X1201" s="143"/>
    </row>
    <row r="1202" spans="1:24" ht="15" customHeight="1" x14ac:dyDescent="0.25">
      <c r="A1202" s="55"/>
      <c r="B1202" s="55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143"/>
      <c r="N1202" s="143"/>
      <c r="O1202" s="28"/>
      <c r="P1202" s="28"/>
      <c r="Q1202" s="28"/>
      <c r="R1202" s="143"/>
      <c r="S1202" s="143"/>
      <c r="T1202" s="143"/>
      <c r="U1202" s="143"/>
      <c r="V1202" s="143"/>
      <c r="W1202" s="143"/>
      <c r="X1202" s="143"/>
    </row>
    <row r="1203" spans="1:24" ht="15" customHeight="1" x14ac:dyDescent="0.25">
      <c r="A1203" s="55"/>
      <c r="B1203" s="55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143"/>
      <c r="N1203" s="143"/>
      <c r="O1203" s="28"/>
      <c r="P1203" s="28"/>
      <c r="Q1203" s="28"/>
      <c r="R1203" s="143"/>
      <c r="S1203" s="143"/>
      <c r="T1203" s="143"/>
      <c r="U1203" s="143"/>
      <c r="V1203" s="143"/>
      <c r="W1203" s="143"/>
      <c r="X1203" s="143"/>
    </row>
    <row r="1204" spans="1:24" ht="15" customHeight="1" x14ac:dyDescent="0.25">
      <c r="A1204" s="55"/>
      <c r="B1204" s="55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143"/>
      <c r="N1204" s="143"/>
      <c r="O1204" s="28"/>
      <c r="P1204" s="28"/>
      <c r="Q1204" s="28"/>
      <c r="R1204" s="143"/>
      <c r="S1204" s="143"/>
      <c r="T1204" s="143"/>
      <c r="U1204" s="143"/>
      <c r="V1204" s="143"/>
      <c r="W1204" s="143"/>
      <c r="X1204" s="143"/>
    </row>
    <row r="1205" spans="1:24" ht="15" customHeight="1" x14ac:dyDescent="0.25">
      <c r="A1205" s="55"/>
      <c r="B1205" s="55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143"/>
      <c r="N1205" s="143"/>
      <c r="O1205" s="28"/>
      <c r="P1205" s="28"/>
      <c r="Q1205" s="28"/>
      <c r="R1205" s="143"/>
      <c r="S1205" s="143"/>
      <c r="T1205" s="143"/>
      <c r="U1205" s="143"/>
      <c r="V1205" s="143"/>
      <c r="W1205" s="143"/>
      <c r="X1205" s="143"/>
    </row>
    <row r="1206" spans="1:24" ht="15" customHeight="1" x14ac:dyDescent="0.25">
      <c r="A1206" s="55"/>
      <c r="B1206" s="55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143"/>
      <c r="N1206" s="143"/>
      <c r="O1206" s="28"/>
      <c r="P1206" s="28"/>
      <c r="Q1206" s="28"/>
      <c r="R1206" s="143"/>
      <c r="S1206" s="143"/>
      <c r="T1206" s="143"/>
      <c r="U1206" s="143"/>
      <c r="V1206" s="143"/>
      <c r="W1206" s="143"/>
      <c r="X1206" s="143"/>
    </row>
    <row r="1207" spans="1:24" ht="15" customHeight="1" x14ac:dyDescent="0.25">
      <c r="A1207" s="55"/>
      <c r="B1207" s="55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143"/>
      <c r="N1207" s="143"/>
      <c r="O1207" s="28"/>
      <c r="P1207" s="28"/>
      <c r="Q1207" s="28"/>
      <c r="R1207" s="143"/>
      <c r="S1207" s="143"/>
      <c r="T1207" s="143"/>
      <c r="U1207" s="143"/>
      <c r="V1207" s="143"/>
      <c r="W1207" s="143"/>
      <c r="X1207" s="143"/>
    </row>
    <row r="1208" spans="1:24" ht="15" customHeight="1" x14ac:dyDescent="0.25">
      <c r="A1208" s="55"/>
      <c r="B1208" s="55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143"/>
      <c r="N1208" s="143"/>
      <c r="O1208" s="28"/>
      <c r="P1208" s="28"/>
      <c r="Q1208" s="28"/>
      <c r="R1208" s="143"/>
      <c r="S1208" s="143"/>
      <c r="T1208" s="143"/>
      <c r="U1208" s="143"/>
      <c r="V1208" s="143"/>
      <c r="W1208" s="143"/>
      <c r="X1208" s="143"/>
    </row>
    <row r="1209" spans="1:24" ht="15" customHeight="1" x14ac:dyDescent="0.25">
      <c r="A1209" s="55"/>
      <c r="B1209" s="55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143"/>
      <c r="N1209" s="143"/>
      <c r="O1209" s="28"/>
      <c r="P1209" s="28"/>
      <c r="Q1209" s="28"/>
      <c r="R1209" s="143"/>
      <c r="S1209" s="143"/>
      <c r="T1209" s="143"/>
      <c r="U1209" s="143"/>
      <c r="V1209" s="143"/>
      <c r="W1209" s="143"/>
      <c r="X1209" s="143"/>
    </row>
    <row r="1210" spans="1:24" ht="15" customHeight="1" x14ac:dyDescent="0.25">
      <c r="A1210" s="55"/>
      <c r="B1210" s="55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143"/>
      <c r="N1210" s="143"/>
      <c r="O1210" s="28"/>
      <c r="P1210" s="28"/>
      <c r="Q1210" s="28"/>
      <c r="R1210" s="143"/>
      <c r="S1210" s="143"/>
      <c r="T1210" s="143"/>
      <c r="U1210" s="143"/>
      <c r="V1210" s="143"/>
      <c r="W1210" s="143"/>
      <c r="X1210" s="143"/>
    </row>
    <row r="1211" spans="1:24" ht="15" customHeight="1" x14ac:dyDescent="0.25">
      <c r="A1211" s="55"/>
      <c r="B1211" s="55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143"/>
      <c r="N1211" s="143"/>
      <c r="O1211" s="28"/>
      <c r="P1211" s="28"/>
      <c r="Q1211" s="28"/>
      <c r="R1211" s="143"/>
      <c r="S1211" s="143"/>
      <c r="T1211" s="143"/>
      <c r="U1211" s="143"/>
      <c r="V1211" s="143"/>
      <c r="W1211" s="143"/>
      <c r="X1211" s="143"/>
    </row>
    <row r="1212" spans="1:24" ht="15" customHeight="1" x14ac:dyDescent="0.25">
      <c r="A1212" s="55"/>
      <c r="B1212" s="55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143"/>
      <c r="N1212" s="143"/>
      <c r="O1212" s="28"/>
      <c r="P1212" s="28"/>
      <c r="Q1212" s="28"/>
      <c r="R1212" s="143"/>
      <c r="S1212" s="143"/>
      <c r="T1212" s="143"/>
      <c r="U1212" s="143"/>
      <c r="V1212" s="143"/>
      <c r="W1212" s="143"/>
      <c r="X1212" s="143"/>
    </row>
    <row r="1213" spans="1:24" ht="15" customHeight="1" x14ac:dyDescent="0.25">
      <c r="A1213" s="55"/>
      <c r="B1213" s="55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143"/>
      <c r="N1213" s="143"/>
      <c r="O1213" s="28"/>
      <c r="P1213" s="28"/>
      <c r="Q1213" s="28"/>
      <c r="R1213" s="143"/>
      <c r="S1213" s="143"/>
      <c r="T1213" s="143"/>
      <c r="U1213" s="143"/>
      <c r="V1213" s="143"/>
      <c r="W1213" s="143"/>
      <c r="X1213" s="143"/>
    </row>
    <row r="1214" spans="1:24" ht="15" customHeight="1" x14ac:dyDescent="0.25">
      <c r="A1214" s="55"/>
      <c r="B1214" s="55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143"/>
      <c r="N1214" s="143"/>
      <c r="O1214" s="28"/>
      <c r="P1214" s="28"/>
      <c r="Q1214" s="28"/>
      <c r="R1214" s="143"/>
      <c r="S1214" s="143"/>
      <c r="T1214" s="143"/>
      <c r="U1214" s="143"/>
      <c r="V1214" s="143"/>
      <c r="W1214" s="143"/>
      <c r="X1214" s="143"/>
    </row>
    <row r="1215" spans="1:24" ht="15" customHeight="1" x14ac:dyDescent="0.25">
      <c r="A1215" s="55"/>
      <c r="B1215" s="55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143"/>
      <c r="N1215" s="143"/>
      <c r="O1215" s="28"/>
      <c r="P1215" s="28"/>
      <c r="Q1215" s="28"/>
      <c r="R1215" s="143"/>
      <c r="S1215" s="143"/>
      <c r="T1215" s="143"/>
      <c r="U1215" s="143"/>
      <c r="V1215" s="143"/>
      <c r="W1215" s="143"/>
      <c r="X1215" s="143"/>
    </row>
    <row r="1216" spans="1:24" ht="15" customHeight="1" x14ac:dyDescent="0.25">
      <c r="A1216" s="55"/>
      <c r="B1216" s="55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143"/>
      <c r="N1216" s="143"/>
      <c r="O1216" s="28"/>
      <c r="P1216" s="28"/>
      <c r="Q1216" s="28"/>
      <c r="R1216" s="143"/>
      <c r="S1216" s="143"/>
      <c r="T1216" s="143"/>
      <c r="U1216" s="143"/>
      <c r="V1216" s="143"/>
      <c r="W1216" s="143"/>
      <c r="X1216" s="143"/>
    </row>
    <row r="1217" spans="1:24" ht="15" customHeight="1" x14ac:dyDescent="0.25">
      <c r="A1217" s="55"/>
      <c r="B1217" s="55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143"/>
      <c r="N1217" s="143"/>
      <c r="O1217" s="28"/>
      <c r="P1217" s="28"/>
      <c r="Q1217" s="28"/>
      <c r="R1217" s="143"/>
      <c r="S1217" s="143"/>
      <c r="T1217" s="143"/>
      <c r="U1217" s="143"/>
      <c r="V1217" s="143"/>
      <c r="W1217" s="143"/>
      <c r="X1217" s="143"/>
    </row>
    <row r="1218" spans="1:24" ht="15" customHeight="1" x14ac:dyDescent="0.25">
      <c r="A1218" s="55"/>
      <c r="B1218" s="55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143"/>
      <c r="N1218" s="143"/>
      <c r="O1218" s="28"/>
      <c r="P1218" s="28"/>
      <c r="Q1218" s="28"/>
      <c r="R1218" s="143"/>
      <c r="S1218" s="143"/>
      <c r="T1218" s="143"/>
      <c r="U1218" s="143"/>
      <c r="V1218" s="143"/>
      <c r="W1218" s="143"/>
      <c r="X1218" s="143"/>
    </row>
    <row r="1219" spans="1:24" ht="15" customHeight="1" x14ac:dyDescent="0.25">
      <c r="A1219" s="55"/>
      <c r="B1219" s="55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143"/>
      <c r="N1219" s="143"/>
      <c r="O1219" s="28"/>
      <c r="P1219" s="28"/>
      <c r="Q1219" s="28"/>
      <c r="R1219" s="143"/>
      <c r="S1219" s="143"/>
      <c r="T1219" s="143"/>
      <c r="U1219" s="143"/>
      <c r="V1219" s="143"/>
      <c r="W1219" s="143"/>
      <c r="X1219" s="143"/>
    </row>
    <row r="1220" spans="1:24" ht="15" customHeight="1" x14ac:dyDescent="0.25">
      <c r="A1220" s="55"/>
      <c r="B1220" s="55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143"/>
      <c r="N1220" s="143"/>
      <c r="O1220" s="28"/>
      <c r="P1220" s="28"/>
      <c r="Q1220" s="28"/>
      <c r="R1220" s="143"/>
      <c r="S1220" s="143"/>
      <c r="T1220" s="143"/>
      <c r="U1220" s="143"/>
      <c r="V1220" s="143"/>
      <c r="W1220" s="143"/>
      <c r="X1220" s="143"/>
    </row>
    <row r="1221" spans="1:24" ht="15" customHeight="1" x14ac:dyDescent="0.25">
      <c r="A1221" s="55"/>
      <c r="B1221" s="55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143"/>
      <c r="N1221" s="143"/>
      <c r="O1221" s="28"/>
      <c r="P1221" s="28"/>
      <c r="Q1221" s="28"/>
      <c r="R1221" s="143"/>
      <c r="S1221" s="143"/>
      <c r="T1221" s="143"/>
      <c r="U1221" s="143"/>
      <c r="V1221" s="143"/>
      <c r="W1221" s="143"/>
      <c r="X1221" s="143"/>
    </row>
    <row r="1222" spans="1:24" ht="15" customHeight="1" x14ac:dyDescent="0.25">
      <c r="A1222" s="55"/>
      <c r="B1222" s="55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143"/>
      <c r="N1222" s="143"/>
      <c r="O1222" s="28"/>
      <c r="P1222" s="28"/>
      <c r="Q1222" s="28"/>
      <c r="R1222" s="143"/>
      <c r="S1222" s="143"/>
      <c r="T1222" s="143"/>
      <c r="U1222" s="143"/>
      <c r="V1222" s="143"/>
      <c r="W1222" s="143"/>
      <c r="X1222" s="143"/>
    </row>
    <row r="1223" spans="1:24" ht="15" customHeight="1" x14ac:dyDescent="0.25">
      <c r="A1223" s="55"/>
      <c r="B1223" s="55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143"/>
      <c r="N1223" s="143"/>
      <c r="O1223" s="28"/>
      <c r="P1223" s="28"/>
      <c r="Q1223" s="28"/>
      <c r="R1223" s="143"/>
      <c r="S1223" s="143"/>
      <c r="T1223" s="143"/>
      <c r="U1223" s="143"/>
      <c r="V1223" s="143"/>
      <c r="W1223" s="143"/>
      <c r="X1223" s="143"/>
    </row>
    <row r="1224" spans="1:24" ht="15" customHeight="1" x14ac:dyDescent="0.25">
      <c r="A1224" s="55"/>
      <c r="B1224" s="55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143"/>
      <c r="N1224" s="143"/>
      <c r="O1224" s="28"/>
      <c r="P1224" s="28"/>
      <c r="Q1224" s="28"/>
      <c r="R1224" s="143"/>
      <c r="S1224" s="143"/>
      <c r="T1224" s="143"/>
      <c r="U1224" s="143"/>
      <c r="V1224" s="143"/>
      <c r="W1224" s="143"/>
      <c r="X1224" s="143"/>
    </row>
    <row r="1225" spans="1:24" ht="15" customHeight="1" x14ac:dyDescent="0.25">
      <c r="A1225" s="55"/>
      <c r="B1225" s="55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143"/>
      <c r="N1225" s="143"/>
      <c r="O1225" s="28"/>
      <c r="P1225" s="28"/>
      <c r="Q1225" s="28"/>
      <c r="R1225" s="143"/>
      <c r="S1225" s="143"/>
      <c r="T1225" s="143"/>
      <c r="U1225" s="143"/>
      <c r="V1225" s="143"/>
      <c r="W1225" s="143"/>
      <c r="X1225" s="143"/>
    </row>
    <row r="1226" spans="1:24" ht="15" customHeight="1" x14ac:dyDescent="0.25">
      <c r="A1226" s="55"/>
      <c r="B1226" s="55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143"/>
      <c r="N1226" s="143"/>
      <c r="O1226" s="28"/>
      <c r="P1226" s="28"/>
      <c r="Q1226" s="28"/>
      <c r="R1226" s="143"/>
      <c r="S1226" s="143"/>
      <c r="T1226" s="143"/>
      <c r="U1226" s="143"/>
      <c r="V1226" s="143"/>
      <c r="W1226" s="143"/>
      <c r="X1226" s="143"/>
    </row>
    <row r="1227" spans="1:24" ht="15" customHeight="1" x14ac:dyDescent="0.25">
      <c r="A1227" s="55"/>
      <c r="B1227" s="55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143"/>
      <c r="N1227" s="143"/>
      <c r="O1227" s="28"/>
      <c r="P1227" s="28"/>
      <c r="Q1227" s="28"/>
      <c r="R1227" s="143"/>
      <c r="S1227" s="143"/>
      <c r="T1227" s="143"/>
      <c r="U1227" s="143"/>
      <c r="V1227" s="143"/>
      <c r="W1227" s="143"/>
      <c r="X1227" s="143"/>
    </row>
    <row r="1228" spans="1:24" ht="15" customHeight="1" x14ac:dyDescent="0.25">
      <c r="A1228" s="55"/>
      <c r="B1228" s="55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143"/>
      <c r="N1228" s="143"/>
      <c r="O1228" s="28"/>
      <c r="P1228" s="28"/>
      <c r="Q1228" s="28"/>
      <c r="R1228" s="143"/>
      <c r="S1228" s="143"/>
      <c r="T1228" s="143"/>
      <c r="U1228" s="143"/>
      <c r="V1228" s="143"/>
      <c r="W1228" s="143"/>
      <c r="X1228" s="143"/>
    </row>
    <row r="1229" spans="1:24" ht="15" customHeight="1" x14ac:dyDescent="0.25">
      <c r="A1229" s="55"/>
      <c r="B1229" s="55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143"/>
      <c r="N1229" s="143"/>
      <c r="O1229" s="28"/>
      <c r="P1229" s="28"/>
      <c r="Q1229" s="28"/>
      <c r="R1229" s="143"/>
      <c r="S1229" s="143"/>
      <c r="T1229" s="143"/>
      <c r="U1229" s="143"/>
      <c r="V1229" s="143"/>
      <c r="W1229" s="143"/>
      <c r="X1229" s="143"/>
    </row>
    <row r="1230" spans="1:24" ht="15" customHeight="1" x14ac:dyDescent="0.25">
      <c r="A1230" s="55"/>
      <c r="B1230" s="55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143"/>
      <c r="N1230" s="143"/>
      <c r="O1230" s="28"/>
      <c r="P1230" s="28"/>
      <c r="Q1230" s="28"/>
      <c r="R1230" s="143"/>
      <c r="S1230" s="143"/>
      <c r="T1230" s="143"/>
      <c r="U1230" s="143"/>
      <c r="V1230" s="143"/>
      <c r="W1230" s="143"/>
      <c r="X1230" s="143"/>
    </row>
    <row r="1231" spans="1:24" ht="15" customHeight="1" x14ac:dyDescent="0.25">
      <c r="A1231" s="55"/>
      <c r="B1231" s="55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143"/>
      <c r="N1231" s="143"/>
      <c r="O1231" s="28"/>
      <c r="P1231" s="28"/>
      <c r="Q1231" s="28"/>
      <c r="R1231" s="143"/>
      <c r="S1231" s="143"/>
      <c r="T1231" s="143"/>
      <c r="U1231" s="143"/>
      <c r="V1231" s="143"/>
      <c r="W1231" s="143"/>
      <c r="X1231" s="143"/>
    </row>
    <row r="1232" spans="1:24" ht="15" customHeight="1" x14ac:dyDescent="0.25">
      <c r="A1232" s="55"/>
      <c r="B1232" s="55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143"/>
      <c r="N1232" s="143"/>
      <c r="O1232" s="28"/>
      <c r="P1232" s="28"/>
      <c r="Q1232" s="28"/>
      <c r="R1232" s="143"/>
      <c r="S1232" s="143"/>
      <c r="T1232" s="143"/>
      <c r="U1232" s="143"/>
      <c r="V1232" s="143"/>
      <c r="W1232" s="143"/>
      <c r="X1232" s="143"/>
    </row>
    <row r="1233" spans="1:24" ht="15" customHeight="1" x14ac:dyDescent="0.25">
      <c r="A1233" s="55"/>
      <c r="B1233" s="55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143"/>
      <c r="N1233" s="143"/>
      <c r="O1233" s="28"/>
      <c r="P1233" s="28"/>
      <c r="Q1233" s="28"/>
      <c r="R1233" s="143"/>
      <c r="S1233" s="143"/>
      <c r="T1233" s="143"/>
      <c r="U1233" s="143"/>
      <c r="V1233" s="143"/>
      <c r="W1233" s="143"/>
      <c r="X1233" s="143"/>
    </row>
    <row r="1234" spans="1:24" ht="15" customHeight="1" x14ac:dyDescent="0.25">
      <c r="A1234" s="55"/>
      <c r="B1234" s="55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143"/>
      <c r="N1234" s="143"/>
      <c r="O1234" s="28"/>
      <c r="P1234" s="28"/>
      <c r="Q1234" s="28"/>
      <c r="R1234" s="143"/>
      <c r="S1234" s="143"/>
      <c r="T1234" s="143"/>
      <c r="U1234" s="143"/>
      <c r="V1234" s="143"/>
      <c r="W1234" s="143"/>
      <c r="X1234" s="143"/>
    </row>
    <row r="1235" spans="1:24" ht="15" customHeight="1" x14ac:dyDescent="0.25">
      <c r="A1235" s="55"/>
      <c r="B1235" s="55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143"/>
      <c r="N1235" s="143"/>
      <c r="O1235" s="28"/>
      <c r="P1235" s="28"/>
      <c r="Q1235" s="28"/>
      <c r="R1235" s="143"/>
      <c r="S1235" s="143"/>
      <c r="T1235" s="143"/>
      <c r="U1235" s="143"/>
      <c r="V1235" s="143"/>
      <c r="W1235" s="143"/>
      <c r="X1235" s="143"/>
    </row>
    <row r="1236" spans="1:24" ht="15" customHeight="1" x14ac:dyDescent="0.25">
      <c r="A1236" s="55"/>
      <c r="B1236" s="55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143"/>
      <c r="N1236" s="143"/>
      <c r="O1236" s="28"/>
      <c r="P1236" s="28"/>
      <c r="Q1236" s="28"/>
      <c r="R1236" s="143"/>
      <c r="S1236" s="143"/>
      <c r="T1236" s="143"/>
      <c r="U1236" s="143"/>
      <c r="V1236" s="143"/>
      <c r="W1236" s="143"/>
      <c r="X1236" s="143"/>
    </row>
    <row r="1237" spans="1:24" ht="15" customHeight="1" x14ac:dyDescent="0.25">
      <c r="A1237" s="55"/>
      <c r="B1237" s="55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143"/>
      <c r="N1237" s="143"/>
      <c r="O1237" s="28"/>
      <c r="P1237" s="28"/>
      <c r="Q1237" s="28"/>
      <c r="R1237" s="143"/>
      <c r="S1237" s="143"/>
      <c r="T1237" s="143"/>
      <c r="U1237" s="143"/>
      <c r="V1237" s="143"/>
      <c r="W1237" s="143"/>
      <c r="X1237" s="143"/>
    </row>
    <row r="1238" spans="1:24" ht="15" customHeight="1" x14ac:dyDescent="0.25">
      <c r="A1238" s="55"/>
      <c r="B1238" s="55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143"/>
      <c r="N1238" s="143"/>
      <c r="O1238" s="28"/>
      <c r="P1238" s="28"/>
      <c r="Q1238" s="28"/>
      <c r="R1238" s="143"/>
      <c r="S1238" s="143"/>
      <c r="T1238" s="143"/>
      <c r="U1238" s="143"/>
      <c r="V1238" s="143"/>
      <c r="W1238" s="143"/>
      <c r="X1238" s="143"/>
    </row>
    <row r="1239" spans="1:24" ht="15" customHeight="1" x14ac:dyDescent="0.25">
      <c r="A1239" s="55"/>
      <c r="B1239" s="55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143"/>
      <c r="N1239" s="143"/>
      <c r="O1239" s="28"/>
      <c r="P1239" s="28"/>
      <c r="Q1239" s="28"/>
      <c r="R1239" s="143"/>
      <c r="S1239" s="143"/>
      <c r="T1239" s="143"/>
      <c r="U1239" s="143"/>
      <c r="V1239" s="143"/>
      <c r="W1239" s="143"/>
      <c r="X1239" s="143"/>
    </row>
    <row r="1240" spans="1:24" ht="15" customHeight="1" x14ac:dyDescent="0.25">
      <c r="A1240" s="55"/>
      <c r="B1240" s="55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143"/>
      <c r="N1240" s="143"/>
      <c r="O1240" s="28"/>
      <c r="P1240" s="28"/>
      <c r="Q1240" s="28"/>
      <c r="R1240" s="143"/>
      <c r="S1240" s="143"/>
      <c r="T1240" s="143"/>
      <c r="U1240" s="143"/>
      <c r="V1240" s="143"/>
      <c r="W1240" s="143"/>
      <c r="X1240" s="143"/>
    </row>
    <row r="1241" spans="1:24" ht="15" customHeight="1" x14ac:dyDescent="0.25">
      <c r="A1241" s="55"/>
      <c r="B1241" s="55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143"/>
      <c r="N1241" s="143"/>
      <c r="O1241" s="28"/>
      <c r="P1241" s="28"/>
      <c r="Q1241" s="28"/>
      <c r="R1241" s="143"/>
      <c r="S1241" s="143"/>
      <c r="T1241" s="143"/>
      <c r="U1241" s="143"/>
      <c r="V1241" s="143"/>
      <c r="W1241" s="143"/>
      <c r="X1241" s="143"/>
    </row>
    <row r="1242" spans="1:24" ht="15" customHeight="1" x14ac:dyDescent="0.25">
      <c r="A1242" s="55"/>
      <c r="B1242" s="55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143"/>
      <c r="N1242" s="143"/>
      <c r="O1242" s="28"/>
      <c r="P1242" s="28"/>
      <c r="Q1242" s="28"/>
      <c r="R1242" s="143"/>
      <c r="S1242" s="143"/>
      <c r="T1242" s="143"/>
      <c r="U1242" s="143"/>
      <c r="V1242" s="143"/>
      <c r="W1242" s="143"/>
      <c r="X1242" s="143"/>
    </row>
    <row r="1243" spans="1:24" ht="15" customHeight="1" x14ac:dyDescent="0.25">
      <c r="A1243" s="55"/>
      <c r="B1243" s="55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143"/>
      <c r="N1243" s="143"/>
      <c r="O1243" s="28"/>
      <c r="P1243" s="28"/>
      <c r="Q1243" s="28"/>
      <c r="R1243" s="143"/>
      <c r="S1243" s="143"/>
      <c r="T1243" s="143"/>
      <c r="U1243" s="143"/>
      <c r="V1243" s="143"/>
      <c r="W1243" s="143"/>
      <c r="X1243" s="143"/>
    </row>
    <row r="1244" spans="1:24" ht="15" customHeight="1" x14ac:dyDescent="0.25">
      <c r="A1244" s="55"/>
      <c r="B1244" s="55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143"/>
      <c r="N1244" s="143"/>
      <c r="O1244" s="28"/>
      <c r="P1244" s="28"/>
      <c r="Q1244" s="28"/>
      <c r="R1244" s="143"/>
      <c r="S1244" s="143"/>
      <c r="T1244" s="143"/>
      <c r="U1244" s="143"/>
      <c r="V1244" s="143"/>
      <c r="W1244" s="143"/>
      <c r="X1244" s="143"/>
    </row>
    <row r="1245" spans="1:24" ht="15" customHeight="1" x14ac:dyDescent="0.25">
      <c r="A1245" s="55"/>
      <c r="B1245" s="55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143"/>
      <c r="N1245" s="143"/>
      <c r="O1245" s="28"/>
      <c r="P1245" s="28"/>
      <c r="Q1245" s="28"/>
      <c r="R1245" s="143"/>
      <c r="S1245" s="143"/>
      <c r="T1245" s="143"/>
      <c r="U1245" s="143"/>
      <c r="V1245" s="143"/>
      <c r="W1245" s="143"/>
      <c r="X1245" s="143"/>
    </row>
    <row r="1246" spans="1:24" ht="15" customHeight="1" x14ac:dyDescent="0.25">
      <c r="A1246" s="55"/>
      <c r="B1246" s="55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143"/>
      <c r="N1246" s="143"/>
      <c r="O1246" s="28"/>
      <c r="P1246" s="28"/>
      <c r="Q1246" s="28"/>
      <c r="R1246" s="143"/>
      <c r="S1246" s="143"/>
      <c r="T1246" s="143"/>
      <c r="U1246" s="143"/>
      <c r="V1246" s="143"/>
      <c r="W1246" s="143"/>
      <c r="X1246" s="143"/>
    </row>
    <row r="1247" spans="1:24" ht="15" customHeight="1" x14ac:dyDescent="0.25">
      <c r="A1247" s="55"/>
      <c r="B1247" s="55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143"/>
      <c r="N1247" s="143"/>
      <c r="O1247" s="28"/>
      <c r="P1247" s="28"/>
      <c r="Q1247" s="28"/>
      <c r="R1247" s="143"/>
      <c r="S1247" s="143"/>
      <c r="T1247" s="143"/>
      <c r="U1247" s="143"/>
      <c r="V1247" s="143"/>
      <c r="W1247" s="143"/>
      <c r="X1247" s="143"/>
    </row>
    <row r="1248" spans="1:24" ht="15" customHeight="1" x14ac:dyDescent="0.25">
      <c r="A1248" s="55"/>
      <c r="B1248" s="55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143"/>
      <c r="N1248" s="143"/>
      <c r="O1248" s="28"/>
      <c r="P1248" s="28"/>
      <c r="Q1248" s="28"/>
      <c r="R1248" s="143"/>
      <c r="S1248" s="143"/>
      <c r="T1248" s="143"/>
      <c r="U1248" s="143"/>
      <c r="V1248" s="143"/>
      <c r="W1248" s="143"/>
      <c r="X1248" s="143"/>
    </row>
    <row r="1249" spans="1:24" ht="15" customHeight="1" x14ac:dyDescent="0.25">
      <c r="A1249" s="55"/>
      <c r="B1249" s="55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143"/>
      <c r="N1249" s="143"/>
      <c r="O1249" s="28"/>
      <c r="P1249" s="28"/>
      <c r="Q1249" s="28"/>
      <c r="R1249" s="143"/>
      <c r="S1249" s="143"/>
      <c r="T1249" s="143"/>
      <c r="U1249" s="143"/>
      <c r="V1249" s="143"/>
      <c r="W1249" s="143"/>
      <c r="X1249" s="143"/>
    </row>
    <row r="1250" spans="1:24" ht="15" customHeight="1" x14ac:dyDescent="0.25">
      <c r="A1250" s="55"/>
      <c r="B1250" s="55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143"/>
      <c r="N1250" s="143"/>
      <c r="O1250" s="28"/>
      <c r="P1250" s="28"/>
      <c r="Q1250" s="28"/>
      <c r="R1250" s="143"/>
      <c r="S1250" s="143"/>
      <c r="T1250" s="143"/>
      <c r="U1250" s="143"/>
      <c r="V1250" s="143"/>
      <c r="W1250" s="143"/>
      <c r="X1250" s="143"/>
    </row>
    <row r="1251" spans="1:24" ht="15" customHeight="1" x14ac:dyDescent="0.25">
      <c r="A1251" s="55"/>
      <c r="B1251" s="55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143"/>
      <c r="N1251" s="143"/>
      <c r="O1251" s="28"/>
      <c r="P1251" s="28"/>
      <c r="Q1251" s="28"/>
      <c r="R1251" s="143"/>
      <c r="S1251" s="143"/>
      <c r="T1251" s="143"/>
      <c r="U1251" s="143"/>
      <c r="V1251" s="143"/>
      <c r="W1251" s="143"/>
      <c r="X1251" s="143"/>
    </row>
    <row r="1252" spans="1:24" ht="15" customHeight="1" x14ac:dyDescent="0.25">
      <c r="A1252" s="55"/>
      <c r="B1252" s="55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143"/>
      <c r="N1252" s="143"/>
      <c r="O1252" s="28"/>
      <c r="P1252" s="28"/>
      <c r="Q1252" s="28"/>
      <c r="R1252" s="143"/>
      <c r="S1252" s="143"/>
      <c r="T1252" s="143"/>
      <c r="U1252" s="143"/>
      <c r="V1252" s="143"/>
      <c r="W1252" s="143"/>
      <c r="X1252" s="143"/>
    </row>
    <row r="1253" spans="1:24" ht="15" customHeight="1" x14ac:dyDescent="0.25">
      <c r="A1253" s="55"/>
      <c r="B1253" s="55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143"/>
      <c r="N1253" s="143"/>
      <c r="O1253" s="28"/>
      <c r="P1253" s="28"/>
      <c r="Q1253" s="28"/>
      <c r="R1253" s="143"/>
      <c r="S1253" s="143"/>
      <c r="T1253" s="143"/>
      <c r="U1253" s="143"/>
      <c r="V1253" s="143"/>
      <c r="W1253" s="143"/>
      <c r="X1253" s="143"/>
    </row>
    <row r="1254" spans="1:24" ht="15" customHeight="1" x14ac:dyDescent="0.25">
      <c r="A1254" s="55"/>
      <c r="B1254" s="55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143"/>
      <c r="N1254" s="143"/>
      <c r="O1254" s="28"/>
      <c r="P1254" s="28"/>
      <c r="Q1254" s="28"/>
      <c r="R1254" s="143"/>
      <c r="S1254" s="143"/>
      <c r="T1254" s="143"/>
      <c r="U1254" s="143"/>
      <c r="V1254" s="143"/>
      <c r="W1254" s="143"/>
      <c r="X1254" s="143"/>
    </row>
    <row r="1255" spans="1:24" ht="15" customHeight="1" x14ac:dyDescent="0.25">
      <c r="A1255" s="55"/>
      <c r="B1255" s="55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143"/>
      <c r="N1255" s="143"/>
      <c r="O1255" s="28"/>
      <c r="P1255" s="28"/>
      <c r="Q1255" s="28"/>
      <c r="R1255" s="143"/>
      <c r="S1255" s="143"/>
      <c r="T1255" s="143"/>
      <c r="U1255" s="143"/>
      <c r="V1255" s="143"/>
      <c r="W1255" s="143"/>
      <c r="X1255" s="143"/>
    </row>
    <row r="1256" spans="1:24" ht="15" customHeight="1" x14ac:dyDescent="0.25">
      <c r="A1256" s="55"/>
      <c r="B1256" s="55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143"/>
      <c r="N1256" s="143"/>
      <c r="O1256" s="28"/>
      <c r="P1256" s="28"/>
      <c r="Q1256" s="28"/>
      <c r="R1256" s="143"/>
      <c r="S1256" s="143"/>
      <c r="T1256" s="143"/>
      <c r="U1256" s="143"/>
      <c r="V1256" s="143"/>
      <c r="W1256" s="143"/>
      <c r="X1256" s="143"/>
    </row>
    <row r="1257" spans="1:24" ht="15" customHeight="1" x14ac:dyDescent="0.25">
      <c r="A1257" s="55"/>
      <c r="B1257" s="55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143"/>
      <c r="N1257" s="143"/>
      <c r="O1257" s="28"/>
      <c r="P1257" s="28"/>
      <c r="Q1257" s="28"/>
      <c r="R1257" s="143"/>
      <c r="S1257" s="143"/>
      <c r="T1257" s="143"/>
      <c r="U1257" s="143"/>
      <c r="V1257" s="143"/>
      <c r="W1257" s="143"/>
      <c r="X1257" s="143"/>
    </row>
    <row r="1258" spans="1:24" ht="15" customHeight="1" x14ac:dyDescent="0.25">
      <c r="A1258" s="55"/>
      <c r="B1258" s="55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143"/>
      <c r="N1258" s="143"/>
      <c r="O1258" s="28"/>
      <c r="P1258" s="28"/>
      <c r="Q1258" s="28"/>
      <c r="R1258" s="143"/>
      <c r="S1258" s="143"/>
      <c r="T1258" s="143"/>
      <c r="U1258" s="143"/>
      <c r="V1258" s="143"/>
      <c r="W1258" s="143"/>
      <c r="X1258" s="143"/>
    </row>
    <row r="1259" spans="1:24" ht="15" customHeight="1" x14ac:dyDescent="0.25">
      <c r="A1259" s="55"/>
      <c r="B1259" s="55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143"/>
      <c r="N1259" s="143"/>
      <c r="O1259" s="28"/>
      <c r="P1259" s="28"/>
      <c r="Q1259" s="28"/>
      <c r="R1259" s="143"/>
      <c r="S1259" s="143"/>
      <c r="T1259" s="143"/>
      <c r="U1259" s="143"/>
      <c r="V1259" s="143"/>
      <c r="W1259" s="143"/>
      <c r="X1259" s="143"/>
    </row>
    <row r="1260" spans="1:24" ht="15" customHeight="1" x14ac:dyDescent="0.25">
      <c r="A1260" s="55"/>
      <c r="B1260" s="55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143"/>
      <c r="N1260" s="143"/>
      <c r="O1260" s="28"/>
      <c r="P1260" s="28"/>
      <c r="Q1260" s="28"/>
      <c r="R1260" s="143"/>
      <c r="S1260" s="143"/>
      <c r="T1260" s="143"/>
      <c r="U1260" s="143"/>
      <c r="V1260" s="143"/>
      <c r="W1260" s="143"/>
      <c r="X1260" s="143"/>
    </row>
    <row r="1261" spans="1:24" ht="15" customHeight="1" x14ac:dyDescent="0.25">
      <c r="A1261" s="55"/>
      <c r="B1261" s="55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143"/>
      <c r="N1261" s="143"/>
      <c r="O1261" s="28"/>
      <c r="P1261" s="28"/>
      <c r="Q1261" s="28"/>
      <c r="R1261" s="143"/>
      <c r="S1261" s="143"/>
      <c r="T1261" s="143"/>
      <c r="U1261" s="143"/>
      <c r="V1261" s="143"/>
      <c r="W1261" s="143"/>
      <c r="X1261" s="143"/>
    </row>
    <row r="1262" spans="1:24" ht="15" customHeight="1" x14ac:dyDescent="0.25">
      <c r="A1262" s="55"/>
      <c r="B1262" s="55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143"/>
      <c r="N1262" s="143"/>
      <c r="O1262" s="28"/>
      <c r="P1262" s="28"/>
      <c r="Q1262" s="28"/>
      <c r="R1262" s="143"/>
      <c r="S1262" s="143"/>
      <c r="T1262" s="143"/>
      <c r="U1262" s="143"/>
      <c r="V1262" s="143"/>
      <c r="W1262" s="143"/>
      <c r="X1262" s="143"/>
    </row>
    <row r="1263" spans="1:24" ht="15" customHeight="1" x14ac:dyDescent="0.25">
      <c r="A1263" s="55"/>
      <c r="B1263" s="55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143"/>
      <c r="N1263" s="143"/>
      <c r="O1263" s="28"/>
      <c r="P1263" s="28"/>
      <c r="Q1263" s="28"/>
      <c r="R1263" s="143"/>
      <c r="S1263" s="143"/>
      <c r="T1263" s="143"/>
      <c r="U1263" s="143"/>
      <c r="V1263" s="143"/>
      <c r="W1263" s="143"/>
      <c r="X1263" s="143"/>
    </row>
    <row r="1264" spans="1:24" ht="15" customHeight="1" x14ac:dyDescent="0.25">
      <c r="A1264" s="55"/>
      <c r="B1264" s="55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143"/>
      <c r="N1264" s="143"/>
      <c r="O1264" s="28"/>
      <c r="P1264" s="28"/>
      <c r="Q1264" s="28"/>
      <c r="R1264" s="143"/>
      <c r="S1264" s="143"/>
      <c r="T1264" s="143"/>
      <c r="U1264" s="143"/>
      <c r="V1264" s="143"/>
      <c r="W1264" s="143"/>
      <c r="X1264" s="143"/>
    </row>
    <row r="1265" spans="1:24" ht="15" customHeight="1" x14ac:dyDescent="0.25">
      <c r="A1265" s="55"/>
      <c r="B1265" s="55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143"/>
      <c r="N1265" s="143"/>
      <c r="O1265" s="28"/>
      <c r="P1265" s="28"/>
      <c r="Q1265" s="28"/>
      <c r="R1265" s="143"/>
      <c r="S1265" s="143"/>
      <c r="T1265" s="143"/>
      <c r="U1265" s="143"/>
      <c r="V1265" s="143"/>
      <c r="W1265" s="143"/>
      <c r="X1265" s="143"/>
    </row>
    <row r="1266" spans="1:24" ht="15" customHeight="1" x14ac:dyDescent="0.25">
      <c r="A1266" s="55"/>
      <c r="B1266" s="55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143"/>
      <c r="N1266" s="143"/>
      <c r="O1266" s="28"/>
      <c r="P1266" s="28"/>
      <c r="Q1266" s="28"/>
      <c r="R1266" s="143"/>
      <c r="S1266" s="143"/>
      <c r="T1266" s="143"/>
      <c r="U1266" s="143"/>
      <c r="V1266" s="143"/>
      <c r="W1266" s="143"/>
      <c r="X1266" s="143"/>
    </row>
    <row r="1267" spans="1:24" ht="15" customHeight="1" x14ac:dyDescent="0.25">
      <c r="A1267" s="55"/>
      <c r="B1267" s="55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143"/>
      <c r="N1267" s="143"/>
      <c r="O1267" s="28"/>
      <c r="P1267" s="28"/>
      <c r="Q1267" s="28"/>
      <c r="R1267" s="143"/>
      <c r="S1267" s="143"/>
      <c r="T1267" s="143"/>
      <c r="U1267" s="143"/>
      <c r="V1267" s="143"/>
      <c r="W1267" s="143"/>
      <c r="X1267" s="143"/>
    </row>
    <row r="1268" spans="1:24" ht="15" customHeight="1" x14ac:dyDescent="0.25">
      <c r="A1268" s="55"/>
      <c r="B1268" s="55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143"/>
      <c r="N1268" s="143"/>
      <c r="O1268" s="28"/>
      <c r="P1268" s="28"/>
      <c r="Q1268" s="28"/>
      <c r="R1268" s="143"/>
      <c r="S1268" s="143"/>
      <c r="T1268" s="143"/>
      <c r="U1268" s="143"/>
      <c r="V1268" s="143"/>
      <c r="W1268" s="143"/>
      <c r="X1268" s="143"/>
    </row>
    <row r="1269" spans="1:24" ht="15" customHeight="1" x14ac:dyDescent="0.25">
      <c r="A1269" s="55"/>
      <c r="B1269" s="55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143"/>
      <c r="N1269" s="143"/>
      <c r="O1269" s="28"/>
      <c r="P1269" s="28"/>
      <c r="Q1269" s="28"/>
      <c r="R1269" s="143"/>
      <c r="S1269" s="143"/>
      <c r="T1269" s="143"/>
      <c r="U1269" s="143"/>
      <c r="V1269" s="143"/>
      <c r="W1269" s="143"/>
      <c r="X1269" s="143"/>
    </row>
    <row r="1270" spans="1:24" ht="15" customHeight="1" x14ac:dyDescent="0.25">
      <c r="A1270" s="55"/>
      <c r="B1270" s="55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143"/>
      <c r="N1270" s="143"/>
      <c r="O1270" s="28"/>
      <c r="P1270" s="28"/>
      <c r="Q1270" s="28"/>
      <c r="R1270" s="143"/>
      <c r="S1270" s="143"/>
      <c r="T1270" s="143"/>
      <c r="U1270" s="143"/>
      <c r="V1270" s="143"/>
      <c r="W1270" s="143"/>
      <c r="X1270" s="143"/>
    </row>
    <row r="1271" spans="1:24" ht="15" customHeight="1" x14ac:dyDescent="0.25">
      <c r="A1271" s="55"/>
      <c r="B1271" s="55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143"/>
      <c r="N1271" s="143"/>
      <c r="O1271" s="28"/>
      <c r="P1271" s="28"/>
      <c r="Q1271" s="28"/>
      <c r="R1271" s="143"/>
      <c r="S1271" s="143"/>
      <c r="T1271" s="143"/>
      <c r="U1271" s="143"/>
      <c r="V1271" s="143"/>
      <c r="W1271" s="143"/>
      <c r="X1271" s="143"/>
    </row>
    <row r="1272" spans="1:24" ht="15" customHeight="1" x14ac:dyDescent="0.25">
      <c r="A1272" s="55"/>
      <c r="B1272" s="55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143"/>
      <c r="N1272" s="143"/>
      <c r="O1272" s="28"/>
      <c r="P1272" s="28"/>
      <c r="Q1272" s="28"/>
      <c r="R1272" s="143"/>
      <c r="S1272" s="143"/>
      <c r="T1272" s="143"/>
      <c r="U1272" s="143"/>
      <c r="V1272" s="143"/>
      <c r="W1272" s="143"/>
      <c r="X1272" s="143"/>
    </row>
    <row r="1273" spans="1:24" ht="15" customHeight="1" x14ac:dyDescent="0.25">
      <c r="A1273" s="55"/>
      <c r="B1273" s="55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143"/>
      <c r="N1273" s="143"/>
      <c r="O1273" s="28"/>
      <c r="P1273" s="28"/>
      <c r="Q1273" s="28"/>
      <c r="R1273" s="143"/>
      <c r="S1273" s="143"/>
      <c r="T1273" s="143"/>
      <c r="U1273" s="143"/>
      <c r="V1273" s="143"/>
      <c r="W1273" s="143"/>
      <c r="X1273" s="143"/>
    </row>
    <row r="1274" spans="1:24" ht="15" customHeight="1" x14ac:dyDescent="0.25">
      <c r="A1274" s="55"/>
      <c r="B1274" s="55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143"/>
      <c r="N1274" s="143"/>
      <c r="O1274" s="28"/>
      <c r="P1274" s="28"/>
      <c r="Q1274" s="28"/>
      <c r="R1274" s="143"/>
      <c r="S1274" s="143"/>
      <c r="T1274" s="143"/>
      <c r="U1274" s="143"/>
      <c r="V1274" s="143"/>
      <c r="W1274" s="143"/>
      <c r="X1274" s="143"/>
    </row>
    <row r="1275" spans="1:24" ht="15" customHeight="1" x14ac:dyDescent="0.25">
      <c r="A1275" s="55"/>
      <c r="B1275" s="55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143"/>
      <c r="N1275" s="143"/>
      <c r="O1275" s="28"/>
      <c r="P1275" s="28"/>
      <c r="Q1275" s="28"/>
      <c r="R1275" s="143"/>
      <c r="S1275" s="143"/>
      <c r="T1275" s="143"/>
      <c r="U1275" s="143"/>
      <c r="V1275" s="143"/>
      <c r="W1275" s="143"/>
      <c r="X1275" s="143"/>
    </row>
    <row r="1276" spans="1:24" ht="15" customHeight="1" x14ac:dyDescent="0.25">
      <c r="A1276" s="55"/>
      <c r="B1276" s="55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143"/>
      <c r="N1276" s="143"/>
      <c r="O1276" s="28"/>
      <c r="P1276" s="28"/>
      <c r="Q1276" s="28"/>
      <c r="R1276" s="143"/>
      <c r="S1276" s="143"/>
      <c r="T1276" s="143"/>
      <c r="U1276" s="143"/>
      <c r="V1276" s="143"/>
      <c r="W1276" s="143"/>
      <c r="X1276" s="143"/>
    </row>
    <row r="1277" spans="1:24" ht="15" customHeight="1" x14ac:dyDescent="0.25">
      <c r="A1277" s="55"/>
      <c r="B1277" s="55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143"/>
      <c r="N1277" s="143"/>
      <c r="O1277" s="28"/>
      <c r="P1277" s="28"/>
      <c r="Q1277" s="28"/>
      <c r="R1277" s="143"/>
      <c r="S1277" s="143"/>
      <c r="T1277" s="143"/>
      <c r="U1277" s="143"/>
      <c r="V1277" s="143"/>
      <c r="W1277" s="143"/>
      <c r="X1277" s="143"/>
    </row>
    <row r="1278" spans="1:24" ht="15" customHeight="1" x14ac:dyDescent="0.25">
      <c r="A1278" s="55"/>
      <c r="B1278" s="55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143"/>
      <c r="N1278" s="143"/>
      <c r="O1278" s="28"/>
      <c r="P1278" s="28"/>
      <c r="Q1278" s="28"/>
      <c r="R1278" s="143"/>
      <c r="S1278" s="143"/>
      <c r="T1278" s="143"/>
      <c r="U1278" s="143"/>
      <c r="V1278" s="143"/>
      <c r="W1278" s="143"/>
      <c r="X1278" s="143"/>
    </row>
    <row r="1279" spans="1:24" ht="15" customHeight="1" x14ac:dyDescent="0.25">
      <c r="A1279" s="55"/>
      <c r="B1279" s="55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143"/>
      <c r="N1279" s="143"/>
      <c r="O1279" s="28"/>
      <c r="P1279" s="28"/>
      <c r="Q1279" s="28"/>
      <c r="R1279" s="143"/>
      <c r="S1279" s="143"/>
      <c r="T1279" s="143"/>
      <c r="U1279" s="143"/>
      <c r="V1279" s="143"/>
      <c r="W1279" s="143"/>
      <c r="X1279" s="143"/>
    </row>
    <row r="1280" spans="1:24" ht="15" customHeight="1" x14ac:dyDescent="0.25">
      <c r="A1280" s="55"/>
      <c r="B1280" s="55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143"/>
      <c r="N1280" s="143"/>
      <c r="O1280" s="28"/>
      <c r="P1280" s="28"/>
      <c r="Q1280" s="28"/>
      <c r="R1280" s="143"/>
      <c r="S1280" s="143"/>
      <c r="T1280" s="143"/>
      <c r="U1280" s="143"/>
      <c r="V1280" s="143"/>
      <c r="W1280" s="143"/>
      <c r="X1280" s="143"/>
    </row>
    <row r="1281" spans="1:24" ht="15" customHeight="1" x14ac:dyDescent="0.25">
      <c r="A1281" s="55"/>
      <c r="B1281" s="55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143"/>
      <c r="N1281" s="143"/>
      <c r="O1281" s="28"/>
      <c r="P1281" s="28"/>
      <c r="Q1281" s="28"/>
      <c r="R1281" s="143"/>
      <c r="S1281" s="143"/>
      <c r="T1281" s="143"/>
      <c r="U1281" s="143"/>
      <c r="V1281" s="143"/>
      <c r="W1281" s="143"/>
      <c r="X1281" s="143"/>
    </row>
    <row r="1282" spans="1:24" ht="15" customHeight="1" x14ac:dyDescent="0.25">
      <c r="A1282" s="55"/>
      <c r="B1282" s="55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143"/>
      <c r="N1282" s="143"/>
      <c r="O1282" s="28"/>
      <c r="P1282" s="28"/>
      <c r="Q1282" s="28"/>
      <c r="R1282" s="143"/>
      <c r="S1282" s="143"/>
      <c r="T1282" s="143"/>
      <c r="U1282" s="143"/>
      <c r="V1282" s="143"/>
      <c r="W1282" s="143"/>
      <c r="X1282" s="143"/>
    </row>
    <row r="1283" spans="1:24" ht="15" customHeight="1" x14ac:dyDescent="0.25">
      <c r="A1283" s="55"/>
      <c r="B1283" s="55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143"/>
      <c r="N1283" s="143"/>
      <c r="O1283" s="28"/>
      <c r="P1283" s="28"/>
      <c r="Q1283" s="28"/>
      <c r="R1283" s="143"/>
      <c r="S1283" s="143"/>
      <c r="T1283" s="143"/>
      <c r="U1283" s="143"/>
      <c r="V1283" s="143"/>
      <c r="W1283" s="143"/>
      <c r="X1283" s="143"/>
    </row>
    <row r="1284" spans="1:24" ht="15" customHeight="1" x14ac:dyDescent="0.25">
      <c r="A1284" s="55"/>
      <c r="B1284" s="55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143"/>
      <c r="N1284" s="143"/>
      <c r="O1284" s="28"/>
      <c r="P1284" s="28"/>
      <c r="Q1284" s="28"/>
      <c r="R1284" s="143"/>
      <c r="S1284" s="143"/>
      <c r="T1284" s="143"/>
      <c r="U1284" s="143"/>
      <c r="V1284" s="143"/>
      <c r="W1284" s="143"/>
      <c r="X1284" s="143"/>
    </row>
    <row r="1285" spans="1:24" ht="15" customHeight="1" x14ac:dyDescent="0.25">
      <c r="A1285" s="55"/>
      <c r="B1285" s="55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143"/>
      <c r="N1285" s="143"/>
      <c r="O1285" s="28"/>
      <c r="P1285" s="28"/>
      <c r="Q1285" s="28"/>
      <c r="R1285" s="143"/>
      <c r="S1285" s="143"/>
      <c r="T1285" s="143"/>
      <c r="U1285" s="143"/>
      <c r="V1285" s="143"/>
      <c r="W1285" s="143"/>
      <c r="X1285" s="143"/>
    </row>
    <row r="1286" spans="1:24" ht="15" customHeight="1" x14ac:dyDescent="0.25">
      <c r="A1286" s="55"/>
      <c r="B1286" s="55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143"/>
      <c r="N1286" s="143"/>
      <c r="O1286" s="28"/>
      <c r="P1286" s="28"/>
      <c r="Q1286" s="28"/>
      <c r="R1286" s="143"/>
      <c r="S1286" s="143"/>
      <c r="T1286" s="143"/>
      <c r="U1286" s="143"/>
      <c r="V1286" s="143"/>
      <c r="W1286" s="143"/>
      <c r="X1286" s="143"/>
    </row>
    <row r="1287" spans="1:24" ht="15" customHeight="1" x14ac:dyDescent="0.25">
      <c r="A1287" s="55"/>
      <c r="B1287" s="55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143"/>
      <c r="N1287" s="143"/>
      <c r="O1287" s="28"/>
      <c r="P1287" s="28"/>
      <c r="Q1287" s="28"/>
      <c r="R1287" s="143"/>
      <c r="S1287" s="143"/>
      <c r="T1287" s="143"/>
      <c r="U1287" s="143"/>
      <c r="V1287" s="143"/>
      <c r="W1287" s="143"/>
      <c r="X1287" s="143"/>
    </row>
    <row r="1288" spans="1:24" ht="15" customHeight="1" x14ac:dyDescent="0.25">
      <c r="A1288" s="55"/>
      <c r="B1288" s="55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143"/>
      <c r="N1288" s="143"/>
      <c r="O1288" s="28"/>
      <c r="P1288" s="28"/>
      <c r="Q1288" s="28"/>
      <c r="R1288" s="143"/>
      <c r="S1288" s="143"/>
      <c r="T1288" s="143"/>
      <c r="U1288" s="143"/>
      <c r="V1288" s="143"/>
      <c r="W1288" s="143"/>
      <c r="X1288" s="143"/>
    </row>
    <row r="1289" spans="1:24" ht="15" customHeight="1" x14ac:dyDescent="0.25">
      <c r="A1289" s="55"/>
      <c r="B1289" s="55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143"/>
      <c r="N1289" s="143"/>
      <c r="O1289" s="28"/>
      <c r="P1289" s="28"/>
      <c r="Q1289" s="28"/>
      <c r="R1289" s="143"/>
      <c r="S1289" s="143"/>
      <c r="T1289" s="143"/>
      <c r="U1289" s="143"/>
      <c r="V1289" s="143"/>
      <c r="W1289" s="143"/>
      <c r="X1289" s="143"/>
    </row>
    <row r="1290" spans="1:24" ht="15" customHeight="1" x14ac:dyDescent="0.25">
      <c r="A1290" s="55"/>
      <c r="B1290" s="55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143"/>
      <c r="N1290" s="143"/>
      <c r="O1290" s="28"/>
      <c r="P1290" s="28"/>
      <c r="Q1290" s="28"/>
      <c r="R1290" s="143"/>
      <c r="S1290" s="143"/>
      <c r="T1290" s="143"/>
      <c r="U1290" s="143"/>
      <c r="V1290" s="143"/>
      <c r="W1290" s="143"/>
      <c r="X1290" s="143"/>
    </row>
    <row r="1291" spans="1:24" ht="15" customHeight="1" x14ac:dyDescent="0.25">
      <c r="A1291" s="55"/>
      <c r="B1291" s="55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143"/>
      <c r="N1291" s="143"/>
      <c r="O1291" s="28"/>
      <c r="P1291" s="28"/>
      <c r="Q1291" s="28"/>
      <c r="R1291" s="143"/>
      <c r="S1291" s="143"/>
      <c r="T1291" s="143"/>
      <c r="U1291" s="143"/>
      <c r="V1291" s="143"/>
      <c r="W1291" s="143"/>
      <c r="X1291" s="143"/>
    </row>
    <row r="1292" spans="1:24" ht="15" customHeight="1" x14ac:dyDescent="0.25">
      <c r="A1292" s="55"/>
      <c r="B1292" s="55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143"/>
      <c r="N1292" s="143"/>
      <c r="O1292" s="28"/>
      <c r="P1292" s="28"/>
      <c r="Q1292" s="28"/>
      <c r="R1292" s="143"/>
      <c r="S1292" s="143"/>
      <c r="T1292" s="143"/>
      <c r="U1292" s="143"/>
      <c r="V1292" s="143"/>
      <c r="W1292" s="143"/>
      <c r="X1292" s="143"/>
    </row>
    <row r="1293" spans="1:24" ht="15" customHeight="1" x14ac:dyDescent="0.25">
      <c r="A1293" s="55"/>
      <c r="B1293" s="55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143"/>
      <c r="N1293" s="143"/>
      <c r="O1293" s="28"/>
      <c r="P1293" s="28"/>
      <c r="Q1293" s="28"/>
      <c r="R1293" s="143"/>
      <c r="S1293" s="143"/>
      <c r="T1293" s="143"/>
      <c r="U1293" s="143"/>
      <c r="V1293" s="143"/>
      <c r="W1293" s="143"/>
      <c r="X1293" s="143"/>
    </row>
    <row r="1294" spans="1:24" ht="15" customHeight="1" x14ac:dyDescent="0.25">
      <c r="A1294" s="55"/>
      <c r="B1294" s="55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143"/>
      <c r="N1294" s="143"/>
      <c r="O1294" s="28"/>
      <c r="P1294" s="28"/>
      <c r="Q1294" s="28"/>
      <c r="R1294" s="143"/>
      <c r="S1294" s="143"/>
      <c r="T1294" s="143"/>
      <c r="U1294" s="143"/>
      <c r="V1294" s="143"/>
      <c r="W1294" s="143"/>
      <c r="X1294" s="143"/>
    </row>
    <row r="1295" spans="1:24" ht="15" customHeight="1" x14ac:dyDescent="0.25">
      <c r="A1295" s="55"/>
      <c r="B1295" s="55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143"/>
      <c r="N1295" s="143"/>
      <c r="O1295" s="28"/>
      <c r="P1295" s="28"/>
      <c r="Q1295" s="28"/>
      <c r="R1295" s="143"/>
      <c r="S1295" s="143"/>
      <c r="T1295" s="143"/>
      <c r="U1295" s="143"/>
      <c r="V1295" s="143"/>
      <c r="W1295" s="143"/>
      <c r="X1295" s="143"/>
    </row>
    <row r="1296" spans="1:24" ht="15" customHeight="1" x14ac:dyDescent="0.25">
      <c r="A1296" s="55"/>
      <c r="B1296" s="55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143"/>
      <c r="N1296" s="143"/>
      <c r="O1296" s="28"/>
      <c r="P1296" s="28"/>
      <c r="Q1296" s="28"/>
      <c r="R1296" s="143"/>
      <c r="S1296" s="143"/>
      <c r="T1296" s="143"/>
      <c r="U1296" s="143"/>
      <c r="V1296" s="143"/>
      <c r="W1296" s="143"/>
      <c r="X1296" s="143"/>
    </row>
    <row r="1297" spans="1:24" ht="15" customHeight="1" x14ac:dyDescent="0.25">
      <c r="A1297" s="55"/>
      <c r="B1297" s="55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143"/>
      <c r="N1297" s="143"/>
      <c r="O1297" s="28"/>
      <c r="P1297" s="28"/>
      <c r="Q1297" s="28"/>
      <c r="R1297" s="143"/>
      <c r="S1297" s="143"/>
      <c r="T1297" s="143"/>
      <c r="U1297" s="143"/>
      <c r="V1297" s="143"/>
      <c r="W1297" s="143"/>
      <c r="X1297" s="143"/>
    </row>
    <row r="1298" spans="1:24" ht="15" customHeight="1" x14ac:dyDescent="0.25">
      <c r="A1298" s="55"/>
      <c r="B1298" s="55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143"/>
      <c r="N1298" s="143"/>
      <c r="O1298" s="28"/>
      <c r="P1298" s="28"/>
      <c r="Q1298" s="28"/>
      <c r="R1298" s="143"/>
      <c r="S1298" s="143"/>
      <c r="T1298" s="143"/>
      <c r="U1298" s="143"/>
      <c r="V1298" s="143"/>
      <c r="W1298" s="143"/>
      <c r="X1298" s="143"/>
    </row>
    <row r="1299" spans="1:24" ht="15" customHeight="1" x14ac:dyDescent="0.25">
      <c r="A1299" s="55"/>
      <c r="B1299" s="55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143"/>
      <c r="N1299" s="143"/>
      <c r="O1299" s="28"/>
      <c r="P1299" s="28"/>
      <c r="Q1299" s="28"/>
      <c r="R1299" s="143"/>
      <c r="S1299" s="143"/>
      <c r="T1299" s="143"/>
      <c r="U1299" s="143"/>
      <c r="V1299" s="143"/>
      <c r="W1299" s="143"/>
      <c r="X1299" s="143"/>
    </row>
    <row r="1300" spans="1:24" ht="15" customHeight="1" x14ac:dyDescent="0.25">
      <c r="A1300" s="55"/>
      <c r="B1300" s="55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143"/>
      <c r="N1300" s="143"/>
      <c r="O1300" s="28"/>
      <c r="P1300" s="28"/>
      <c r="Q1300" s="28"/>
      <c r="R1300" s="143"/>
      <c r="S1300" s="143"/>
      <c r="T1300" s="143"/>
      <c r="U1300" s="143"/>
      <c r="V1300" s="143"/>
      <c r="W1300" s="143"/>
      <c r="X1300" s="143"/>
    </row>
    <row r="1301" spans="1:24" ht="15" customHeight="1" x14ac:dyDescent="0.25">
      <c r="A1301" s="55"/>
      <c r="B1301" s="55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143"/>
      <c r="N1301" s="143"/>
      <c r="O1301" s="28"/>
      <c r="P1301" s="28"/>
      <c r="Q1301" s="28"/>
      <c r="R1301" s="143"/>
      <c r="S1301" s="143"/>
      <c r="T1301" s="143"/>
      <c r="U1301" s="143"/>
      <c r="V1301" s="143"/>
      <c r="W1301" s="143"/>
      <c r="X1301" s="143"/>
    </row>
    <row r="1302" spans="1:24" ht="15" customHeight="1" x14ac:dyDescent="0.25">
      <c r="A1302" s="55"/>
      <c r="B1302" s="55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143"/>
      <c r="N1302" s="143"/>
      <c r="O1302" s="28"/>
      <c r="P1302" s="28"/>
      <c r="Q1302" s="28"/>
      <c r="R1302" s="143"/>
      <c r="S1302" s="143"/>
      <c r="T1302" s="143"/>
      <c r="U1302" s="143"/>
      <c r="V1302" s="143"/>
      <c r="W1302" s="143"/>
      <c r="X1302" s="143"/>
    </row>
    <row r="1303" spans="1:24" ht="15" customHeight="1" x14ac:dyDescent="0.25">
      <c r="A1303" s="55"/>
      <c r="B1303" s="55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143"/>
      <c r="N1303" s="143"/>
      <c r="O1303" s="28"/>
      <c r="P1303" s="28"/>
      <c r="Q1303" s="28"/>
      <c r="R1303" s="143"/>
      <c r="S1303" s="143"/>
      <c r="T1303" s="143"/>
      <c r="U1303" s="143"/>
      <c r="V1303" s="143"/>
      <c r="W1303" s="143"/>
      <c r="X1303" s="143"/>
    </row>
    <row r="1304" spans="1:24" ht="15" customHeight="1" x14ac:dyDescent="0.25">
      <c r="A1304" s="55"/>
      <c r="B1304" s="55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143"/>
      <c r="N1304" s="143"/>
      <c r="O1304" s="28"/>
      <c r="P1304" s="28"/>
      <c r="Q1304" s="28"/>
      <c r="R1304" s="143"/>
      <c r="S1304" s="143"/>
      <c r="T1304" s="143"/>
      <c r="U1304" s="143"/>
      <c r="V1304" s="143"/>
      <c r="W1304" s="143"/>
      <c r="X1304" s="143"/>
    </row>
    <row r="1305" spans="1:24" ht="15" customHeight="1" x14ac:dyDescent="0.25">
      <c r="A1305" s="55"/>
      <c r="B1305" s="55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143"/>
      <c r="N1305" s="143"/>
      <c r="O1305" s="28"/>
      <c r="P1305" s="28"/>
      <c r="Q1305" s="28"/>
      <c r="R1305" s="143"/>
      <c r="S1305" s="143"/>
      <c r="T1305" s="143"/>
      <c r="U1305" s="143"/>
      <c r="V1305" s="143"/>
      <c r="W1305" s="143"/>
      <c r="X1305" s="143"/>
    </row>
    <row r="1306" spans="1:24" ht="15" customHeight="1" x14ac:dyDescent="0.25">
      <c r="A1306" s="55"/>
      <c r="B1306" s="55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143"/>
      <c r="N1306" s="143"/>
      <c r="O1306" s="28"/>
      <c r="P1306" s="28"/>
      <c r="Q1306" s="28"/>
      <c r="R1306" s="143"/>
      <c r="S1306" s="143"/>
      <c r="T1306" s="143"/>
      <c r="U1306" s="143"/>
      <c r="V1306" s="143"/>
      <c r="W1306" s="143"/>
      <c r="X1306" s="143"/>
    </row>
    <row r="1307" spans="1:24" ht="15" customHeight="1" x14ac:dyDescent="0.25">
      <c r="A1307" s="55"/>
      <c r="B1307" s="55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143"/>
      <c r="N1307" s="143"/>
      <c r="O1307" s="28"/>
      <c r="P1307" s="28"/>
      <c r="Q1307" s="28"/>
      <c r="R1307" s="143"/>
      <c r="S1307" s="143"/>
      <c r="T1307" s="143"/>
      <c r="U1307" s="143"/>
      <c r="V1307" s="143"/>
      <c r="W1307" s="143"/>
      <c r="X1307" s="143"/>
    </row>
    <row r="1308" spans="1:24" ht="15" customHeight="1" x14ac:dyDescent="0.25">
      <c r="A1308" s="55"/>
      <c r="B1308" s="55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143"/>
      <c r="N1308" s="143"/>
      <c r="O1308" s="28"/>
      <c r="P1308" s="28"/>
      <c r="Q1308" s="28"/>
      <c r="R1308" s="143"/>
      <c r="S1308" s="143"/>
      <c r="T1308" s="143"/>
      <c r="U1308" s="143"/>
      <c r="V1308" s="143"/>
      <c r="W1308" s="143"/>
      <c r="X1308" s="143"/>
    </row>
    <row r="1309" spans="1:24" ht="15" customHeight="1" x14ac:dyDescent="0.25">
      <c r="A1309" s="55"/>
      <c r="B1309" s="55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143"/>
      <c r="N1309" s="143"/>
      <c r="O1309" s="28"/>
      <c r="P1309" s="28"/>
      <c r="Q1309" s="28"/>
      <c r="R1309" s="143"/>
      <c r="S1309" s="143"/>
      <c r="T1309" s="143"/>
      <c r="U1309" s="143"/>
      <c r="V1309" s="143"/>
      <c r="W1309" s="143"/>
      <c r="X1309" s="143"/>
    </row>
    <row r="1310" spans="1:24" ht="15" customHeight="1" x14ac:dyDescent="0.25">
      <c r="A1310" s="55"/>
      <c r="B1310" s="55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143"/>
      <c r="N1310" s="143"/>
      <c r="O1310" s="28"/>
      <c r="P1310" s="28"/>
      <c r="Q1310" s="28"/>
      <c r="R1310" s="143"/>
      <c r="S1310" s="143"/>
      <c r="T1310" s="143"/>
      <c r="U1310" s="143"/>
      <c r="V1310" s="143"/>
      <c r="W1310" s="143"/>
      <c r="X1310" s="143"/>
    </row>
    <row r="1311" spans="1:24" ht="15" customHeight="1" x14ac:dyDescent="0.25">
      <c r="A1311" s="55"/>
      <c r="B1311" s="55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143"/>
      <c r="N1311" s="143"/>
      <c r="O1311" s="28"/>
      <c r="P1311" s="28"/>
      <c r="Q1311" s="28"/>
      <c r="R1311" s="143"/>
      <c r="S1311" s="143"/>
      <c r="T1311" s="143"/>
      <c r="U1311" s="143"/>
      <c r="V1311" s="143"/>
      <c r="W1311" s="143"/>
      <c r="X1311" s="143"/>
    </row>
    <row r="1312" spans="1:24" ht="15" customHeight="1" x14ac:dyDescent="0.25">
      <c r="A1312" s="55"/>
      <c r="B1312" s="55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143"/>
      <c r="N1312" s="143"/>
      <c r="O1312" s="28"/>
      <c r="P1312" s="28"/>
      <c r="Q1312" s="28"/>
      <c r="R1312" s="143"/>
      <c r="S1312" s="143"/>
      <c r="T1312" s="143"/>
      <c r="U1312" s="143"/>
      <c r="V1312" s="143"/>
      <c r="W1312" s="143"/>
      <c r="X1312" s="143"/>
    </row>
    <row r="1313" spans="1:24" ht="15" customHeight="1" x14ac:dyDescent="0.25">
      <c r="A1313" s="55"/>
      <c r="B1313" s="55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143"/>
      <c r="N1313" s="143"/>
      <c r="O1313" s="28"/>
      <c r="P1313" s="28"/>
      <c r="Q1313" s="28"/>
      <c r="R1313" s="143"/>
      <c r="S1313" s="143"/>
      <c r="T1313" s="143"/>
      <c r="U1313" s="143"/>
      <c r="V1313" s="143"/>
      <c r="W1313" s="143"/>
      <c r="X1313" s="143"/>
    </row>
    <row r="1314" spans="1:24" ht="15" customHeight="1" x14ac:dyDescent="0.25">
      <c r="A1314" s="55"/>
      <c r="B1314" s="55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143"/>
      <c r="N1314" s="143"/>
      <c r="O1314" s="28"/>
      <c r="P1314" s="28"/>
      <c r="Q1314" s="28"/>
      <c r="R1314" s="143"/>
      <c r="S1314" s="143"/>
      <c r="T1314" s="143"/>
      <c r="U1314" s="143"/>
      <c r="V1314" s="143"/>
      <c r="W1314" s="143"/>
      <c r="X1314" s="143"/>
    </row>
    <row r="1315" spans="1:24" ht="15" customHeight="1" x14ac:dyDescent="0.25">
      <c r="A1315" s="55"/>
      <c r="B1315" s="55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143"/>
      <c r="N1315" s="143"/>
      <c r="O1315" s="28"/>
      <c r="P1315" s="28"/>
      <c r="Q1315" s="28"/>
      <c r="R1315" s="143"/>
      <c r="S1315" s="143"/>
      <c r="T1315" s="143"/>
      <c r="U1315" s="143"/>
      <c r="V1315" s="143"/>
      <c r="W1315" s="143"/>
      <c r="X1315" s="143"/>
    </row>
    <row r="1316" spans="1:24" ht="15" customHeight="1" x14ac:dyDescent="0.25">
      <c r="A1316" s="55"/>
      <c r="B1316" s="55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143"/>
      <c r="N1316" s="143"/>
      <c r="O1316" s="28"/>
      <c r="P1316" s="28"/>
      <c r="Q1316" s="28"/>
      <c r="R1316" s="143"/>
      <c r="S1316" s="143"/>
      <c r="T1316" s="143"/>
      <c r="U1316" s="143"/>
      <c r="V1316" s="143"/>
      <c r="W1316" s="143"/>
      <c r="X1316" s="143"/>
    </row>
    <row r="1317" spans="1:24" ht="15" customHeight="1" x14ac:dyDescent="0.25">
      <c r="A1317" s="55"/>
      <c r="B1317" s="55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143"/>
      <c r="N1317" s="143"/>
      <c r="O1317" s="28"/>
      <c r="P1317" s="28"/>
      <c r="Q1317" s="28"/>
      <c r="R1317" s="143"/>
      <c r="S1317" s="143"/>
      <c r="T1317" s="143"/>
      <c r="U1317" s="143"/>
      <c r="V1317" s="143"/>
      <c r="W1317" s="143"/>
      <c r="X1317" s="143"/>
    </row>
    <row r="1318" spans="1:24" ht="15" customHeight="1" x14ac:dyDescent="0.25">
      <c r="A1318" s="55"/>
      <c r="B1318" s="55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143"/>
      <c r="N1318" s="143"/>
      <c r="O1318" s="28"/>
      <c r="P1318" s="28"/>
      <c r="Q1318" s="28"/>
      <c r="R1318" s="143"/>
      <c r="S1318" s="143"/>
      <c r="T1318" s="143"/>
      <c r="U1318" s="143"/>
      <c r="V1318" s="143"/>
      <c r="W1318" s="143"/>
      <c r="X1318" s="143"/>
    </row>
    <row r="1319" spans="1:24" ht="15" customHeight="1" x14ac:dyDescent="0.25">
      <c r="A1319" s="55"/>
      <c r="B1319" s="55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143"/>
      <c r="N1319" s="143"/>
      <c r="O1319" s="28"/>
      <c r="P1319" s="28"/>
      <c r="Q1319" s="28"/>
      <c r="R1319" s="143"/>
      <c r="S1319" s="143"/>
      <c r="T1319" s="143"/>
      <c r="U1319" s="143"/>
      <c r="V1319" s="143"/>
      <c r="W1319" s="143"/>
      <c r="X1319" s="143"/>
    </row>
    <row r="1320" spans="1:24" ht="15" customHeight="1" x14ac:dyDescent="0.25">
      <c r="A1320" s="55"/>
      <c r="B1320" s="55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143"/>
      <c r="N1320" s="143"/>
      <c r="O1320" s="28"/>
      <c r="P1320" s="28"/>
      <c r="Q1320" s="28"/>
      <c r="R1320" s="143"/>
      <c r="S1320" s="143"/>
      <c r="T1320" s="143"/>
      <c r="U1320" s="143"/>
      <c r="V1320" s="143"/>
      <c r="W1320" s="143"/>
      <c r="X1320" s="143"/>
    </row>
    <row r="1321" spans="1:24" ht="15" customHeight="1" x14ac:dyDescent="0.25">
      <c r="A1321" s="55"/>
      <c r="B1321" s="55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143"/>
      <c r="N1321" s="143"/>
      <c r="O1321" s="28"/>
      <c r="P1321" s="28"/>
      <c r="Q1321" s="28"/>
      <c r="R1321" s="143"/>
      <c r="S1321" s="143"/>
      <c r="T1321" s="143"/>
      <c r="U1321" s="143"/>
      <c r="V1321" s="143"/>
      <c r="W1321" s="143"/>
      <c r="X1321" s="143"/>
    </row>
    <row r="1322" spans="1:24" ht="15" customHeight="1" x14ac:dyDescent="0.25">
      <c r="A1322" s="55"/>
      <c r="B1322" s="55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143"/>
      <c r="N1322" s="143"/>
      <c r="O1322" s="28"/>
      <c r="P1322" s="28"/>
      <c r="Q1322" s="28"/>
      <c r="R1322" s="143"/>
      <c r="S1322" s="143"/>
      <c r="T1322" s="143"/>
      <c r="U1322" s="143"/>
      <c r="V1322" s="143"/>
      <c r="W1322" s="143"/>
      <c r="X1322" s="143"/>
    </row>
    <row r="1323" spans="1:24" ht="15" customHeight="1" x14ac:dyDescent="0.25">
      <c r="A1323" s="55"/>
      <c r="B1323" s="55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143"/>
      <c r="N1323" s="143"/>
      <c r="O1323" s="28"/>
      <c r="P1323" s="28"/>
      <c r="Q1323" s="28"/>
      <c r="R1323" s="143"/>
      <c r="S1323" s="143"/>
      <c r="T1323" s="143"/>
      <c r="U1323" s="143"/>
      <c r="V1323" s="143"/>
      <c r="W1323" s="143"/>
      <c r="X1323" s="143"/>
    </row>
    <row r="1324" spans="1:24" ht="15" customHeight="1" x14ac:dyDescent="0.25">
      <c r="A1324" s="55"/>
      <c r="B1324" s="55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143"/>
      <c r="N1324" s="143"/>
      <c r="O1324" s="28"/>
      <c r="P1324" s="28"/>
      <c r="Q1324" s="28"/>
      <c r="R1324" s="143"/>
      <c r="S1324" s="143"/>
      <c r="T1324" s="143"/>
      <c r="U1324" s="143"/>
      <c r="V1324" s="143"/>
      <c r="W1324" s="143"/>
      <c r="X1324" s="143"/>
    </row>
    <row r="1325" spans="1:24" ht="15" customHeight="1" x14ac:dyDescent="0.25">
      <c r="A1325" s="55"/>
      <c r="B1325" s="55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143"/>
      <c r="N1325" s="143"/>
      <c r="O1325" s="28"/>
      <c r="P1325" s="28"/>
      <c r="Q1325" s="28"/>
      <c r="R1325" s="143"/>
      <c r="S1325" s="143"/>
      <c r="T1325" s="143"/>
      <c r="U1325" s="143"/>
      <c r="V1325" s="143"/>
      <c r="W1325" s="143"/>
      <c r="X1325" s="143"/>
    </row>
    <row r="1326" spans="1:24" ht="15" customHeight="1" x14ac:dyDescent="0.25">
      <c r="A1326" s="55"/>
      <c r="B1326" s="55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143"/>
      <c r="N1326" s="143"/>
      <c r="O1326" s="28"/>
      <c r="P1326" s="28"/>
      <c r="Q1326" s="28"/>
      <c r="R1326" s="143"/>
      <c r="S1326" s="143"/>
      <c r="T1326" s="143"/>
      <c r="U1326" s="143"/>
      <c r="V1326" s="143"/>
      <c r="W1326" s="143"/>
      <c r="X1326" s="143"/>
    </row>
    <row r="1327" spans="1:24" ht="15" customHeight="1" x14ac:dyDescent="0.25">
      <c r="A1327" s="55"/>
      <c r="B1327" s="55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143"/>
      <c r="N1327" s="143"/>
      <c r="O1327" s="28"/>
      <c r="P1327" s="28"/>
      <c r="Q1327" s="28"/>
      <c r="R1327" s="143"/>
      <c r="S1327" s="143"/>
      <c r="T1327" s="143"/>
      <c r="U1327" s="143"/>
      <c r="V1327" s="143"/>
      <c r="W1327" s="143"/>
      <c r="X1327" s="143"/>
    </row>
    <row r="1328" spans="1:24" ht="15" customHeight="1" x14ac:dyDescent="0.25">
      <c r="A1328" s="55"/>
      <c r="B1328" s="55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143"/>
      <c r="N1328" s="143"/>
      <c r="O1328" s="28"/>
      <c r="P1328" s="28"/>
      <c r="Q1328" s="28"/>
      <c r="R1328" s="143"/>
      <c r="S1328" s="143"/>
      <c r="T1328" s="143"/>
      <c r="U1328" s="143"/>
      <c r="V1328" s="143"/>
      <c r="W1328" s="143"/>
      <c r="X1328" s="143"/>
    </row>
    <row r="1329" spans="1:24" ht="15" customHeight="1" x14ac:dyDescent="0.25">
      <c r="A1329" s="55"/>
      <c r="B1329" s="55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143"/>
      <c r="N1329" s="143"/>
      <c r="O1329" s="28"/>
      <c r="P1329" s="28"/>
      <c r="Q1329" s="28"/>
      <c r="R1329" s="143"/>
      <c r="S1329" s="143"/>
      <c r="T1329" s="143"/>
      <c r="U1329" s="143"/>
      <c r="V1329" s="143"/>
      <c r="W1329" s="143"/>
      <c r="X1329" s="143"/>
    </row>
    <row r="1330" spans="1:24" ht="15" customHeight="1" x14ac:dyDescent="0.25">
      <c r="A1330" s="55"/>
      <c r="B1330" s="55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143"/>
      <c r="N1330" s="143"/>
      <c r="O1330" s="28"/>
      <c r="P1330" s="28"/>
      <c r="Q1330" s="28"/>
      <c r="R1330" s="143"/>
      <c r="S1330" s="143"/>
      <c r="T1330" s="143"/>
      <c r="U1330" s="143"/>
      <c r="V1330" s="143"/>
      <c r="W1330" s="143"/>
      <c r="X1330" s="143"/>
    </row>
    <row r="1331" spans="1:24" ht="15" customHeight="1" x14ac:dyDescent="0.25">
      <c r="A1331" s="55"/>
      <c r="B1331" s="55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143"/>
      <c r="N1331" s="143"/>
      <c r="O1331" s="28"/>
      <c r="P1331" s="28"/>
      <c r="Q1331" s="28"/>
      <c r="R1331" s="143"/>
      <c r="S1331" s="143"/>
      <c r="T1331" s="143"/>
      <c r="U1331" s="143"/>
      <c r="V1331" s="143"/>
      <c r="W1331" s="143"/>
      <c r="X1331" s="143"/>
    </row>
    <row r="1332" spans="1:24" ht="15" customHeight="1" x14ac:dyDescent="0.25">
      <c r="A1332" s="55"/>
      <c r="B1332" s="55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143"/>
      <c r="N1332" s="143"/>
      <c r="O1332" s="28"/>
      <c r="P1332" s="28"/>
      <c r="Q1332" s="28"/>
      <c r="R1332" s="143"/>
      <c r="S1332" s="143"/>
      <c r="T1332" s="143"/>
      <c r="U1332" s="143"/>
      <c r="V1332" s="143"/>
      <c r="W1332" s="143"/>
      <c r="X1332" s="143"/>
    </row>
    <row r="1333" spans="1:24" ht="15" customHeight="1" x14ac:dyDescent="0.25">
      <c r="A1333" s="55"/>
      <c r="B1333" s="55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143"/>
      <c r="N1333" s="143"/>
      <c r="O1333" s="28"/>
      <c r="P1333" s="28"/>
      <c r="Q1333" s="28"/>
      <c r="R1333" s="143"/>
      <c r="S1333" s="143"/>
      <c r="T1333" s="143"/>
      <c r="U1333" s="143"/>
      <c r="V1333" s="143"/>
      <c r="W1333" s="143"/>
      <c r="X1333" s="143"/>
    </row>
    <row r="1334" spans="1:24" ht="15" customHeight="1" x14ac:dyDescent="0.25">
      <c r="A1334" s="55"/>
      <c r="B1334" s="55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143"/>
      <c r="N1334" s="143"/>
      <c r="O1334" s="28"/>
      <c r="P1334" s="28"/>
      <c r="Q1334" s="28"/>
      <c r="R1334" s="143"/>
      <c r="S1334" s="143"/>
      <c r="T1334" s="143"/>
      <c r="U1334" s="143"/>
      <c r="V1334" s="143"/>
      <c r="W1334" s="143"/>
      <c r="X1334" s="143"/>
    </row>
    <row r="1335" spans="1:24" ht="15" customHeight="1" x14ac:dyDescent="0.25">
      <c r="A1335" s="55"/>
      <c r="B1335" s="55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143"/>
      <c r="N1335" s="143"/>
      <c r="O1335" s="28"/>
      <c r="P1335" s="28"/>
      <c r="Q1335" s="28"/>
      <c r="R1335" s="143"/>
      <c r="S1335" s="143"/>
      <c r="T1335" s="143"/>
      <c r="U1335" s="143"/>
      <c r="V1335" s="143"/>
      <c r="W1335" s="143"/>
      <c r="X1335" s="143"/>
    </row>
    <row r="1336" spans="1:24" ht="15" customHeight="1" x14ac:dyDescent="0.25">
      <c r="A1336" s="55"/>
      <c r="B1336" s="55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143"/>
      <c r="N1336" s="143"/>
      <c r="O1336" s="28"/>
      <c r="P1336" s="28"/>
      <c r="Q1336" s="28"/>
      <c r="R1336" s="143"/>
      <c r="S1336" s="143"/>
      <c r="T1336" s="143"/>
      <c r="U1336" s="143"/>
      <c r="V1336" s="143"/>
      <c r="W1336" s="143"/>
      <c r="X1336" s="143"/>
    </row>
    <row r="1337" spans="1:24" ht="15" customHeight="1" x14ac:dyDescent="0.25">
      <c r="A1337" s="55"/>
      <c r="B1337" s="55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143"/>
      <c r="N1337" s="143"/>
      <c r="O1337" s="28"/>
      <c r="P1337" s="28"/>
      <c r="Q1337" s="28"/>
      <c r="R1337" s="143"/>
      <c r="S1337" s="143"/>
      <c r="T1337" s="143"/>
      <c r="U1337" s="143"/>
      <c r="V1337" s="143"/>
      <c r="W1337" s="143"/>
      <c r="X1337" s="143"/>
    </row>
    <row r="1338" spans="1:24" ht="15" customHeight="1" x14ac:dyDescent="0.25">
      <c r="A1338" s="55"/>
      <c r="B1338" s="55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143"/>
      <c r="N1338" s="143"/>
      <c r="O1338" s="28"/>
      <c r="P1338" s="28"/>
      <c r="Q1338" s="28"/>
      <c r="R1338" s="143"/>
      <c r="S1338" s="143"/>
      <c r="T1338" s="143"/>
      <c r="U1338" s="143"/>
      <c r="V1338" s="143"/>
      <c r="W1338" s="143"/>
      <c r="X1338" s="143"/>
    </row>
    <row r="1339" spans="1:24" ht="15" customHeight="1" x14ac:dyDescent="0.25">
      <c r="A1339" s="55"/>
      <c r="B1339" s="55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143"/>
      <c r="N1339" s="143"/>
      <c r="O1339" s="28"/>
      <c r="P1339" s="28"/>
      <c r="Q1339" s="28"/>
      <c r="R1339" s="143"/>
      <c r="S1339" s="143"/>
      <c r="T1339" s="143"/>
      <c r="U1339" s="143"/>
      <c r="V1339" s="143"/>
      <c r="W1339" s="143"/>
      <c r="X1339" s="143"/>
    </row>
    <row r="1340" spans="1:24" ht="15" customHeight="1" x14ac:dyDescent="0.25">
      <c r="A1340" s="55"/>
      <c r="B1340" s="55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143"/>
      <c r="N1340" s="143"/>
      <c r="O1340" s="28"/>
      <c r="P1340" s="28"/>
      <c r="Q1340" s="28"/>
      <c r="R1340" s="143"/>
      <c r="S1340" s="143"/>
      <c r="T1340" s="143"/>
      <c r="U1340" s="143"/>
      <c r="V1340" s="143"/>
      <c r="W1340" s="143"/>
      <c r="X1340" s="143"/>
    </row>
    <row r="1341" spans="1:24" ht="15" customHeight="1" x14ac:dyDescent="0.25">
      <c r="A1341" s="55"/>
      <c r="B1341" s="55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143"/>
      <c r="N1341" s="143"/>
      <c r="O1341" s="28"/>
      <c r="P1341" s="28"/>
      <c r="Q1341" s="28"/>
      <c r="R1341" s="143"/>
      <c r="S1341" s="143"/>
      <c r="T1341" s="143"/>
      <c r="U1341" s="143"/>
      <c r="V1341" s="143"/>
      <c r="W1341" s="143"/>
      <c r="X1341" s="143"/>
    </row>
    <row r="1342" spans="1:24" ht="15" customHeight="1" x14ac:dyDescent="0.25">
      <c r="A1342" s="55"/>
      <c r="B1342" s="55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143"/>
      <c r="N1342" s="143"/>
      <c r="O1342" s="28"/>
      <c r="P1342" s="28"/>
      <c r="Q1342" s="28"/>
      <c r="R1342" s="143"/>
      <c r="S1342" s="143"/>
      <c r="T1342" s="143"/>
      <c r="U1342" s="143"/>
      <c r="V1342" s="143"/>
      <c r="W1342" s="143"/>
      <c r="X1342" s="143"/>
    </row>
    <row r="1343" spans="1:24" ht="15" customHeight="1" x14ac:dyDescent="0.25">
      <c r="A1343" s="55"/>
      <c r="B1343" s="55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143"/>
      <c r="N1343" s="143"/>
      <c r="O1343" s="28"/>
      <c r="P1343" s="28"/>
      <c r="Q1343" s="28"/>
      <c r="R1343" s="143"/>
      <c r="S1343" s="143"/>
      <c r="T1343" s="143"/>
      <c r="U1343" s="143"/>
      <c r="V1343" s="143"/>
      <c r="W1343" s="143"/>
      <c r="X1343" s="143"/>
    </row>
    <row r="1344" spans="1:24" ht="15" customHeight="1" x14ac:dyDescent="0.25">
      <c r="A1344" s="55"/>
      <c r="B1344" s="55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143"/>
      <c r="N1344" s="143"/>
      <c r="O1344" s="28"/>
      <c r="P1344" s="28"/>
      <c r="Q1344" s="28"/>
      <c r="R1344" s="143"/>
      <c r="S1344" s="143"/>
      <c r="T1344" s="143"/>
      <c r="U1344" s="143"/>
      <c r="V1344" s="143"/>
      <c r="W1344" s="143"/>
      <c r="X1344" s="143"/>
    </row>
    <row r="1345" spans="1:24" ht="15" customHeight="1" x14ac:dyDescent="0.25">
      <c r="A1345" s="55"/>
      <c r="B1345" s="55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143"/>
      <c r="N1345" s="143"/>
      <c r="O1345" s="28"/>
      <c r="P1345" s="28"/>
      <c r="Q1345" s="28"/>
      <c r="R1345" s="143"/>
      <c r="S1345" s="143"/>
      <c r="T1345" s="143"/>
      <c r="U1345" s="143"/>
      <c r="V1345" s="143"/>
      <c r="W1345" s="143"/>
      <c r="X1345" s="143"/>
    </row>
    <row r="1346" spans="1:24" ht="15" customHeight="1" x14ac:dyDescent="0.25">
      <c r="A1346" s="55"/>
      <c r="B1346" s="55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143"/>
      <c r="N1346" s="143"/>
      <c r="O1346" s="28"/>
      <c r="P1346" s="28"/>
      <c r="Q1346" s="28"/>
      <c r="R1346" s="143"/>
      <c r="S1346" s="143"/>
      <c r="T1346" s="143"/>
      <c r="U1346" s="143"/>
      <c r="V1346" s="143"/>
      <c r="W1346" s="143"/>
      <c r="X1346" s="143"/>
    </row>
    <row r="1347" spans="1:24" ht="15" customHeight="1" x14ac:dyDescent="0.25">
      <c r="A1347" s="55"/>
      <c r="B1347" s="55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143"/>
      <c r="N1347" s="143"/>
      <c r="O1347" s="28"/>
      <c r="P1347" s="28"/>
      <c r="Q1347" s="28"/>
      <c r="R1347" s="143"/>
      <c r="S1347" s="143"/>
      <c r="T1347" s="143"/>
      <c r="U1347" s="143"/>
      <c r="V1347" s="143"/>
      <c r="W1347" s="143"/>
      <c r="X1347" s="143"/>
    </row>
    <row r="1348" spans="1:24" ht="15" customHeight="1" x14ac:dyDescent="0.25">
      <c r="A1348" s="55"/>
      <c r="B1348" s="55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143"/>
      <c r="N1348" s="143"/>
      <c r="O1348" s="28"/>
      <c r="P1348" s="28"/>
      <c r="Q1348" s="28"/>
      <c r="R1348" s="143"/>
      <c r="S1348" s="143"/>
      <c r="T1348" s="143"/>
      <c r="U1348" s="143"/>
      <c r="V1348" s="143"/>
      <c r="W1348" s="143"/>
      <c r="X1348" s="143"/>
    </row>
    <row r="1349" spans="1:24" ht="15" customHeight="1" x14ac:dyDescent="0.25">
      <c r="A1349" s="55"/>
      <c r="B1349" s="55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143"/>
      <c r="N1349" s="143"/>
      <c r="O1349" s="28"/>
      <c r="P1349" s="28"/>
      <c r="Q1349" s="28"/>
      <c r="R1349" s="143"/>
      <c r="S1349" s="143"/>
      <c r="T1349" s="143"/>
      <c r="U1349" s="143"/>
      <c r="V1349" s="143"/>
      <c r="W1349" s="143"/>
      <c r="X1349" s="143"/>
    </row>
    <row r="1350" spans="1:24" ht="15" customHeight="1" x14ac:dyDescent="0.25">
      <c r="A1350" s="55"/>
      <c r="B1350" s="55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143"/>
      <c r="N1350" s="143"/>
      <c r="O1350" s="28"/>
      <c r="P1350" s="28"/>
      <c r="Q1350" s="28"/>
      <c r="R1350" s="143"/>
      <c r="S1350" s="143"/>
      <c r="T1350" s="143"/>
      <c r="U1350" s="143"/>
      <c r="V1350" s="143"/>
      <c r="W1350" s="143"/>
      <c r="X1350" s="143"/>
    </row>
    <row r="1351" spans="1:24" ht="15" customHeight="1" x14ac:dyDescent="0.25">
      <c r="A1351" s="55"/>
      <c r="B1351" s="55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143"/>
      <c r="N1351" s="143"/>
      <c r="O1351" s="28"/>
      <c r="P1351" s="28"/>
      <c r="Q1351" s="28"/>
      <c r="R1351" s="143"/>
      <c r="S1351" s="143"/>
      <c r="T1351" s="143"/>
      <c r="U1351" s="143"/>
      <c r="V1351" s="143"/>
      <c r="W1351" s="143"/>
      <c r="X1351" s="143"/>
    </row>
    <row r="1352" spans="1:24" ht="15" customHeight="1" x14ac:dyDescent="0.25">
      <c r="A1352" s="55"/>
      <c r="B1352" s="55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143"/>
      <c r="N1352" s="143"/>
      <c r="O1352" s="28"/>
      <c r="P1352" s="28"/>
      <c r="Q1352" s="28"/>
      <c r="R1352" s="143"/>
      <c r="S1352" s="143"/>
      <c r="T1352" s="143"/>
      <c r="U1352" s="143"/>
      <c r="V1352" s="143"/>
      <c r="W1352" s="143"/>
      <c r="X1352" s="143"/>
    </row>
    <row r="1353" spans="1:24" ht="15" customHeight="1" x14ac:dyDescent="0.25">
      <c r="A1353" s="55"/>
      <c r="B1353" s="55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143"/>
      <c r="N1353" s="143"/>
      <c r="O1353" s="28"/>
      <c r="P1353" s="28"/>
      <c r="Q1353" s="28"/>
      <c r="R1353" s="143"/>
      <c r="S1353" s="143"/>
      <c r="T1353" s="143"/>
      <c r="U1353" s="143"/>
      <c r="V1353" s="143"/>
      <c r="W1353" s="143"/>
      <c r="X1353" s="143"/>
    </row>
    <row r="1354" spans="1:24" ht="15" customHeight="1" x14ac:dyDescent="0.25">
      <c r="A1354" s="55"/>
      <c r="B1354" s="55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143"/>
      <c r="N1354" s="143"/>
      <c r="O1354" s="28"/>
      <c r="P1354" s="28"/>
      <c r="Q1354" s="28"/>
      <c r="R1354" s="143"/>
      <c r="S1354" s="143"/>
      <c r="T1354" s="143"/>
      <c r="U1354" s="143"/>
      <c r="V1354" s="143"/>
      <c r="W1354" s="143"/>
      <c r="X1354" s="143"/>
    </row>
    <row r="1355" spans="1:24" ht="15" customHeight="1" x14ac:dyDescent="0.25">
      <c r="A1355" s="55"/>
      <c r="B1355" s="55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143"/>
      <c r="N1355" s="143"/>
      <c r="O1355" s="28"/>
      <c r="P1355" s="28"/>
      <c r="Q1355" s="28"/>
      <c r="R1355" s="143"/>
      <c r="S1355" s="143"/>
      <c r="T1355" s="143"/>
      <c r="U1355" s="143"/>
      <c r="V1355" s="143"/>
      <c r="W1355" s="143"/>
      <c r="X1355" s="143"/>
    </row>
    <row r="1356" spans="1:24" ht="15" customHeight="1" x14ac:dyDescent="0.25">
      <c r="A1356" s="55"/>
      <c r="B1356" s="55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143"/>
      <c r="N1356" s="143"/>
      <c r="O1356" s="28"/>
      <c r="P1356" s="28"/>
      <c r="Q1356" s="28"/>
      <c r="R1356" s="143"/>
      <c r="S1356" s="143"/>
      <c r="T1356" s="143"/>
      <c r="U1356" s="143"/>
      <c r="V1356" s="143"/>
      <c r="W1356" s="143"/>
      <c r="X1356" s="143"/>
    </row>
    <row r="1357" spans="1:24" ht="15" customHeight="1" x14ac:dyDescent="0.25">
      <c r="A1357" s="55"/>
      <c r="B1357" s="55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143"/>
      <c r="N1357" s="143"/>
      <c r="O1357" s="28"/>
      <c r="P1357" s="28"/>
      <c r="Q1357" s="28"/>
      <c r="R1357" s="143"/>
      <c r="S1357" s="143"/>
      <c r="T1357" s="143"/>
      <c r="U1357" s="143"/>
      <c r="V1357" s="143"/>
      <c r="W1357" s="143"/>
      <c r="X1357" s="143"/>
    </row>
    <row r="1358" spans="1:24" ht="15" customHeight="1" x14ac:dyDescent="0.25">
      <c r="A1358" s="55"/>
      <c r="B1358" s="55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143"/>
      <c r="N1358" s="143"/>
      <c r="O1358" s="28"/>
      <c r="P1358" s="28"/>
      <c r="Q1358" s="28"/>
      <c r="R1358" s="143"/>
      <c r="S1358" s="143"/>
      <c r="T1358" s="143"/>
      <c r="U1358" s="143"/>
      <c r="V1358" s="143"/>
      <c r="W1358" s="143"/>
      <c r="X1358" s="143"/>
    </row>
    <row r="1359" spans="1:24" ht="15" customHeight="1" x14ac:dyDescent="0.25">
      <c r="A1359" s="55"/>
      <c r="B1359" s="55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143"/>
      <c r="N1359" s="143"/>
      <c r="O1359" s="28"/>
      <c r="P1359" s="28"/>
      <c r="Q1359" s="28"/>
      <c r="R1359" s="143"/>
      <c r="S1359" s="143"/>
      <c r="T1359" s="143"/>
      <c r="U1359" s="143"/>
      <c r="V1359" s="143"/>
      <c r="W1359" s="143"/>
      <c r="X1359" s="143"/>
    </row>
    <row r="1360" spans="1:24" ht="15" customHeight="1" x14ac:dyDescent="0.25">
      <c r="A1360" s="55"/>
      <c r="B1360" s="55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143"/>
      <c r="N1360" s="143"/>
      <c r="O1360" s="28"/>
      <c r="P1360" s="28"/>
      <c r="Q1360" s="28"/>
      <c r="R1360" s="143"/>
      <c r="S1360" s="143"/>
      <c r="T1360" s="143"/>
      <c r="U1360" s="143"/>
      <c r="V1360" s="143"/>
      <c r="W1360" s="143"/>
      <c r="X1360" s="143"/>
    </row>
    <row r="1361" spans="1:24" ht="15" customHeight="1" x14ac:dyDescent="0.25">
      <c r="A1361" s="55"/>
      <c r="B1361" s="55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143"/>
      <c r="N1361" s="143"/>
      <c r="O1361" s="28"/>
      <c r="P1361" s="28"/>
      <c r="Q1361" s="28"/>
      <c r="R1361" s="143"/>
      <c r="S1361" s="143"/>
      <c r="T1361" s="143"/>
      <c r="U1361" s="143"/>
      <c r="V1361" s="143"/>
      <c r="W1361" s="143"/>
      <c r="X1361" s="143"/>
    </row>
    <row r="1362" spans="1:24" ht="15" customHeight="1" x14ac:dyDescent="0.25">
      <c r="A1362" s="55"/>
      <c r="B1362" s="55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143"/>
      <c r="N1362" s="143"/>
      <c r="O1362" s="28"/>
      <c r="P1362" s="28"/>
      <c r="Q1362" s="28"/>
      <c r="R1362" s="143"/>
      <c r="S1362" s="143"/>
      <c r="T1362" s="143"/>
      <c r="U1362" s="143"/>
      <c r="V1362" s="143"/>
      <c r="W1362" s="143"/>
      <c r="X1362" s="143"/>
    </row>
    <row r="1363" spans="1:24" ht="15" customHeight="1" x14ac:dyDescent="0.25">
      <c r="A1363" s="55"/>
      <c r="B1363" s="55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143"/>
      <c r="N1363" s="143"/>
      <c r="O1363" s="28"/>
      <c r="P1363" s="28"/>
      <c r="Q1363" s="28"/>
      <c r="R1363" s="143"/>
      <c r="S1363" s="143"/>
      <c r="T1363" s="143"/>
      <c r="U1363" s="143"/>
      <c r="V1363" s="143"/>
      <c r="W1363" s="143"/>
      <c r="X1363" s="143"/>
    </row>
    <row r="1364" spans="1:24" ht="15" customHeight="1" x14ac:dyDescent="0.25">
      <c r="A1364" s="55"/>
      <c r="B1364" s="55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143"/>
      <c r="N1364" s="143"/>
      <c r="O1364" s="28"/>
      <c r="P1364" s="28"/>
      <c r="Q1364" s="28"/>
      <c r="R1364" s="143"/>
      <c r="S1364" s="143"/>
      <c r="T1364" s="143"/>
      <c r="U1364" s="143"/>
      <c r="V1364" s="143"/>
      <c r="W1364" s="143"/>
      <c r="X1364" s="143"/>
    </row>
    <row r="1365" spans="1:24" ht="15" customHeight="1" x14ac:dyDescent="0.25">
      <c r="A1365" s="55"/>
      <c r="B1365" s="55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143"/>
      <c r="N1365" s="143"/>
      <c r="O1365" s="28"/>
      <c r="P1365" s="28"/>
      <c r="Q1365" s="28"/>
      <c r="R1365" s="143"/>
      <c r="S1365" s="143"/>
      <c r="T1365" s="143"/>
      <c r="U1365" s="143"/>
      <c r="V1365" s="143"/>
      <c r="W1365" s="143"/>
      <c r="X1365" s="143"/>
    </row>
    <row r="1366" spans="1:24" ht="15" customHeight="1" x14ac:dyDescent="0.25">
      <c r="A1366" s="55"/>
      <c r="B1366" s="55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143"/>
      <c r="N1366" s="143"/>
      <c r="O1366" s="28"/>
      <c r="P1366" s="28"/>
      <c r="Q1366" s="28"/>
      <c r="R1366" s="143"/>
      <c r="S1366" s="143"/>
      <c r="T1366" s="143"/>
      <c r="U1366" s="143"/>
      <c r="V1366" s="143"/>
      <c r="W1366" s="143"/>
      <c r="X1366" s="143"/>
    </row>
    <row r="1367" spans="1:24" ht="15" customHeight="1" x14ac:dyDescent="0.25">
      <c r="A1367" s="55"/>
      <c r="B1367" s="55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143"/>
      <c r="N1367" s="143"/>
      <c r="O1367" s="28"/>
      <c r="P1367" s="28"/>
      <c r="Q1367" s="28"/>
      <c r="R1367" s="143"/>
      <c r="S1367" s="143"/>
      <c r="T1367" s="143"/>
      <c r="U1367" s="143"/>
      <c r="V1367" s="143"/>
      <c r="W1367" s="143"/>
      <c r="X1367" s="143"/>
    </row>
    <row r="1368" spans="1:24" ht="15" customHeight="1" x14ac:dyDescent="0.25">
      <c r="A1368" s="55"/>
      <c r="B1368" s="55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143"/>
      <c r="N1368" s="143"/>
      <c r="O1368" s="28"/>
      <c r="P1368" s="28"/>
      <c r="Q1368" s="28"/>
      <c r="R1368" s="143"/>
      <c r="S1368" s="143"/>
      <c r="T1368" s="143"/>
      <c r="U1368" s="143"/>
      <c r="V1368" s="143"/>
      <c r="W1368" s="143"/>
      <c r="X1368" s="143"/>
    </row>
    <row r="1369" spans="1:24" ht="15" customHeight="1" x14ac:dyDescent="0.25">
      <c r="A1369" s="55"/>
      <c r="B1369" s="55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143"/>
      <c r="N1369" s="143"/>
      <c r="O1369" s="28"/>
      <c r="P1369" s="28"/>
      <c r="Q1369" s="28"/>
      <c r="R1369" s="143"/>
      <c r="S1369" s="143"/>
      <c r="T1369" s="143"/>
      <c r="U1369" s="143"/>
      <c r="V1369" s="143"/>
      <c r="W1369" s="143"/>
      <c r="X1369" s="143"/>
    </row>
    <row r="1370" spans="1:24" ht="15" customHeight="1" x14ac:dyDescent="0.25">
      <c r="A1370" s="55"/>
      <c r="B1370" s="55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143"/>
      <c r="N1370" s="143"/>
      <c r="O1370" s="28"/>
      <c r="P1370" s="28"/>
      <c r="Q1370" s="28"/>
      <c r="R1370" s="143"/>
      <c r="S1370" s="143"/>
      <c r="T1370" s="143"/>
      <c r="U1370" s="143"/>
      <c r="V1370" s="143"/>
      <c r="W1370" s="143"/>
      <c r="X1370" s="143"/>
    </row>
    <row r="1371" spans="1:24" ht="15" customHeight="1" x14ac:dyDescent="0.25">
      <c r="A1371" s="55"/>
      <c r="B1371" s="55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143"/>
      <c r="N1371" s="143"/>
      <c r="O1371" s="28"/>
      <c r="P1371" s="28"/>
      <c r="Q1371" s="28"/>
      <c r="R1371" s="143"/>
      <c r="S1371" s="143"/>
      <c r="T1371" s="143"/>
      <c r="U1371" s="143"/>
      <c r="V1371" s="143"/>
      <c r="W1371" s="143"/>
      <c r="X1371" s="143"/>
    </row>
    <row r="1372" spans="1:24" ht="15" customHeight="1" x14ac:dyDescent="0.25">
      <c r="A1372" s="55"/>
      <c r="B1372" s="55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143"/>
      <c r="N1372" s="143"/>
      <c r="O1372" s="28"/>
      <c r="P1372" s="28"/>
      <c r="Q1372" s="28"/>
      <c r="R1372" s="143"/>
      <c r="S1372" s="143"/>
      <c r="T1372" s="143"/>
      <c r="U1372" s="143"/>
      <c r="V1372" s="143"/>
      <c r="W1372" s="143"/>
      <c r="X1372" s="143"/>
    </row>
    <row r="1373" spans="1:24" ht="15" customHeight="1" x14ac:dyDescent="0.25">
      <c r="A1373" s="55"/>
      <c r="B1373" s="55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143"/>
      <c r="N1373" s="143"/>
      <c r="O1373" s="28"/>
      <c r="P1373" s="28"/>
      <c r="Q1373" s="28"/>
      <c r="R1373" s="143"/>
      <c r="S1373" s="143"/>
      <c r="T1373" s="143"/>
      <c r="U1373" s="143"/>
      <c r="V1373" s="143"/>
      <c r="W1373" s="143"/>
      <c r="X1373" s="143"/>
    </row>
    <row r="1374" spans="1:24" ht="15" customHeight="1" x14ac:dyDescent="0.25">
      <c r="A1374" s="55"/>
      <c r="B1374" s="55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143"/>
      <c r="N1374" s="143"/>
      <c r="O1374" s="28"/>
      <c r="P1374" s="28"/>
      <c r="Q1374" s="28"/>
      <c r="R1374" s="143"/>
      <c r="S1374" s="143"/>
      <c r="T1374" s="143"/>
      <c r="U1374" s="143"/>
      <c r="V1374" s="143"/>
      <c r="W1374" s="143"/>
      <c r="X1374" s="143"/>
    </row>
    <row r="1375" spans="1:24" ht="15" customHeight="1" x14ac:dyDescent="0.25">
      <c r="A1375" s="55"/>
      <c r="B1375" s="55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143"/>
      <c r="N1375" s="143"/>
      <c r="O1375" s="28"/>
      <c r="P1375" s="28"/>
      <c r="Q1375" s="28"/>
      <c r="R1375" s="143"/>
      <c r="S1375" s="143"/>
      <c r="T1375" s="143"/>
      <c r="U1375" s="143"/>
      <c r="V1375" s="143"/>
      <c r="W1375" s="143"/>
      <c r="X1375" s="143"/>
    </row>
    <row r="1376" spans="1:24" ht="15" customHeight="1" x14ac:dyDescent="0.25">
      <c r="A1376" s="55"/>
      <c r="B1376" s="55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143"/>
      <c r="N1376" s="143"/>
      <c r="O1376" s="28"/>
      <c r="P1376" s="28"/>
      <c r="Q1376" s="28"/>
      <c r="R1376" s="143"/>
      <c r="S1376" s="143"/>
      <c r="T1376" s="143"/>
      <c r="U1376" s="143"/>
      <c r="V1376" s="143"/>
      <c r="W1376" s="143"/>
      <c r="X1376" s="143"/>
    </row>
    <row r="1377" spans="1:24" ht="15" customHeight="1" x14ac:dyDescent="0.25">
      <c r="A1377" s="55"/>
      <c r="B1377" s="55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143"/>
      <c r="N1377" s="143"/>
      <c r="O1377" s="28"/>
      <c r="P1377" s="28"/>
      <c r="Q1377" s="28"/>
      <c r="R1377" s="143"/>
      <c r="S1377" s="143"/>
      <c r="T1377" s="143"/>
      <c r="U1377" s="143"/>
      <c r="V1377" s="143"/>
      <c r="W1377" s="143"/>
      <c r="X1377" s="143"/>
    </row>
    <row r="1378" spans="1:24" ht="15" customHeight="1" x14ac:dyDescent="0.25">
      <c r="A1378" s="55"/>
      <c r="B1378" s="55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143"/>
      <c r="N1378" s="143"/>
      <c r="O1378" s="28"/>
      <c r="P1378" s="28"/>
      <c r="Q1378" s="28"/>
      <c r="R1378" s="143"/>
      <c r="S1378" s="143"/>
      <c r="T1378" s="143"/>
      <c r="U1378" s="143"/>
      <c r="V1378" s="143"/>
      <c r="W1378" s="143"/>
      <c r="X1378" s="143"/>
    </row>
    <row r="1379" spans="1:24" ht="15" customHeight="1" x14ac:dyDescent="0.25">
      <c r="A1379" s="55"/>
      <c r="B1379" s="55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143"/>
      <c r="N1379" s="143"/>
      <c r="O1379" s="28"/>
      <c r="P1379" s="28"/>
      <c r="Q1379" s="28"/>
      <c r="R1379" s="143"/>
      <c r="S1379" s="143"/>
      <c r="T1379" s="143"/>
      <c r="U1379" s="143"/>
      <c r="V1379" s="143"/>
      <c r="W1379" s="143"/>
      <c r="X1379" s="143"/>
    </row>
    <row r="1380" spans="1:24" ht="15" customHeight="1" x14ac:dyDescent="0.25">
      <c r="A1380" s="55"/>
      <c r="B1380" s="55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143"/>
      <c r="N1380" s="143"/>
      <c r="O1380" s="28"/>
      <c r="P1380" s="28"/>
      <c r="Q1380" s="28"/>
      <c r="R1380" s="143"/>
      <c r="S1380" s="143"/>
      <c r="T1380" s="143"/>
      <c r="U1380" s="143"/>
      <c r="V1380" s="143"/>
      <c r="W1380" s="143"/>
      <c r="X1380" s="143"/>
    </row>
    <row r="1381" spans="1:24" ht="15" customHeight="1" x14ac:dyDescent="0.25">
      <c r="A1381" s="55"/>
      <c r="B1381" s="55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143"/>
      <c r="N1381" s="143"/>
      <c r="O1381" s="28"/>
      <c r="P1381" s="28"/>
      <c r="Q1381" s="28"/>
      <c r="R1381" s="143"/>
      <c r="S1381" s="143"/>
      <c r="T1381" s="143"/>
      <c r="U1381" s="143"/>
      <c r="V1381" s="143"/>
      <c r="W1381" s="143"/>
      <c r="X1381" s="143"/>
    </row>
    <row r="1382" spans="1:24" ht="15" customHeight="1" x14ac:dyDescent="0.25">
      <c r="A1382" s="55"/>
      <c r="B1382" s="55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143"/>
      <c r="N1382" s="143"/>
      <c r="O1382" s="28"/>
      <c r="P1382" s="28"/>
      <c r="Q1382" s="28"/>
      <c r="R1382" s="143"/>
      <c r="S1382" s="143"/>
      <c r="T1382" s="143"/>
      <c r="U1382" s="143"/>
      <c r="V1382" s="143"/>
      <c r="W1382" s="143"/>
      <c r="X1382" s="143"/>
    </row>
    <row r="1383" spans="1:24" ht="15" customHeight="1" x14ac:dyDescent="0.25">
      <c r="A1383" s="55"/>
      <c r="B1383" s="55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143"/>
      <c r="N1383" s="143"/>
      <c r="O1383" s="28"/>
      <c r="P1383" s="28"/>
      <c r="Q1383" s="28"/>
      <c r="R1383" s="143"/>
      <c r="S1383" s="143"/>
      <c r="T1383" s="143"/>
      <c r="U1383" s="143"/>
      <c r="V1383" s="143"/>
      <c r="W1383" s="143"/>
      <c r="X1383" s="143"/>
    </row>
    <row r="1384" spans="1:24" ht="15" customHeight="1" x14ac:dyDescent="0.25">
      <c r="A1384" s="55"/>
      <c r="B1384" s="55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143"/>
      <c r="N1384" s="143"/>
      <c r="O1384" s="28"/>
      <c r="P1384" s="28"/>
      <c r="Q1384" s="28"/>
      <c r="R1384" s="143"/>
      <c r="S1384" s="143"/>
      <c r="T1384" s="143"/>
      <c r="U1384" s="143"/>
      <c r="V1384" s="143"/>
      <c r="W1384" s="143"/>
      <c r="X1384" s="143"/>
    </row>
    <row r="1385" spans="1:24" ht="15" customHeight="1" x14ac:dyDescent="0.25">
      <c r="A1385" s="55"/>
      <c r="B1385" s="55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143"/>
      <c r="N1385" s="143"/>
      <c r="O1385" s="28"/>
      <c r="P1385" s="28"/>
      <c r="Q1385" s="28"/>
      <c r="R1385" s="143"/>
      <c r="S1385" s="143"/>
      <c r="T1385" s="143"/>
      <c r="U1385" s="143"/>
      <c r="V1385" s="143"/>
      <c r="W1385" s="143"/>
      <c r="X1385" s="143"/>
    </row>
    <row r="1386" spans="1:24" ht="15" customHeight="1" x14ac:dyDescent="0.25">
      <c r="A1386" s="55"/>
      <c r="B1386" s="55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143"/>
      <c r="N1386" s="143"/>
      <c r="O1386" s="28"/>
      <c r="P1386" s="28"/>
      <c r="Q1386" s="28"/>
      <c r="R1386" s="143"/>
      <c r="S1386" s="143"/>
      <c r="T1386" s="143"/>
      <c r="U1386" s="143"/>
      <c r="V1386" s="143"/>
      <c r="W1386" s="143"/>
      <c r="X1386" s="143"/>
    </row>
    <row r="1387" spans="1:24" ht="15" customHeight="1" x14ac:dyDescent="0.25">
      <c r="A1387" s="55"/>
      <c r="B1387" s="55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143"/>
      <c r="N1387" s="143"/>
      <c r="O1387" s="28"/>
      <c r="P1387" s="28"/>
      <c r="Q1387" s="28"/>
      <c r="R1387" s="143"/>
      <c r="S1387" s="143"/>
      <c r="T1387" s="143"/>
      <c r="U1387" s="143"/>
      <c r="V1387" s="143"/>
      <c r="W1387" s="143"/>
      <c r="X1387" s="143"/>
    </row>
    <row r="1388" spans="1:24" ht="15" customHeight="1" x14ac:dyDescent="0.25">
      <c r="A1388" s="55"/>
      <c r="B1388" s="55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143"/>
      <c r="N1388" s="143"/>
      <c r="O1388" s="28"/>
      <c r="P1388" s="28"/>
      <c r="Q1388" s="28"/>
      <c r="R1388" s="143"/>
      <c r="S1388" s="143"/>
      <c r="T1388" s="143"/>
      <c r="U1388" s="143"/>
      <c r="V1388" s="143"/>
      <c r="W1388" s="143"/>
      <c r="X1388" s="143"/>
    </row>
    <row r="1389" spans="1:24" ht="15" customHeight="1" x14ac:dyDescent="0.25">
      <c r="A1389" s="55"/>
      <c r="B1389" s="55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143"/>
      <c r="N1389" s="143"/>
      <c r="O1389" s="28"/>
      <c r="P1389" s="28"/>
      <c r="Q1389" s="28"/>
      <c r="R1389" s="143"/>
      <c r="S1389" s="143"/>
      <c r="T1389" s="143"/>
      <c r="U1389" s="143"/>
      <c r="V1389" s="143"/>
      <c r="W1389" s="143"/>
      <c r="X1389" s="143"/>
    </row>
    <row r="1390" spans="1:24" ht="15" customHeight="1" x14ac:dyDescent="0.25">
      <c r="A1390" s="55"/>
      <c r="B1390" s="55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143"/>
      <c r="N1390" s="143"/>
      <c r="O1390" s="28"/>
      <c r="P1390" s="28"/>
      <c r="Q1390" s="28"/>
      <c r="R1390" s="143"/>
      <c r="S1390" s="143"/>
      <c r="T1390" s="143"/>
      <c r="U1390" s="143"/>
      <c r="V1390" s="143"/>
      <c r="W1390" s="143"/>
      <c r="X1390" s="143"/>
    </row>
    <row r="1391" spans="1:24" ht="15" customHeight="1" x14ac:dyDescent="0.25">
      <c r="A1391" s="55"/>
      <c r="B1391" s="55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143"/>
      <c r="N1391" s="143"/>
      <c r="O1391" s="28"/>
      <c r="P1391" s="28"/>
      <c r="Q1391" s="28"/>
      <c r="R1391" s="143"/>
      <c r="S1391" s="143"/>
      <c r="T1391" s="143"/>
      <c r="U1391" s="143"/>
      <c r="V1391" s="143"/>
      <c r="W1391" s="143"/>
      <c r="X1391" s="143"/>
    </row>
    <row r="1392" spans="1:24" ht="15" customHeight="1" x14ac:dyDescent="0.25">
      <c r="A1392" s="55"/>
      <c r="B1392" s="55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143"/>
      <c r="N1392" s="143"/>
      <c r="O1392" s="28"/>
      <c r="P1392" s="28"/>
      <c r="Q1392" s="28"/>
      <c r="R1392" s="143"/>
      <c r="S1392" s="143"/>
      <c r="T1392" s="143"/>
      <c r="U1392" s="143"/>
      <c r="V1392" s="143"/>
      <c r="W1392" s="143"/>
      <c r="X1392" s="143"/>
    </row>
    <row r="1393" spans="1:24" ht="15" customHeight="1" x14ac:dyDescent="0.25">
      <c r="A1393" s="55"/>
      <c r="B1393" s="55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143"/>
      <c r="N1393" s="143"/>
      <c r="O1393" s="28"/>
      <c r="P1393" s="28"/>
      <c r="Q1393" s="28"/>
      <c r="R1393" s="143"/>
      <c r="S1393" s="143"/>
      <c r="T1393" s="143"/>
      <c r="U1393" s="143"/>
      <c r="V1393" s="143"/>
      <c r="W1393" s="143"/>
      <c r="X1393" s="143"/>
    </row>
    <row r="1394" spans="1:24" ht="15" customHeight="1" x14ac:dyDescent="0.25">
      <c r="A1394" s="55"/>
      <c r="B1394" s="55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143"/>
      <c r="N1394" s="143"/>
      <c r="O1394" s="28"/>
      <c r="P1394" s="28"/>
      <c r="Q1394" s="28"/>
      <c r="R1394" s="143"/>
      <c r="S1394" s="143"/>
      <c r="T1394" s="143"/>
      <c r="U1394" s="143"/>
      <c r="V1394" s="143"/>
      <c r="W1394" s="143"/>
      <c r="X1394" s="143"/>
    </row>
    <row r="1395" spans="1:24" ht="15" customHeight="1" x14ac:dyDescent="0.25">
      <c r="A1395" s="55"/>
      <c r="B1395" s="55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143"/>
      <c r="N1395" s="143"/>
      <c r="O1395" s="28"/>
      <c r="P1395" s="28"/>
      <c r="Q1395" s="28"/>
      <c r="R1395" s="143"/>
      <c r="S1395" s="143"/>
      <c r="T1395" s="143"/>
      <c r="U1395" s="143"/>
      <c r="V1395" s="143"/>
      <c r="W1395" s="143"/>
      <c r="X1395" s="143"/>
    </row>
    <row r="1396" spans="1:24" ht="15" customHeight="1" x14ac:dyDescent="0.25">
      <c r="A1396" s="55"/>
      <c r="B1396" s="55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143"/>
      <c r="N1396" s="143"/>
      <c r="O1396" s="28"/>
      <c r="P1396" s="28"/>
      <c r="Q1396" s="28"/>
      <c r="R1396" s="143"/>
      <c r="S1396" s="143"/>
      <c r="T1396" s="143"/>
      <c r="U1396" s="143"/>
      <c r="V1396" s="143"/>
      <c r="W1396" s="143"/>
      <c r="X1396" s="143"/>
    </row>
    <row r="1397" spans="1:24" ht="15" customHeight="1" x14ac:dyDescent="0.25">
      <c r="A1397" s="55"/>
      <c r="B1397" s="55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143"/>
      <c r="N1397" s="143"/>
      <c r="O1397" s="28"/>
      <c r="P1397" s="28"/>
      <c r="Q1397" s="28"/>
      <c r="R1397" s="143"/>
      <c r="S1397" s="143"/>
      <c r="T1397" s="143"/>
      <c r="U1397" s="143"/>
      <c r="V1397" s="143"/>
      <c r="W1397" s="143"/>
      <c r="X1397" s="143"/>
    </row>
    <row r="1398" spans="1:24" ht="15" customHeight="1" x14ac:dyDescent="0.25">
      <c r="A1398" s="55"/>
      <c r="B1398" s="55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143"/>
      <c r="N1398" s="143"/>
      <c r="O1398" s="28"/>
      <c r="P1398" s="28"/>
      <c r="Q1398" s="28"/>
      <c r="R1398" s="143"/>
      <c r="S1398" s="143"/>
      <c r="T1398" s="143"/>
      <c r="U1398" s="143"/>
      <c r="V1398" s="143"/>
      <c r="W1398" s="143"/>
      <c r="X1398" s="143"/>
    </row>
    <row r="1399" spans="1:24" ht="15" customHeight="1" x14ac:dyDescent="0.25">
      <c r="A1399" s="55"/>
      <c r="B1399" s="55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143"/>
      <c r="N1399" s="143"/>
      <c r="O1399" s="28"/>
      <c r="P1399" s="28"/>
      <c r="Q1399" s="28"/>
      <c r="R1399" s="143"/>
      <c r="S1399" s="143"/>
      <c r="T1399" s="143"/>
      <c r="U1399" s="143"/>
      <c r="V1399" s="143"/>
      <c r="W1399" s="143"/>
      <c r="X1399" s="143"/>
    </row>
    <row r="1400" spans="1:24" ht="15" customHeight="1" x14ac:dyDescent="0.25">
      <c r="A1400" s="55"/>
      <c r="B1400" s="55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143"/>
      <c r="N1400" s="143"/>
      <c r="O1400" s="28"/>
      <c r="P1400" s="28"/>
      <c r="Q1400" s="28"/>
      <c r="R1400" s="143"/>
      <c r="S1400" s="143"/>
      <c r="T1400" s="143"/>
      <c r="U1400" s="143"/>
      <c r="V1400" s="143"/>
      <c r="W1400" s="143"/>
      <c r="X1400" s="143"/>
    </row>
    <row r="1401" spans="1:24" ht="15" customHeight="1" x14ac:dyDescent="0.25">
      <c r="A1401" s="55"/>
      <c r="B1401" s="55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143"/>
      <c r="N1401" s="143"/>
      <c r="O1401" s="28"/>
      <c r="P1401" s="28"/>
      <c r="Q1401" s="28"/>
      <c r="R1401" s="143"/>
      <c r="S1401" s="143"/>
      <c r="T1401" s="143"/>
      <c r="U1401" s="143"/>
      <c r="V1401" s="143"/>
      <c r="W1401" s="143"/>
      <c r="X1401" s="143"/>
    </row>
    <row r="1402" spans="1:24" ht="15" customHeight="1" x14ac:dyDescent="0.25">
      <c r="A1402" s="55"/>
      <c r="B1402" s="55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143"/>
      <c r="N1402" s="143"/>
      <c r="O1402" s="28"/>
      <c r="P1402" s="28"/>
      <c r="Q1402" s="28"/>
      <c r="R1402" s="143"/>
      <c r="S1402" s="143"/>
      <c r="T1402" s="143"/>
      <c r="U1402" s="143"/>
      <c r="V1402" s="143"/>
      <c r="W1402" s="143"/>
      <c r="X1402" s="143"/>
    </row>
    <row r="1403" spans="1:24" ht="15" customHeight="1" x14ac:dyDescent="0.25">
      <c r="A1403" s="55"/>
      <c r="B1403" s="55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143"/>
      <c r="N1403" s="143"/>
      <c r="O1403" s="28"/>
      <c r="P1403" s="28"/>
      <c r="Q1403" s="28"/>
      <c r="R1403" s="143"/>
      <c r="S1403" s="143"/>
      <c r="T1403" s="143"/>
      <c r="U1403" s="143"/>
      <c r="V1403" s="143"/>
      <c r="W1403" s="143"/>
      <c r="X1403" s="143"/>
    </row>
    <row r="1404" spans="1:24" ht="15" customHeight="1" x14ac:dyDescent="0.25">
      <c r="A1404" s="55"/>
      <c r="B1404" s="55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143"/>
      <c r="N1404" s="143"/>
      <c r="O1404" s="28"/>
      <c r="P1404" s="28"/>
      <c r="Q1404" s="28"/>
      <c r="R1404" s="143"/>
      <c r="S1404" s="143"/>
      <c r="T1404" s="143"/>
      <c r="U1404" s="143"/>
      <c r="V1404" s="143"/>
      <c r="W1404" s="143"/>
      <c r="X1404" s="143"/>
    </row>
    <row r="1405" spans="1:24" ht="15" customHeight="1" x14ac:dyDescent="0.25">
      <c r="A1405" s="55"/>
      <c r="B1405" s="55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143"/>
      <c r="N1405" s="143"/>
      <c r="O1405" s="28"/>
      <c r="P1405" s="28"/>
      <c r="Q1405" s="28"/>
      <c r="R1405" s="143"/>
      <c r="S1405" s="143"/>
      <c r="T1405" s="143"/>
      <c r="U1405" s="143"/>
      <c r="V1405" s="143"/>
      <c r="W1405" s="143"/>
      <c r="X1405" s="143"/>
    </row>
    <row r="1406" spans="1:24" ht="15" customHeight="1" x14ac:dyDescent="0.25">
      <c r="A1406" s="55"/>
      <c r="B1406" s="55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143"/>
      <c r="N1406" s="143"/>
      <c r="O1406" s="28"/>
      <c r="P1406" s="28"/>
      <c r="Q1406" s="28"/>
      <c r="R1406" s="143"/>
      <c r="S1406" s="143"/>
      <c r="T1406" s="143"/>
      <c r="U1406" s="143"/>
      <c r="V1406" s="143"/>
      <c r="W1406" s="143"/>
      <c r="X1406" s="143"/>
    </row>
    <row r="1407" spans="1:24" ht="15" customHeight="1" x14ac:dyDescent="0.25">
      <c r="A1407" s="55"/>
      <c r="B1407" s="55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143"/>
      <c r="N1407" s="143"/>
      <c r="O1407" s="28"/>
      <c r="P1407" s="28"/>
      <c r="Q1407" s="28"/>
      <c r="R1407" s="143"/>
      <c r="S1407" s="143"/>
      <c r="T1407" s="143"/>
      <c r="U1407" s="143"/>
      <c r="V1407" s="143"/>
      <c r="W1407" s="143"/>
      <c r="X1407" s="143"/>
    </row>
    <row r="1408" spans="1:24" ht="15" customHeight="1" x14ac:dyDescent="0.25">
      <c r="A1408" s="55"/>
      <c r="B1408" s="55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143"/>
      <c r="N1408" s="143"/>
      <c r="O1408" s="28"/>
      <c r="P1408" s="28"/>
      <c r="Q1408" s="28"/>
      <c r="R1408" s="143"/>
      <c r="S1408" s="143"/>
      <c r="T1408" s="143"/>
      <c r="U1408" s="143"/>
      <c r="V1408" s="143"/>
      <c r="W1408" s="143"/>
      <c r="X1408" s="143"/>
    </row>
    <row r="1409" spans="1:24" ht="15" customHeight="1" x14ac:dyDescent="0.25">
      <c r="A1409" s="55"/>
      <c r="B1409" s="55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143"/>
      <c r="N1409" s="143"/>
      <c r="O1409" s="28"/>
      <c r="P1409" s="28"/>
      <c r="Q1409" s="28"/>
      <c r="R1409" s="143"/>
      <c r="S1409" s="143"/>
      <c r="T1409" s="143"/>
      <c r="U1409" s="143"/>
      <c r="V1409" s="143"/>
      <c r="W1409" s="143"/>
      <c r="X1409" s="143"/>
    </row>
    <row r="1410" spans="1:24" ht="15" customHeight="1" x14ac:dyDescent="0.25">
      <c r="A1410" s="55"/>
      <c r="B1410" s="55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143"/>
      <c r="N1410" s="143"/>
      <c r="O1410" s="28"/>
      <c r="P1410" s="28"/>
      <c r="Q1410" s="28"/>
      <c r="R1410" s="143"/>
      <c r="S1410" s="143"/>
      <c r="T1410" s="143"/>
      <c r="U1410" s="143"/>
      <c r="V1410" s="143"/>
      <c r="W1410" s="143"/>
      <c r="X1410" s="143"/>
    </row>
    <row r="1411" spans="1:24" ht="15" customHeight="1" x14ac:dyDescent="0.25">
      <c r="A1411" s="55"/>
      <c r="B1411" s="55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143"/>
      <c r="N1411" s="143"/>
      <c r="O1411" s="28"/>
      <c r="P1411" s="28"/>
      <c r="Q1411" s="28"/>
      <c r="R1411" s="143"/>
      <c r="S1411" s="143"/>
      <c r="T1411" s="143"/>
      <c r="U1411" s="143"/>
      <c r="V1411" s="143"/>
      <c r="W1411" s="143"/>
      <c r="X1411" s="143"/>
    </row>
    <row r="1412" spans="1:24" ht="15" customHeight="1" x14ac:dyDescent="0.25">
      <c r="A1412" s="55"/>
      <c r="B1412" s="55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143"/>
      <c r="N1412" s="143"/>
      <c r="O1412" s="28"/>
      <c r="P1412" s="28"/>
      <c r="Q1412" s="28"/>
      <c r="R1412" s="143"/>
      <c r="S1412" s="143"/>
      <c r="T1412" s="143"/>
      <c r="U1412" s="143"/>
      <c r="V1412" s="143"/>
      <c r="W1412" s="143"/>
      <c r="X1412" s="143"/>
    </row>
    <row r="1413" spans="1:24" ht="15" customHeight="1" x14ac:dyDescent="0.25">
      <c r="A1413" s="55"/>
      <c r="B1413" s="55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143"/>
      <c r="N1413" s="143"/>
      <c r="O1413" s="28"/>
      <c r="P1413" s="28"/>
      <c r="Q1413" s="28"/>
      <c r="R1413" s="143"/>
      <c r="S1413" s="143"/>
      <c r="T1413" s="143"/>
      <c r="U1413" s="143"/>
      <c r="V1413" s="143"/>
      <c r="W1413" s="143"/>
      <c r="X1413" s="143"/>
    </row>
    <row r="1414" spans="1:24" ht="15" customHeight="1" x14ac:dyDescent="0.25">
      <c r="A1414" s="55"/>
      <c r="B1414" s="55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143"/>
      <c r="N1414" s="143"/>
      <c r="O1414" s="28"/>
      <c r="P1414" s="28"/>
      <c r="Q1414" s="28"/>
      <c r="R1414" s="143"/>
      <c r="S1414" s="143"/>
      <c r="T1414" s="143"/>
      <c r="U1414" s="143"/>
      <c r="V1414" s="143"/>
      <c r="W1414" s="143"/>
      <c r="X1414" s="143"/>
    </row>
    <row r="1415" spans="1:24" ht="15" customHeight="1" x14ac:dyDescent="0.25">
      <c r="A1415" s="55"/>
      <c r="B1415" s="55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143"/>
      <c r="N1415" s="143"/>
      <c r="O1415" s="28"/>
      <c r="P1415" s="28"/>
      <c r="Q1415" s="28"/>
      <c r="R1415" s="143"/>
      <c r="S1415" s="143"/>
      <c r="T1415" s="143"/>
      <c r="U1415" s="143"/>
      <c r="V1415" s="143"/>
      <c r="W1415" s="143"/>
      <c r="X1415" s="143"/>
    </row>
    <row r="1416" spans="1:24" ht="15" customHeight="1" x14ac:dyDescent="0.25">
      <c r="A1416" s="55"/>
      <c r="B1416" s="55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143"/>
      <c r="N1416" s="143"/>
      <c r="O1416" s="28"/>
      <c r="P1416" s="28"/>
      <c r="Q1416" s="28"/>
      <c r="R1416" s="143"/>
      <c r="S1416" s="143"/>
      <c r="T1416" s="143"/>
      <c r="U1416" s="143"/>
      <c r="V1416" s="143"/>
      <c r="W1416" s="143"/>
      <c r="X1416" s="143"/>
    </row>
    <row r="1417" spans="1:24" ht="15" customHeight="1" x14ac:dyDescent="0.25">
      <c r="A1417" s="55"/>
      <c r="B1417" s="55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143"/>
      <c r="N1417" s="143"/>
      <c r="O1417" s="28"/>
      <c r="P1417" s="28"/>
      <c r="Q1417" s="28"/>
      <c r="R1417" s="143"/>
      <c r="S1417" s="143"/>
      <c r="T1417" s="143"/>
      <c r="U1417" s="143"/>
      <c r="V1417" s="143"/>
      <c r="W1417" s="143"/>
      <c r="X1417" s="143"/>
    </row>
    <row r="1418" spans="1:24" ht="15" customHeight="1" x14ac:dyDescent="0.25">
      <c r="A1418" s="55"/>
      <c r="B1418" s="55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143"/>
      <c r="N1418" s="143"/>
      <c r="O1418" s="28"/>
      <c r="P1418" s="28"/>
      <c r="Q1418" s="28"/>
      <c r="R1418" s="143"/>
      <c r="S1418" s="143"/>
      <c r="T1418" s="143"/>
      <c r="U1418" s="143"/>
      <c r="V1418" s="143"/>
      <c r="W1418" s="143"/>
      <c r="X1418" s="143"/>
    </row>
    <row r="1419" spans="1:24" ht="15" customHeight="1" x14ac:dyDescent="0.25">
      <c r="A1419" s="55"/>
      <c r="B1419" s="55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143"/>
      <c r="N1419" s="143"/>
      <c r="O1419" s="28"/>
      <c r="P1419" s="28"/>
      <c r="Q1419" s="28"/>
      <c r="R1419" s="143"/>
      <c r="S1419" s="143"/>
      <c r="T1419" s="143"/>
      <c r="U1419" s="143"/>
      <c r="V1419" s="143"/>
      <c r="W1419" s="143"/>
      <c r="X1419" s="143"/>
    </row>
    <row r="1420" spans="1:24" ht="15" customHeight="1" x14ac:dyDescent="0.25">
      <c r="A1420" s="55"/>
      <c r="B1420" s="55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143"/>
      <c r="N1420" s="143"/>
      <c r="O1420" s="28"/>
      <c r="P1420" s="28"/>
      <c r="Q1420" s="28"/>
      <c r="R1420" s="143"/>
      <c r="S1420" s="143"/>
      <c r="T1420" s="143"/>
      <c r="U1420" s="143"/>
      <c r="V1420" s="143"/>
      <c r="W1420" s="143"/>
      <c r="X1420" s="143"/>
    </row>
    <row r="1421" spans="1:24" ht="15" customHeight="1" x14ac:dyDescent="0.25">
      <c r="A1421" s="55"/>
      <c r="B1421" s="55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143"/>
      <c r="N1421" s="143"/>
      <c r="O1421" s="28"/>
      <c r="P1421" s="28"/>
      <c r="Q1421" s="28"/>
      <c r="R1421" s="143"/>
      <c r="S1421" s="143"/>
      <c r="T1421" s="143"/>
      <c r="U1421" s="143"/>
      <c r="V1421" s="143"/>
      <c r="W1421" s="143"/>
      <c r="X1421" s="143"/>
    </row>
    <row r="1422" spans="1:24" ht="15" customHeight="1" x14ac:dyDescent="0.25">
      <c r="A1422" s="55"/>
      <c r="B1422" s="55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143"/>
      <c r="N1422" s="143"/>
      <c r="O1422" s="28"/>
      <c r="P1422" s="28"/>
      <c r="Q1422" s="28"/>
      <c r="R1422" s="143"/>
      <c r="S1422" s="143"/>
      <c r="T1422" s="143"/>
      <c r="U1422" s="143"/>
      <c r="V1422" s="143"/>
      <c r="W1422" s="143"/>
      <c r="X1422" s="143"/>
    </row>
    <row r="1423" spans="1:24" ht="15" customHeight="1" x14ac:dyDescent="0.25">
      <c r="A1423" s="55"/>
      <c r="B1423" s="55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143"/>
      <c r="N1423" s="143"/>
      <c r="O1423" s="28"/>
      <c r="P1423" s="28"/>
      <c r="Q1423" s="28"/>
      <c r="R1423" s="143"/>
      <c r="S1423" s="143"/>
      <c r="T1423" s="143"/>
      <c r="U1423" s="143"/>
      <c r="V1423" s="143"/>
      <c r="W1423" s="143"/>
      <c r="X1423" s="143"/>
    </row>
    <row r="1424" spans="1:24" ht="15" customHeight="1" x14ac:dyDescent="0.25">
      <c r="A1424" s="55"/>
      <c r="B1424" s="55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143"/>
      <c r="N1424" s="143"/>
      <c r="O1424" s="28"/>
      <c r="P1424" s="28"/>
      <c r="Q1424" s="28"/>
      <c r="R1424" s="143"/>
      <c r="S1424" s="143"/>
      <c r="T1424" s="143"/>
      <c r="U1424" s="143"/>
      <c r="V1424" s="143"/>
      <c r="W1424" s="143"/>
      <c r="X1424" s="143"/>
    </row>
    <row r="1425" spans="1:24" ht="15" customHeight="1" x14ac:dyDescent="0.25">
      <c r="A1425" s="55"/>
      <c r="B1425" s="55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143"/>
      <c r="N1425" s="143"/>
      <c r="O1425" s="28"/>
      <c r="P1425" s="28"/>
      <c r="Q1425" s="28"/>
      <c r="R1425" s="143"/>
      <c r="S1425" s="143"/>
      <c r="T1425" s="143"/>
      <c r="U1425" s="143"/>
      <c r="V1425" s="143"/>
      <c r="W1425" s="143"/>
      <c r="X1425" s="143"/>
    </row>
    <row r="1426" spans="1:24" ht="15" customHeight="1" x14ac:dyDescent="0.25">
      <c r="A1426" s="55"/>
      <c r="B1426" s="55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143"/>
      <c r="N1426" s="143"/>
      <c r="O1426" s="28"/>
      <c r="P1426" s="28"/>
      <c r="Q1426" s="28"/>
      <c r="R1426" s="143"/>
      <c r="S1426" s="143"/>
      <c r="T1426" s="143"/>
      <c r="U1426" s="143"/>
      <c r="V1426" s="143"/>
      <c r="W1426" s="143"/>
      <c r="X1426" s="143"/>
    </row>
    <row r="1427" spans="1:24" ht="15" customHeight="1" x14ac:dyDescent="0.25">
      <c r="A1427" s="55"/>
      <c r="B1427" s="55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143"/>
      <c r="N1427" s="143"/>
      <c r="O1427" s="28"/>
      <c r="P1427" s="28"/>
      <c r="Q1427" s="28"/>
      <c r="R1427" s="143"/>
      <c r="S1427" s="143"/>
      <c r="T1427" s="143"/>
      <c r="U1427" s="143"/>
      <c r="V1427" s="143"/>
      <c r="W1427" s="143"/>
      <c r="X1427" s="143"/>
    </row>
    <row r="1428" spans="1:24" ht="15" customHeight="1" x14ac:dyDescent="0.25">
      <c r="A1428" s="55"/>
      <c r="B1428" s="55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143"/>
      <c r="N1428" s="143"/>
      <c r="O1428" s="28"/>
      <c r="P1428" s="28"/>
      <c r="Q1428" s="28"/>
      <c r="R1428" s="143"/>
      <c r="S1428" s="143"/>
      <c r="T1428" s="143"/>
      <c r="U1428" s="143"/>
      <c r="V1428" s="143"/>
      <c r="W1428" s="143"/>
      <c r="X1428" s="143"/>
    </row>
    <row r="1429" spans="1:24" ht="15" customHeight="1" x14ac:dyDescent="0.25">
      <c r="A1429" s="55"/>
      <c r="B1429" s="55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143"/>
      <c r="N1429" s="143"/>
      <c r="O1429" s="28"/>
      <c r="P1429" s="28"/>
      <c r="Q1429" s="28"/>
      <c r="R1429" s="143"/>
      <c r="S1429" s="143"/>
      <c r="T1429" s="143"/>
      <c r="U1429" s="143"/>
      <c r="V1429" s="143"/>
      <c r="W1429" s="143"/>
      <c r="X1429" s="143"/>
    </row>
    <row r="1430" spans="1:24" ht="15" customHeight="1" x14ac:dyDescent="0.25">
      <c r="A1430" s="55"/>
      <c r="B1430" s="55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143"/>
      <c r="N1430" s="143"/>
      <c r="O1430" s="28"/>
      <c r="P1430" s="28"/>
      <c r="Q1430" s="28"/>
      <c r="R1430" s="143"/>
      <c r="S1430" s="143"/>
      <c r="T1430" s="143"/>
      <c r="U1430" s="143"/>
      <c r="V1430" s="143"/>
      <c r="W1430" s="143"/>
      <c r="X1430" s="143"/>
    </row>
    <row r="1431" spans="1:24" ht="15" customHeight="1" x14ac:dyDescent="0.25">
      <c r="A1431" s="55"/>
      <c r="B1431" s="55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143"/>
      <c r="N1431" s="143"/>
      <c r="O1431" s="28"/>
      <c r="P1431" s="28"/>
      <c r="Q1431" s="28"/>
      <c r="R1431" s="143"/>
      <c r="S1431" s="143"/>
      <c r="T1431" s="143"/>
      <c r="U1431" s="143"/>
      <c r="V1431" s="143"/>
      <c r="W1431" s="143"/>
      <c r="X1431" s="143"/>
    </row>
    <row r="1432" spans="1:24" ht="15" customHeight="1" x14ac:dyDescent="0.25">
      <c r="A1432" s="55"/>
      <c r="B1432" s="55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143"/>
      <c r="N1432" s="143"/>
      <c r="O1432" s="28"/>
      <c r="P1432" s="28"/>
      <c r="Q1432" s="28"/>
      <c r="R1432" s="143"/>
      <c r="S1432" s="143"/>
      <c r="T1432" s="143"/>
      <c r="U1432" s="143"/>
      <c r="V1432" s="143"/>
      <c r="W1432" s="143"/>
      <c r="X1432" s="143"/>
    </row>
    <row r="1433" spans="1:24" ht="15" customHeight="1" x14ac:dyDescent="0.25">
      <c r="A1433" s="55"/>
      <c r="B1433" s="55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143"/>
      <c r="N1433" s="143"/>
      <c r="O1433" s="28"/>
      <c r="P1433" s="28"/>
      <c r="Q1433" s="28"/>
      <c r="R1433" s="143"/>
      <c r="S1433" s="143"/>
      <c r="T1433" s="143"/>
      <c r="U1433" s="143"/>
      <c r="V1433" s="143"/>
      <c r="W1433" s="143"/>
      <c r="X1433" s="143"/>
    </row>
    <row r="1434" spans="1:24" ht="15" customHeight="1" x14ac:dyDescent="0.25">
      <c r="A1434" s="55"/>
      <c r="B1434" s="55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143"/>
      <c r="N1434" s="143"/>
      <c r="O1434" s="28"/>
      <c r="P1434" s="28"/>
      <c r="Q1434" s="28"/>
      <c r="R1434" s="143"/>
      <c r="S1434" s="143"/>
      <c r="T1434" s="143"/>
      <c r="U1434" s="143"/>
      <c r="V1434" s="143"/>
      <c r="W1434" s="143"/>
      <c r="X1434" s="143"/>
    </row>
    <row r="1435" spans="1:24" ht="15" customHeight="1" x14ac:dyDescent="0.25">
      <c r="A1435" s="55"/>
      <c r="B1435" s="55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143"/>
      <c r="N1435" s="143"/>
      <c r="O1435" s="28"/>
      <c r="P1435" s="28"/>
      <c r="Q1435" s="28"/>
      <c r="R1435" s="143"/>
      <c r="S1435" s="143"/>
      <c r="T1435" s="143"/>
      <c r="U1435" s="143"/>
      <c r="V1435" s="143"/>
      <c r="W1435" s="143"/>
      <c r="X1435" s="143"/>
    </row>
    <row r="1436" spans="1:24" ht="15" customHeight="1" x14ac:dyDescent="0.25">
      <c r="A1436" s="55"/>
      <c r="B1436" s="55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143"/>
      <c r="N1436" s="143"/>
      <c r="O1436" s="28"/>
      <c r="P1436" s="28"/>
      <c r="Q1436" s="28"/>
      <c r="R1436" s="143"/>
      <c r="S1436" s="143"/>
      <c r="T1436" s="143"/>
      <c r="U1436" s="143"/>
      <c r="V1436" s="143"/>
      <c r="W1436" s="143"/>
      <c r="X1436" s="143"/>
    </row>
    <row r="1437" spans="1:24" ht="15" customHeight="1" x14ac:dyDescent="0.25">
      <c r="A1437" s="55"/>
      <c r="B1437" s="55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143"/>
      <c r="N1437" s="143"/>
      <c r="O1437" s="28"/>
      <c r="P1437" s="28"/>
      <c r="Q1437" s="28"/>
      <c r="R1437" s="143"/>
      <c r="S1437" s="143"/>
      <c r="T1437" s="143"/>
      <c r="U1437" s="143"/>
      <c r="V1437" s="143"/>
      <c r="W1437" s="143"/>
      <c r="X1437" s="143"/>
    </row>
    <row r="1438" spans="1:24" ht="15" customHeight="1" x14ac:dyDescent="0.25">
      <c r="A1438" s="55"/>
      <c r="B1438" s="55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143"/>
      <c r="N1438" s="143"/>
      <c r="O1438" s="28"/>
      <c r="P1438" s="28"/>
      <c r="Q1438" s="28"/>
      <c r="R1438" s="143"/>
      <c r="S1438" s="143"/>
      <c r="T1438" s="143"/>
      <c r="U1438" s="143"/>
      <c r="V1438" s="143"/>
      <c r="W1438" s="143"/>
      <c r="X1438" s="143"/>
    </row>
    <row r="1439" spans="1:24" ht="15" customHeight="1" x14ac:dyDescent="0.25">
      <c r="A1439" s="55"/>
      <c r="B1439" s="55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143"/>
      <c r="N1439" s="143"/>
      <c r="O1439" s="28"/>
      <c r="P1439" s="28"/>
      <c r="Q1439" s="28"/>
      <c r="R1439" s="143"/>
      <c r="S1439" s="143"/>
      <c r="T1439" s="143"/>
      <c r="U1439" s="143"/>
      <c r="V1439" s="143"/>
      <c r="W1439" s="143"/>
      <c r="X1439" s="143"/>
    </row>
    <row r="1440" spans="1:24" ht="15" customHeight="1" x14ac:dyDescent="0.25">
      <c r="A1440" s="55"/>
      <c r="B1440" s="55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143"/>
      <c r="N1440" s="143"/>
      <c r="O1440" s="28"/>
      <c r="P1440" s="28"/>
      <c r="Q1440" s="28"/>
      <c r="R1440" s="143"/>
      <c r="S1440" s="143"/>
      <c r="T1440" s="143"/>
      <c r="U1440" s="143"/>
      <c r="V1440" s="143"/>
      <c r="W1440" s="143"/>
      <c r="X1440" s="143"/>
    </row>
    <row r="1441" spans="1:24" ht="15" customHeight="1" x14ac:dyDescent="0.25">
      <c r="A1441" s="55"/>
      <c r="B1441" s="55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143"/>
      <c r="N1441" s="143"/>
      <c r="O1441" s="28"/>
      <c r="P1441" s="28"/>
      <c r="Q1441" s="28"/>
      <c r="R1441" s="143"/>
      <c r="S1441" s="143"/>
      <c r="T1441" s="143"/>
      <c r="U1441" s="143"/>
      <c r="V1441" s="143"/>
      <c r="W1441" s="143"/>
      <c r="X1441" s="143"/>
    </row>
    <row r="1442" spans="1:24" ht="15" customHeight="1" x14ac:dyDescent="0.25">
      <c r="A1442" s="55"/>
      <c r="B1442" s="55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143"/>
      <c r="N1442" s="143"/>
      <c r="O1442" s="28"/>
      <c r="P1442" s="28"/>
      <c r="Q1442" s="28"/>
      <c r="R1442" s="143"/>
      <c r="S1442" s="143"/>
      <c r="T1442" s="143"/>
      <c r="U1442" s="143"/>
      <c r="V1442" s="143"/>
      <c r="W1442" s="143"/>
      <c r="X1442" s="143"/>
    </row>
    <row r="1443" spans="1:24" ht="15" customHeight="1" x14ac:dyDescent="0.25">
      <c r="A1443" s="55"/>
      <c r="B1443" s="55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143"/>
      <c r="N1443" s="143"/>
      <c r="O1443" s="28"/>
      <c r="P1443" s="28"/>
      <c r="Q1443" s="28"/>
      <c r="R1443" s="143"/>
      <c r="S1443" s="143"/>
      <c r="T1443" s="143"/>
      <c r="U1443" s="143"/>
      <c r="V1443" s="143"/>
      <c r="W1443" s="143"/>
      <c r="X1443" s="143"/>
    </row>
    <row r="1444" spans="1:24" ht="15" customHeight="1" x14ac:dyDescent="0.25">
      <c r="A1444" s="55"/>
      <c r="B1444" s="55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143"/>
      <c r="N1444" s="143"/>
      <c r="O1444" s="28"/>
      <c r="P1444" s="28"/>
      <c r="Q1444" s="28"/>
      <c r="R1444" s="143"/>
      <c r="S1444" s="143"/>
      <c r="T1444" s="143"/>
      <c r="U1444" s="143"/>
      <c r="V1444" s="143"/>
      <c r="W1444" s="143"/>
      <c r="X1444" s="143"/>
    </row>
    <row r="1445" spans="1:24" ht="15" customHeight="1" x14ac:dyDescent="0.25">
      <c r="A1445" s="55"/>
      <c r="B1445" s="55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143"/>
      <c r="N1445" s="143"/>
      <c r="O1445" s="28"/>
      <c r="P1445" s="28"/>
      <c r="Q1445" s="28"/>
      <c r="R1445" s="143"/>
      <c r="S1445" s="143"/>
      <c r="T1445" s="143"/>
      <c r="U1445" s="143"/>
      <c r="V1445" s="143"/>
      <c r="W1445" s="143"/>
      <c r="X1445" s="143"/>
    </row>
    <row r="1446" spans="1:24" ht="15" customHeight="1" x14ac:dyDescent="0.25">
      <c r="A1446" s="55"/>
      <c r="B1446" s="55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143"/>
      <c r="N1446" s="143"/>
      <c r="O1446" s="28"/>
      <c r="P1446" s="28"/>
      <c r="Q1446" s="28"/>
      <c r="R1446" s="143"/>
      <c r="S1446" s="143"/>
      <c r="T1446" s="143"/>
      <c r="U1446" s="143"/>
      <c r="V1446" s="143"/>
      <c r="W1446" s="143"/>
      <c r="X1446" s="143"/>
    </row>
    <row r="1447" spans="1:24" ht="15" customHeight="1" x14ac:dyDescent="0.25">
      <c r="A1447" s="55"/>
      <c r="B1447" s="55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143"/>
      <c r="N1447" s="143"/>
      <c r="O1447" s="28"/>
      <c r="P1447" s="28"/>
      <c r="Q1447" s="28"/>
      <c r="R1447" s="143"/>
      <c r="S1447" s="143"/>
      <c r="T1447" s="143"/>
      <c r="U1447" s="143"/>
      <c r="V1447" s="143"/>
      <c r="W1447" s="143"/>
      <c r="X1447" s="143"/>
    </row>
    <row r="1448" spans="1:24" ht="15" customHeight="1" x14ac:dyDescent="0.25">
      <c r="A1448" s="55"/>
      <c r="B1448" s="55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143"/>
      <c r="N1448" s="143"/>
      <c r="O1448" s="28"/>
      <c r="P1448" s="28"/>
      <c r="Q1448" s="28"/>
      <c r="R1448" s="143"/>
      <c r="S1448" s="143"/>
      <c r="T1448" s="143"/>
      <c r="U1448" s="143"/>
      <c r="V1448" s="143"/>
      <c r="W1448" s="143"/>
      <c r="X1448" s="143"/>
    </row>
    <row r="1449" spans="1:24" ht="15" customHeight="1" x14ac:dyDescent="0.25">
      <c r="A1449" s="55"/>
      <c r="B1449" s="55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143"/>
      <c r="N1449" s="143"/>
      <c r="O1449" s="28"/>
      <c r="P1449" s="28"/>
      <c r="Q1449" s="28"/>
      <c r="R1449" s="143"/>
      <c r="S1449" s="143"/>
      <c r="T1449" s="143"/>
      <c r="U1449" s="143"/>
      <c r="V1449" s="143"/>
      <c r="W1449" s="143"/>
      <c r="X1449" s="143"/>
    </row>
    <row r="1450" spans="1:24" ht="15" customHeight="1" x14ac:dyDescent="0.25">
      <c r="A1450" s="55"/>
      <c r="B1450" s="55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143"/>
      <c r="N1450" s="143"/>
      <c r="O1450" s="28"/>
      <c r="P1450" s="28"/>
      <c r="Q1450" s="28"/>
      <c r="R1450" s="143"/>
      <c r="S1450" s="143"/>
      <c r="T1450" s="143"/>
      <c r="U1450" s="143"/>
      <c r="V1450" s="143"/>
      <c r="W1450" s="143"/>
      <c r="X1450" s="143"/>
    </row>
    <row r="1451" spans="1:24" ht="15" customHeight="1" x14ac:dyDescent="0.25">
      <c r="A1451" s="55"/>
      <c r="B1451" s="55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143"/>
      <c r="N1451" s="143"/>
      <c r="O1451" s="28"/>
      <c r="P1451" s="28"/>
      <c r="Q1451" s="28"/>
      <c r="R1451" s="143"/>
      <c r="S1451" s="143"/>
      <c r="T1451" s="143"/>
      <c r="U1451" s="143"/>
      <c r="V1451" s="143"/>
      <c r="W1451" s="143"/>
      <c r="X1451" s="143"/>
    </row>
    <row r="1452" spans="1:24" ht="15" customHeight="1" x14ac:dyDescent="0.25">
      <c r="A1452" s="55"/>
      <c r="B1452" s="55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143"/>
      <c r="N1452" s="143"/>
      <c r="O1452" s="28"/>
      <c r="P1452" s="28"/>
      <c r="Q1452" s="28"/>
      <c r="R1452" s="143"/>
      <c r="S1452" s="143"/>
      <c r="T1452" s="143"/>
      <c r="U1452" s="143"/>
      <c r="V1452" s="143"/>
      <c r="W1452" s="143"/>
      <c r="X1452" s="143"/>
    </row>
    <row r="1453" spans="1:24" ht="15" customHeight="1" x14ac:dyDescent="0.25">
      <c r="A1453" s="55"/>
      <c r="B1453" s="55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143"/>
      <c r="N1453" s="143"/>
      <c r="O1453" s="28"/>
      <c r="P1453" s="28"/>
      <c r="Q1453" s="28"/>
      <c r="R1453" s="143"/>
      <c r="S1453" s="143"/>
      <c r="T1453" s="143"/>
      <c r="U1453" s="143"/>
      <c r="V1453" s="143"/>
      <c r="W1453" s="143"/>
      <c r="X1453" s="143"/>
    </row>
    <row r="1454" spans="1:24" ht="15" customHeight="1" x14ac:dyDescent="0.25">
      <c r="A1454" s="55"/>
      <c r="B1454" s="55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143"/>
      <c r="N1454" s="143"/>
      <c r="O1454" s="28"/>
      <c r="P1454" s="28"/>
      <c r="Q1454" s="28"/>
      <c r="R1454" s="143"/>
      <c r="S1454" s="143"/>
      <c r="T1454" s="143"/>
      <c r="U1454" s="143"/>
      <c r="V1454" s="143"/>
      <c r="W1454" s="143"/>
      <c r="X1454" s="143"/>
    </row>
    <row r="1455" spans="1:24" ht="15" customHeight="1" x14ac:dyDescent="0.25">
      <c r="A1455" s="55"/>
      <c r="B1455" s="55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143"/>
      <c r="N1455" s="143"/>
      <c r="O1455" s="28"/>
      <c r="P1455" s="28"/>
      <c r="Q1455" s="28"/>
      <c r="R1455" s="143"/>
      <c r="S1455" s="143"/>
      <c r="T1455" s="143"/>
      <c r="U1455" s="143"/>
      <c r="V1455" s="143"/>
      <c r="W1455" s="143"/>
      <c r="X1455" s="143"/>
    </row>
    <row r="1456" spans="1:24" ht="15" customHeight="1" x14ac:dyDescent="0.25">
      <c r="A1456" s="55"/>
      <c r="B1456" s="55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143"/>
      <c r="N1456" s="143"/>
      <c r="O1456" s="28"/>
      <c r="P1456" s="28"/>
      <c r="Q1456" s="28"/>
      <c r="R1456" s="143"/>
      <c r="S1456" s="143"/>
      <c r="T1456" s="143"/>
      <c r="U1456" s="143"/>
      <c r="V1456" s="143"/>
      <c r="W1456" s="143"/>
      <c r="X1456" s="143"/>
    </row>
    <row r="1457" spans="1:24" ht="15" customHeight="1" x14ac:dyDescent="0.25">
      <c r="A1457" s="55"/>
      <c r="B1457" s="55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143"/>
      <c r="N1457" s="143"/>
      <c r="O1457" s="28"/>
      <c r="P1457" s="28"/>
      <c r="Q1457" s="28"/>
      <c r="R1457" s="143"/>
      <c r="S1457" s="143"/>
      <c r="T1457" s="143"/>
      <c r="U1457" s="143"/>
      <c r="V1457" s="143"/>
      <c r="W1457" s="143"/>
      <c r="X1457" s="143"/>
    </row>
    <row r="1458" spans="1:24" ht="15" customHeight="1" x14ac:dyDescent="0.25">
      <c r="A1458" s="55"/>
      <c r="B1458" s="55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143"/>
      <c r="N1458" s="143"/>
      <c r="O1458" s="28"/>
      <c r="P1458" s="28"/>
      <c r="Q1458" s="28"/>
      <c r="R1458" s="143"/>
      <c r="S1458" s="143"/>
      <c r="T1458" s="143"/>
      <c r="U1458" s="143"/>
      <c r="V1458" s="143"/>
      <c r="W1458" s="143"/>
      <c r="X1458" s="143"/>
    </row>
    <row r="1459" spans="1:24" ht="15" customHeight="1" x14ac:dyDescent="0.25">
      <c r="A1459" s="55"/>
      <c r="B1459" s="55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143"/>
      <c r="N1459" s="143"/>
      <c r="O1459" s="28"/>
      <c r="P1459" s="28"/>
      <c r="Q1459" s="28"/>
      <c r="R1459" s="143"/>
      <c r="S1459" s="143"/>
      <c r="T1459" s="143"/>
      <c r="U1459" s="143"/>
      <c r="V1459" s="143"/>
      <c r="W1459" s="143"/>
      <c r="X1459" s="143"/>
    </row>
    <row r="1460" spans="1:24" ht="15" customHeight="1" x14ac:dyDescent="0.25">
      <c r="A1460" s="55"/>
      <c r="B1460" s="55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143"/>
      <c r="N1460" s="143"/>
      <c r="O1460" s="28"/>
      <c r="P1460" s="28"/>
      <c r="Q1460" s="28"/>
      <c r="R1460" s="143"/>
      <c r="S1460" s="143"/>
      <c r="T1460" s="143"/>
      <c r="U1460" s="143"/>
      <c r="V1460" s="143"/>
      <c r="W1460" s="143"/>
      <c r="X1460" s="143"/>
    </row>
    <row r="1461" spans="1:24" ht="15" customHeight="1" x14ac:dyDescent="0.25">
      <c r="A1461" s="55"/>
      <c r="B1461" s="55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143"/>
      <c r="N1461" s="143"/>
      <c r="O1461" s="28"/>
      <c r="P1461" s="28"/>
      <c r="Q1461" s="28"/>
      <c r="R1461" s="143"/>
      <c r="S1461" s="143"/>
      <c r="T1461" s="143"/>
      <c r="U1461" s="143"/>
      <c r="V1461" s="143"/>
      <c r="W1461" s="143"/>
      <c r="X1461" s="143"/>
    </row>
    <row r="1462" spans="1:24" ht="15" customHeight="1" x14ac:dyDescent="0.25">
      <c r="A1462" s="55"/>
      <c r="B1462" s="55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143"/>
      <c r="N1462" s="143"/>
      <c r="O1462" s="28"/>
      <c r="P1462" s="28"/>
      <c r="Q1462" s="28"/>
      <c r="R1462" s="143"/>
      <c r="S1462" s="143"/>
      <c r="T1462" s="143"/>
      <c r="U1462" s="143"/>
      <c r="V1462" s="143"/>
      <c r="W1462" s="143"/>
      <c r="X1462" s="143"/>
    </row>
    <row r="1463" spans="1:24" ht="15" customHeight="1" x14ac:dyDescent="0.25">
      <c r="A1463" s="55"/>
      <c r="B1463" s="55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143"/>
      <c r="N1463" s="143"/>
      <c r="O1463" s="28"/>
      <c r="P1463" s="28"/>
      <c r="Q1463" s="28"/>
      <c r="R1463" s="143"/>
      <c r="S1463" s="143"/>
      <c r="T1463" s="143"/>
      <c r="U1463" s="143"/>
      <c r="V1463" s="143"/>
      <c r="W1463" s="143"/>
      <c r="X1463" s="143"/>
    </row>
    <row r="1464" spans="1:24" ht="15" customHeight="1" x14ac:dyDescent="0.25">
      <c r="A1464" s="55"/>
      <c r="B1464" s="55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143"/>
      <c r="N1464" s="143"/>
      <c r="O1464" s="28"/>
      <c r="P1464" s="28"/>
      <c r="Q1464" s="28"/>
      <c r="R1464" s="143"/>
      <c r="S1464" s="143"/>
      <c r="T1464" s="143"/>
      <c r="U1464" s="143"/>
      <c r="V1464" s="143"/>
      <c r="W1464" s="143"/>
      <c r="X1464" s="143"/>
    </row>
    <row r="1465" spans="1:24" ht="15" customHeight="1" x14ac:dyDescent="0.25">
      <c r="A1465" s="55"/>
      <c r="B1465" s="55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143"/>
      <c r="N1465" s="143"/>
      <c r="O1465" s="28"/>
      <c r="P1465" s="28"/>
      <c r="Q1465" s="28"/>
      <c r="R1465" s="143"/>
      <c r="S1465" s="143"/>
      <c r="T1465" s="143"/>
      <c r="U1465" s="143"/>
      <c r="V1465" s="143"/>
      <c r="W1465" s="143"/>
      <c r="X1465" s="143"/>
    </row>
    <row r="1466" spans="1:24" ht="15" customHeight="1" x14ac:dyDescent="0.25">
      <c r="A1466" s="55"/>
      <c r="B1466" s="55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143"/>
      <c r="N1466" s="143"/>
      <c r="O1466" s="28"/>
      <c r="P1466" s="28"/>
      <c r="Q1466" s="28"/>
      <c r="R1466" s="143"/>
      <c r="S1466" s="143"/>
      <c r="T1466" s="143"/>
      <c r="U1466" s="143"/>
      <c r="V1466" s="143"/>
      <c r="W1466" s="143"/>
      <c r="X1466" s="143"/>
    </row>
    <row r="1467" spans="1:24" ht="15" customHeight="1" x14ac:dyDescent="0.25">
      <c r="A1467" s="55"/>
      <c r="B1467" s="55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143"/>
      <c r="N1467" s="143"/>
      <c r="O1467" s="28"/>
      <c r="P1467" s="28"/>
      <c r="Q1467" s="28"/>
      <c r="R1467" s="143"/>
      <c r="S1467" s="143"/>
      <c r="T1467" s="143"/>
      <c r="U1467" s="143"/>
      <c r="V1467" s="143"/>
      <c r="W1467" s="143"/>
      <c r="X1467" s="143"/>
    </row>
    <row r="1468" spans="1:24" ht="15" customHeight="1" x14ac:dyDescent="0.25">
      <c r="A1468" s="55"/>
      <c r="B1468" s="55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143"/>
      <c r="N1468" s="143"/>
      <c r="O1468" s="28"/>
      <c r="P1468" s="28"/>
      <c r="Q1468" s="28"/>
      <c r="R1468" s="143"/>
      <c r="S1468" s="143"/>
      <c r="T1468" s="143"/>
      <c r="U1468" s="143"/>
      <c r="V1468" s="143"/>
      <c r="W1468" s="143"/>
      <c r="X1468" s="143"/>
    </row>
    <row r="1469" spans="1:24" ht="15" customHeight="1" x14ac:dyDescent="0.25">
      <c r="A1469" s="55"/>
      <c r="B1469" s="55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143"/>
      <c r="N1469" s="143"/>
      <c r="O1469" s="28"/>
      <c r="P1469" s="28"/>
      <c r="Q1469" s="28"/>
      <c r="R1469" s="143"/>
      <c r="S1469" s="143"/>
      <c r="T1469" s="143"/>
      <c r="U1469" s="143"/>
      <c r="V1469" s="143"/>
      <c r="W1469" s="143"/>
      <c r="X1469" s="143"/>
    </row>
    <row r="1470" spans="1:24" ht="15" customHeight="1" x14ac:dyDescent="0.25">
      <c r="A1470" s="55"/>
      <c r="B1470" s="55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143"/>
      <c r="N1470" s="143"/>
      <c r="O1470" s="28"/>
      <c r="P1470" s="28"/>
      <c r="Q1470" s="28"/>
      <c r="R1470" s="143"/>
      <c r="S1470" s="143"/>
      <c r="T1470" s="143"/>
      <c r="U1470" s="143"/>
      <c r="V1470" s="143"/>
      <c r="W1470" s="143"/>
      <c r="X1470" s="143"/>
    </row>
    <row r="1471" spans="1:24" ht="15" customHeight="1" x14ac:dyDescent="0.25">
      <c r="A1471" s="55"/>
      <c r="B1471" s="55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143"/>
      <c r="N1471" s="143"/>
      <c r="O1471" s="28"/>
      <c r="P1471" s="28"/>
      <c r="Q1471" s="28"/>
      <c r="R1471" s="143"/>
      <c r="S1471" s="143"/>
      <c r="T1471" s="143"/>
      <c r="U1471" s="143"/>
      <c r="V1471" s="143"/>
      <c r="W1471" s="143"/>
      <c r="X1471" s="143"/>
    </row>
    <row r="1472" spans="1:24" ht="15" customHeight="1" x14ac:dyDescent="0.25">
      <c r="A1472" s="55"/>
      <c r="B1472" s="55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143"/>
      <c r="N1472" s="143"/>
      <c r="O1472" s="28"/>
      <c r="P1472" s="28"/>
      <c r="Q1472" s="28"/>
      <c r="R1472" s="143"/>
      <c r="S1472" s="143"/>
      <c r="T1472" s="143"/>
      <c r="U1472" s="143"/>
      <c r="V1472" s="143"/>
      <c r="W1472" s="143"/>
      <c r="X1472" s="143"/>
    </row>
    <row r="1473" spans="1:24" ht="15" customHeight="1" x14ac:dyDescent="0.25">
      <c r="A1473" s="55"/>
      <c r="B1473" s="55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143"/>
      <c r="N1473" s="143"/>
      <c r="O1473" s="28"/>
      <c r="P1473" s="28"/>
      <c r="Q1473" s="28"/>
      <c r="R1473" s="143"/>
      <c r="S1473" s="143"/>
      <c r="T1473" s="143"/>
      <c r="U1473" s="143"/>
      <c r="V1473" s="143"/>
      <c r="W1473" s="143"/>
      <c r="X1473" s="143"/>
    </row>
    <row r="1474" spans="1:24" ht="15" customHeight="1" x14ac:dyDescent="0.25">
      <c r="A1474" s="55"/>
      <c r="B1474" s="55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143"/>
      <c r="N1474" s="143"/>
      <c r="O1474" s="28"/>
      <c r="P1474" s="28"/>
      <c r="Q1474" s="28"/>
      <c r="R1474" s="143"/>
      <c r="S1474" s="143"/>
      <c r="T1474" s="143"/>
      <c r="U1474" s="143"/>
      <c r="V1474" s="143"/>
      <c r="W1474" s="143"/>
      <c r="X1474" s="143"/>
    </row>
    <row r="1475" spans="1:24" ht="15" customHeight="1" x14ac:dyDescent="0.25">
      <c r="A1475" s="55"/>
      <c r="B1475" s="55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143"/>
      <c r="N1475" s="143"/>
      <c r="O1475" s="28"/>
      <c r="P1475" s="28"/>
      <c r="Q1475" s="28"/>
      <c r="R1475" s="143"/>
      <c r="S1475" s="143"/>
      <c r="T1475" s="143"/>
      <c r="U1475" s="143"/>
      <c r="V1475" s="143"/>
      <c r="W1475" s="143"/>
      <c r="X1475" s="143"/>
    </row>
    <row r="1476" spans="1:24" ht="15" customHeight="1" x14ac:dyDescent="0.25">
      <c r="A1476" s="55"/>
      <c r="B1476" s="55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143"/>
      <c r="N1476" s="143"/>
      <c r="O1476" s="28"/>
      <c r="P1476" s="28"/>
      <c r="Q1476" s="28"/>
      <c r="R1476" s="143"/>
      <c r="S1476" s="143"/>
      <c r="T1476" s="143"/>
      <c r="U1476" s="143"/>
      <c r="V1476" s="143"/>
      <c r="W1476" s="143"/>
      <c r="X1476" s="143"/>
    </row>
    <row r="1477" spans="1:24" ht="15" customHeight="1" x14ac:dyDescent="0.25">
      <c r="A1477" s="55"/>
      <c r="B1477" s="55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143"/>
      <c r="N1477" s="143"/>
      <c r="O1477" s="28"/>
      <c r="P1477" s="28"/>
      <c r="Q1477" s="28"/>
      <c r="R1477" s="143"/>
      <c r="S1477" s="143"/>
      <c r="T1477" s="143"/>
      <c r="U1477" s="143"/>
      <c r="V1477" s="143"/>
      <c r="W1477" s="143"/>
      <c r="X1477" s="143"/>
    </row>
    <row r="1478" spans="1:24" ht="15" customHeight="1" x14ac:dyDescent="0.25">
      <c r="A1478" s="55"/>
      <c r="B1478" s="55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143"/>
      <c r="N1478" s="143"/>
      <c r="O1478" s="28"/>
      <c r="P1478" s="28"/>
      <c r="Q1478" s="28"/>
      <c r="R1478" s="143"/>
      <c r="S1478" s="143"/>
      <c r="T1478" s="143"/>
      <c r="U1478" s="143"/>
      <c r="V1478" s="143"/>
      <c r="W1478" s="143"/>
      <c r="X1478" s="143"/>
    </row>
    <row r="1479" spans="1:24" ht="15" customHeight="1" x14ac:dyDescent="0.25">
      <c r="A1479" s="55"/>
      <c r="B1479" s="55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143"/>
      <c r="N1479" s="143"/>
      <c r="O1479" s="28"/>
      <c r="P1479" s="28"/>
      <c r="Q1479" s="28"/>
      <c r="R1479" s="143"/>
      <c r="S1479" s="143"/>
      <c r="T1479" s="143"/>
      <c r="U1479" s="143"/>
      <c r="V1479" s="143"/>
      <c r="W1479" s="143"/>
      <c r="X1479" s="143"/>
    </row>
    <row r="1480" spans="1:24" ht="15" customHeight="1" x14ac:dyDescent="0.25">
      <c r="A1480" s="55"/>
      <c r="B1480" s="55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143"/>
      <c r="N1480" s="143"/>
      <c r="O1480" s="28"/>
      <c r="P1480" s="28"/>
      <c r="Q1480" s="28"/>
      <c r="R1480" s="143"/>
      <c r="S1480" s="143"/>
      <c r="T1480" s="143"/>
      <c r="U1480" s="143"/>
      <c r="V1480" s="143"/>
      <c r="W1480" s="143"/>
      <c r="X1480" s="143"/>
    </row>
    <row r="1481" spans="1:24" ht="15" customHeight="1" x14ac:dyDescent="0.25">
      <c r="A1481" s="55"/>
      <c r="B1481" s="55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143"/>
      <c r="N1481" s="143"/>
      <c r="O1481" s="28"/>
      <c r="P1481" s="28"/>
      <c r="Q1481" s="28"/>
      <c r="R1481" s="143"/>
      <c r="S1481" s="143"/>
      <c r="T1481" s="143"/>
      <c r="U1481" s="143"/>
      <c r="V1481" s="143"/>
      <c r="W1481" s="143"/>
      <c r="X1481" s="143"/>
    </row>
    <row r="1482" spans="1:24" ht="15" customHeight="1" x14ac:dyDescent="0.25">
      <c r="A1482" s="55"/>
      <c r="B1482" s="55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143"/>
      <c r="N1482" s="143"/>
      <c r="O1482" s="28"/>
      <c r="P1482" s="28"/>
      <c r="Q1482" s="28"/>
      <c r="R1482" s="143"/>
      <c r="S1482" s="143"/>
      <c r="T1482" s="143"/>
      <c r="U1482" s="143"/>
      <c r="V1482" s="143"/>
      <c r="W1482" s="143"/>
      <c r="X1482" s="143"/>
    </row>
    <row r="1483" spans="1:24" ht="15" customHeight="1" x14ac:dyDescent="0.25">
      <c r="A1483" s="55"/>
      <c r="B1483" s="55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143"/>
      <c r="N1483" s="143"/>
      <c r="O1483" s="28"/>
      <c r="P1483" s="28"/>
      <c r="Q1483" s="28"/>
      <c r="R1483" s="143"/>
      <c r="S1483" s="143"/>
      <c r="T1483" s="143"/>
      <c r="U1483" s="143"/>
      <c r="V1483" s="143"/>
      <c r="W1483" s="143"/>
      <c r="X1483" s="143"/>
    </row>
    <row r="1484" spans="1:24" ht="15" customHeight="1" x14ac:dyDescent="0.25">
      <c r="A1484" s="55"/>
      <c r="B1484" s="55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143"/>
      <c r="N1484" s="143"/>
      <c r="O1484" s="28"/>
      <c r="P1484" s="28"/>
      <c r="Q1484" s="28"/>
      <c r="R1484" s="143"/>
      <c r="S1484" s="143"/>
      <c r="T1484" s="143"/>
      <c r="U1484" s="143"/>
      <c r="V1484" s="143"/>
      <c r="W1484" s="143"/>
      <c r="X1484" s="143"/>
    </row>
    <row r="1485" spans="1:24" ht="15" customHeight="1" x14ac:dyDescent="0.25">
      <c r="A1485" s="55"/>
      <c r="B1485" s="55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143"/>
      <c r="N1485" s="143"/>
      <c r="O1485" s="28"/>
      <c r="P1485" s="28"/>
      <c r="Q1485" s="28"/>
      <c r="R1485" s="143"/>
      <c r="S1485" s="143"/>
      <c r="T1485" s="143"/>
      <c r="U1485" s="143"/>
      <c r="V1485" s="143"/>
      <c r="W1485" s="143"/>
      <c r="X1485" s="143"/>
    </row>
    <row r="1486" spans="1:24" ht="15" customHeight="1" x14ac:dyDescent="0.25">
      <c r="A1486" s="55"/>
      <c r="B1486" s="55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143"/>
      <c r="N1486" s="143"/>
      <c r="O1486" s="28"/>
      <c r="P1486" s="28"/>
      <c r="Q1486" s="28"/>
      <c r="R1486" s="143"/>
      <c r="S1486" s="143"/>
      <c r="T1486" s="143"/>
      <c r="U1486" s="143"/>
      <c r="V1486" s="143"/>
      <c r="W1486" s="143"/>
      <c r="X1486" s="143"/>
    </row>
    <row r="1487" spans="1:24" ht="15" customHeight="1" x14ac:dyDescent="0.25">
      <c r="A1487" s="55"/>
      <c r="B1487" s="55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143"/>
      <c r="N1487" s="143"/>
      <c r="O1487" s="28"/>
      <c r="P1487" s="28"/>
      <c r="Q1487" s="28"/>
      <c r="R1487" s="143"/>
      <c r="S1487" s="143"/>
      <c r="T1487" s="143"/>
      <c r="U1487" s="143"/>
      <c r="V1487" s="143"/>
      <c r="W1487" s="143"/>
      <c r="X1487" s="143"/>
    </row>
    <row r="1488" spans="1:24" ht="15" customHeight="1" x14ac:dyDescent="0.25">
      <c r="A1488" s="55"/>
      <c r="B1488" s="55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143"/>
      <c r="N1488" s="143"/>
      <c r="O1488" s="28"/>
      <c r="P1488" s="28"/>
      <c r="Q1488" s="28"/>
      <c r="R1488" s="143"/>
      <c r="S1488" s="143"/>
      <c r="T1488" s="143"/>
      <c r="U1488" s="143"/>
      <c r="V1488" s="143"/>
      <c r="W1488" s="143"/>
      <c r="X1488" s="143"/>
    </row>
    <row r="1489" spans="1:24" ht="15" customHeight="1" x14ac:dyDescent="0.25">
      <c r="A1489" s="55"/>
      <c r="B1489" s="55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143"/>
      <c r="N1489" s="143"/>
      <c r="O1489" s="28"/>
      <c r="P1489" s="28"/>
      <c r="Q1489" s="28"/>
      <c r="R1489" s="143"/>
      <c r="S1489" s="143"/>
      <c r="T1489" s="143"/>
      <c r="U1489" s="143"/>
      <c r="V1489" s="143"/>
      <c r="W1489" s="143"/>
      <c r="X1489" s="143"/>
    </row>
    <row r="1490" spans="1:24" ht="15" customHeight="1" x14ac:dyDescent="0.25">
      <c r="A1490" s="55"/>
      <c r="B1490" s="55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143"/>
      <c r="N1490" s="143"/>
      <c r="O1490" s="28"/>
      <c r="P1490" s="28"/>
      <c r="Q1490" s="28"/>
      <c r="R1490" s="143"/>
      <c r="S1490" s="143"/>
      <c r="T1490" s="143"/>
      <c r="U1490" s="143"/>
      <c r="V1490" s="143"/>
      <c r="W1490" s="143"/>
      <c r="X1490" s="143"/>
    </row>
    <row r="1491" spans="1:24" ht="15" customHeight="1" x14ac:dyDescent="0.25">
      <c r="A1491" s="55"/>
      <c r="B1491" s="55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143"/>
      <c r="N1491" s="143"/>
      <c r="O1491" s="28"/>
      <c r="P1491" s="28"/>
      <c r="Q1491" s="28"/>
      <c r="R1491" s="143"/>
      <c r="S1491" s="143"/>
      <c r="T1491" s="143"/>
      <c r="U1491" s="143"/>
      <c r="V1491" s="143"/>
      <c r="W1491" s="143"/>
      <c r="X1491" s="143"/>
    </row>
    <row r="1492" spans="1:24" ht="15" customHeight="1" x14ac:dyDescent="0.25">
      <c r="A1492" s="55"/>
      <c r="B1492" s="55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143"/>
      <c r="N1492" s="143"/>
      <c r="O1492" s="28"/>
      <c r="P1492" s="28"/>
      <c r="Q1492" s="28"/>
      <c r="R1492" s="143"/>
      <c r="S1492" s="143"/>
      <c r="T1492" s="143"/>
      <c r="U1492" s="143"/>
      <c r="V1492" s="143"/>
      <c r="W1492" s="143"/>
      <c r="X1492" s="143"/>
    </row>
    <row r="1493" spans="1:24" ht="15" customHeight="1" x14ac:dyDescent="0.25">
      <c r="A1493" s="55"/>
      <c r="B1493" s="55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143"/>
      <c r="N1493" s="143"/>
      <c r="O1493" s="28"/>
      <c r="P1493" s="28"/>
      <c r="Q1493" s="28"/>
      <c r="R1493" s="143"/>
      <c r="S1493" s="143"/>
      <c r="T1493" s="143"/>
      <c r="U1493" s="143"/>
      <c r="V1493" s="143"/>
      <c r="W1493" s="143"/>
      <c r="X1493" s="143"/>
    </row>
    <row r="1494" spans="1:24" ht="15" customHeight="1" x14ac:dyDescent="0.25">
      <c r="A1494" s="55"/>
      <c r="B1494" s="55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143"/>
      <c r="N1494" s="143"/>
      <c r="O1494" s="28"/>
      <c r="P1494" s="28"/>
      <c r="Q1494" s="28"/>
      <c r="R1494" s="143"/>
      <c r="S1494" s="143"/>
      <c r="T1494" s="143"/>
      <c r="U1494" s="143"/>
      <c r="V1494" s="143"/>
      <c r="W1494" s="143"/>
      <c r="X1494" s="143"/>
    </row>
    <row r="1495" spans="1:24" ht="15" customHeight="1" x14ac:dyDescent="0.25">
      <c r="A1495" s="55"/>
      <c r="B1495" s="55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143"/>
      <c r="N1495" s="143"/>
      <c r="O1495" s="28"/>
      <c r="P1495" s="28"/>
      <c r="Q1495" s="28"/>
      <c r="R1495" s="143"/>
      <c r="S1495" s="143"/>
      <c r="T1495" s="143"/>
      <c r="U1495" s="143"/>
      <c r="V1495" s="143"/>
      <c r="W1495" s="143"/>
      <c r="X1495" s="143"/>
    </row>
    <row r="1496" spans="1:24" ht="15" customHeight="1" x14ac:dyDescent="0.25">
      <c r="A1496" s="55"/>
      <c r="B1496" s="55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143"/>
      <c r="N1496" s="143"/>
      <c r="O1496" s="28"/>
      <c r="P1496" s="28"/>
      <c r="Q1496" s="28"/>
      <c r="R1496" s="143"/>
      <c r="S1496" s="143"/>
      <c r="T1496" s="143"/>
      <c r="U1496" s="143"/>
      <c r="V1496" s="143"/>
      <c r="W1496" s="143"/>
      <c r="X1496" s="143"/>
    </row>
    <row r="1497" spans="1:24" ht="15" customHeight="1" x14ac:dyDescent="0.25">
      <c r="A1497" s="55"/>
      <c r="B1497" s="55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143"/>
      <c r="N1497" s="143"/>
      <c r="O1497" s="28"/>
      <c r="P1497" s="28"/>
      <c r="Q1497" s="28"/>
      <c r="R1497" s="143"/>
      <c r="S1497" s="143"/>
      <c r="T1497" s="143"/>
      <c r="U1497" s="143"/>
      <c r="V1497" s="143"/>
      <c r="W1497" s="143"/>
      <c r="X1497" s="143"/>
    </row>
    <row r="1498" spans="1:24" ht="15" customHeight="1" x14ac:dyDescent="0.25">
      <c r="A1498" s="55"/>
      <c r="B1498" s="55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143"/>
      <c r="N1498" s="143"/>
      <c r="O1498" s="28"/>
      <c r="P1498" s="28"/>
      <c r="Q1498" s="28"/>
      <c r="R1498" s="143"/>
      <c r="S1498" s="143"/>
      <c r="T1498" s="143"/>
      <c r="U1498" s="143"/>
      <c r="V1498" s="143"/>
      <c r="W1498" s="143"/>
      <c r="X1498" s="143"/>
    </row>
    <row r="1499" spans="1:24" ht="15" customHeight="1" x14ac:dyDescent="0.25">
      <c r="A1499" s="55"/>
      <c r="B1499" s="55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143"/>
      <c r="N1499" s="143"/>
      <c r="O1499" s="28"/>
      <c r="P1499" s="28"/>
      <c r="Q1499" s="28"/>
      <c r="R1499" s="143"/>
      <c r="S1499" s="143"/>
      <c r="T1499" s="143"/>
      <c r="U1499" s="143"/>
      <c r="V1499" s="143"/>
      <c r="W1499" s="143"/>
      <c r="X1499" s="143"/>
    </row>
    <row r="1500" spans="1:24" ht="15" customHeight="1" x14ac:dyDescent="0.25">
      <c r="A1500" s="55"/>
      <c r="B1500" s="55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143"/>
      <c r="N1500" s="143"/>
      <c r="O1500" s="28"/>
      <c r="P1500" s="28"/>
      <c r="Q1500" s="28"/>
      <c r="R1500" s="143"/>
      <c r="S1500" s="143"/>
      <c r="T1500" s="143"/>
      <c r="U1500" s="143"/>
      <c r="V1500" s="143"/>
      <c r="W1500" s="143"/>
      <c r="X1500" s="143"/>
    </row>
    <row r="1501" spans="1:24" ht="15" customHeight="1" x14ac:dyDescent="0.25">
      <c r="A1501" s="55"/>
      <c r="B1501" s="55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143"/>
      <c r="N1501" s="143"/>
      <c r="O1501" s="28"/>
      <c r="P1501" s="28"/>
      <c r="Q1501" s="28"/>
      <c r="R1501" s="143"/>
      <c r="S1501" s="143"/>
      <c r="T1501" s="143"/>
      <c r="U1501" s="143"/>
      <c r="V1501" s="143"/>
      <c r="W1501" s="143"/>
      <c r="X1501" s="143"/>
    </row>
    <row r="1502" spans="1:24" ht="15" customHeight="1" x14ac:dyDescent="0.25">
      <c r="A1502" s="55"/>
      <c r="B1502" s="55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143"/>
      <c r="N1502" s="143"/>
      <c r="O1502" s="28"/>
      <c r="P1502" s="28"/>
      <c r="Q1502" s="28"/>
      <c r="R1502" s="143"/>
      <c r="S1502" s="143"/>
      <c r="T1502" s="143"/>
      <c r="U1502" s="143"/>
      <c r="V1502" s="143"/>
      <c r="W1502" s="143"/>
      <c r="X1502" s="143"/>
    </row>
    <row r="1503" spans="1:24" ht="15" customHeight="1" x14ac:dyDescent="0.25">
      <c r="A1503" s="55"/>
      <c r="B1503" s="55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143"/>
      <c r="N1503" s="143"/>
      <c r="O1503" s="28"/>
      <c r="P1503" s="28"/>
      <c r="Q1503" s="28"/>
      <c r="R1503" s="143"/>
      <c r="S1503" s="143"/>
      <c r="T1503" s="143"/>
      <c r="U1503" s="143"/>
      <c r="V1503" s="143"/>
      <c r="W1503" s="143"/>
      <c r="X1503" s="143"/>
    </row>
    <row r="1504" spans="1:24" ht="15" customHeight="1" x14ac:dyDescent="0.25">
      <c r="A1504" s="55"/>
      <c r="B1504" s="55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143"/>
      <c r="N1504" s="143"/>
      <c r="O1504" s="28"/>
      <c r="P1504" s="28"/>
      <c r="Q1504" s="28"/>
      <c r="R1504" s="143"/>
      <c r="S1504" s="143"/>
      <c r="T1504" s="143"/>
      <c r="U1504" s="143"/>
      <c r="V1504" s="143"/>
      <c r="W1504" s="143"/>
      <c r="X1504" s="143"/>
    </row>
    <row r="1505" spans="1:24" ht="15" customHeight="1" x14ac:dyDescent="0.25">
      <c r="A1505" s="55"/>
      <c r="B1505" s="55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143"/>
      <c r="N1505" s="143"/>
      <c r="O1505" s="28"/>
      <c r="P1505" s="28"/>
      <c r="Q1505" s="28"/>
      <c r="R1505" s="143"/>
      <c r="S1505" s="143"/>
      <c r="T1505" s="143"/>
      <c r="U1505" s="143"/>
      <c r="V1505" s="143"/>
      <c r="W1505" s="143"/>
      <c r="X1505" s="143"/>
    </row>
    <row r="1506" spans="1:24" ht="15" customHeight="1" x14ac:dyDescent="0.25">
      <c r="A1506" s="55"/>
      <c r="B1506" s="55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143"/>
      <c r="N1506" s="143"/>
      <c r="O1506" s="28"/>
      <c r="P1506" s="28"/>
      <c r="Q1506" s="28"/>
      <c r="R1506" s="143"/>
      <c r="S1506" s="143"/>
      <c r="T1506" s="143"/>
      <c r="U1506" s="143"/>
      <c r="V1506" s="143"/>
      <c r="W1506" s="143"/>
      <c r="X1506" s="143"/>
    </row>
    <row r="1507" spans="1:24" ht="15" customHeight="1" x14ac:dyDescent="0.25">
      <c r="A1507" s="55"/>
      <c r="B1507" s="55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143"/>
      <c r="N1507" s="143"/>
      <c r="O1507" s="28"/>
      <c r="P1507" s="28"/>
      <c r="Q1507" s="28"/>
      <c r="R1507" s="143"/>
      <c r="S1507" s="143"/>
      <c r="T1507" s="143"/>
      <c r="U1507" s="143"/>
      <c r="V1507" s="143"/>
      <c r="W1507" s="143"/>
      <c r="X1507" s="143"/>
    </row>
    <row r="1508" spans="1:24" ht="15" customHeight="1" x14ac:dyDescent="0.25">
      <c r="A1508" s="55"/>
      <c r="B1508" s="55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143"/>
      <c r="N1508" s="143"/>
      <c r="O1508" s="28"/>
      <c r="P1508" s="28"/>
      <c r="Q1508" s="28"/>
      <c r="R1508" s="143"/>
      <c r="S1508" s="143"/>
      <c r="T1508" s="143"/>
      <c r="U1508" s="143"/>
      <c r="V1508" s="143"/>
      <c r="W1508" s="143"/>
      <c r="X1508" s="143"/>
    </row>
    <row r="1509" spans="1:24" ht="15" customHeight="1" x14ac:dyDescent="0.25">
      <c r="A1509" s="55"/>
      <c r="B1509" s="55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143"/>
      <c r="N1509" s="143"/>
      <c r="O1509" s="28"/>
      <c r="P1509" s="28"/>
      <c r="Q1509" s="28"/>
      <c r="R1509" s="143"/>
      <c r="S1509" s="143"/>
      <c r="T1509" s="143"/>
      <c r="U1509" s="143"/>
      <c r="V1509" s="143"/>
      <c r="W1509" s="143"/>
      <c r="X1509" s="143"/>
    </row>
    <row r="1510" spans="1:24" ht="15" customHeight="1" x14ac:dyDescent="0.25">
      <c r="A1510" s="55"/>
      <c r="B1510" s="55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143"/>
      <c r="N1510" s="143"/>
      <c r="O1510" s="28"/>
      <c r="P1510" s="28"/>
      <c r="Q1510" s="28"/>
      <c r="R1510" s="143"/>
      <c r="S1510" s="143"/>
      <c r="T1510" s="143"/>
      <c r="U1510" s="143"/>
      <c r="V1510" s="143"/>
      <c r="W1510" s="143"/>
      <c r="X1510" s="143"/>
    </row>
    <row r="1511" spans="1:24" ht="15" customHeight="1" x14ac:dyDescent="0.25">
      <c r="A1511" s="55"/>
      <c r="B1511" s="55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143"/>
      <c r="N1511" s="143"/>
      <c r="O1511" s="28"/>
      <c r="P1511" s="28"/>
      <c r="Q1511" s="28"/>
      <c r="R1511" s="143"/>
      <c r="S1511" s="143"/>
      <c r="T1511" s="143"/>
      <c r="U1511" s="143"/>
      <c r="V1511" s="143"/>
      <c r="W1511" s="143"/>
      <c r="X1511" s="143"/>
    </row>
    <row r="1512" spans="1:24" ht="15" customHeight="1" x14ac:dyDescent="0.25">
      <c r="A1512" s="55"/>
      <c r="B1512" s="55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143"/>
      <c r="N1512" s="143"/>
      <c r="O1512" s="28"/>
      <c r="P1512" s="28"/>
      <c r="Q1512" s="28"/>
      <c r="R1512" s="143"/>
      <c r="S1512" s="143"/>
      <c r="T1512" s="143"/>
      <c r="U1512" s="143"/>
      <c r="V1512" s="143"/>
      <c r="W1512" s="143"/>
      <c r="X1512" s="143"/>
    </row>
    <row r="1513" spans="1:24" ht="15" customHeight="1" x14ac:dyDescent="0.25">
      <c r="A1513" s="55"/>
      <c r="B1513" s="55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143"/>
      <c r="N1513" s="143"/>
      <c r="O1513" s="28"/>
      <c r="P1513" s="28"/>
      <c r="Q1513" s="28"/>
      <c r="R1513" s="143"/>
      <c r="S1513" s="143"/>
      <c r="T1513" s="143"/>
      <c r="U1513" s="143"/>
      <c r="V1513" s="143"/>
      <c r="W1513" s="143"/>
      <c r="X1513" s="143"/>
    </row>
    <row r="1514" spans="1:24" ht="15" customHeight="1" x14ac:dyDescent="0.25">
      <c r="A1514" s="55"/>
      <c r="B1514" s="55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143"/>
      <c r="N1514" s="143"/>
      <c r="O1514" s="28"/>
      <c r="P1514" s="28"/>
      <c r="Q1514" s="28"/>
      <c r="R1514" s="143"/>
      <c r="S1514" s="143"/>
      <c r="T1514" s="143"/>
      <c r="U1514" s="143"/>
      <c r="V1514" s="143"/>
      <c r="W1514" s="143"/>
      <c r="X1514" s="143"/>
    </row>
    <row r="1515" spans="1:24" ht="15" customHeight="1" x14ac:dyDescent="0.25">
      <c r="A1515" s="55"/>
      <c r="B1515" s="55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143"/>
      <c r="N1515" s="143"/>
      <c r="O1515" s="28"/>
      <c r="P1515" s="28"/>
      <c r="Q1515" s="28"/>
      <c r="R1515" s="143"/>
      <c r="S1515" s="143"/>
      <c r="T1515" s="143"/>
      <c r="U1515" s="143"/>
      <c r="V1515" s="143"/>
      <c r="W1515" s="143"/>
      <c r="X1515" s="143"/>
    </row>
    <row r="1516" spans="1:24" ht="15" customHeight="1" x14ac:dyDescent="0.25">
      <c r="A1516" s="55"/>
      <c r="B1516" s="55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143"/>
      <c r="N1516" s="143"/>
      <c r="O1516" s="28"/>
      <c r="P1516" s="28"/>
      <c r="Q1516" s="28"/>
      <c r="R1516" s="143"/>
      <c r="S1516" s="143"/>
      <c r="T1516" s="143"/>
      <c r="U1516" s="143"/>
      <c r="V1516" s="143"/>
      <c r="W1516" s="143"/>
      <c r="X1516" s="143"/>
    </row>
    <row r="1517" spans="1:24" ht="15" customHeight="1" x14ac:dyDescent="0.25">
      <c r="A1517" s="55"/>
      <c r="B1517" s="55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143"/>
      <c r="N1517" s="143"/>
      <c r="O1517" s="28"/>
      <c r="P1517" s="28"/>
      <c r="Q1517" s="28"/>
      <c r="R1517" s="143"/>
      <c r="S1517" s="143"/>
      <c r="T1517" s="143"/>
      <c r="U1517" s="143"/>
      <c r="V1517" s="143"/>
      <c r="W1517" s="143"/>
      <c r="X1517" s="143"/>
    </row>
    <row r="1518" spans="1:24" ht="15" customHeight="1" x14ac:dyDescent="0.25">
      <c r="A1518" s="55"/>
      <c r="B1518" s="55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143"/>
      <c r="N1518" s="143"/>
      <c r="O1518" s="28"/>
      <c r="P1518" s="28"/>
      <c r="Q1518" s="28"/>
      <c r="R1518" s="143"/>
      <c r="S1518" s="143"/>
      <c r="T1518" s="143"/>
      <c r="U1518" s="143"/>
      <c r="V1518" s="143"/>
      <c r="W1518" s="143"/>
      <c r="X1518" s="143"/>
    </row>
    <row r="1519" spans="1:24" ht="15" customHeight="1" x14ac:dyDescent="0.25">
      <c r="A1519" s="55"/>
      <c r="B1519" s="55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143"/>
      <c r="N1519" s="143"/>
      <c r="O1519" s="28"/>
      <c r="P1519" s="28"/>
      <c r="Q1519" s="28"/>
      <c r="R1519" s="143"/>
      <c r="S1519" s="143"/>
      <c r="T1519" s="143"/>
      <c r="U1519" s="143"/>
      <c r="V1519" s="143"/>
      <c r="W1519" s="143"/>
      <c r="X1519" s="143"/>
    </row>
    <row r="1520" spans="1:24" ht="15" customHeight="1" x14ac:dyDescent="0.25">
      <c r="A1520" s="55"/>
      <c r="B1520" s="55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143"/>
      <c r="N1520" s="143"/>
      <c r="O1520" s="28"/>
      <c r="P1520" s="28"/>
      <c r="Q1520" s="28"/>
      <c r="R1520" s="143"/>
      <c r="S1520" s="143"/>
      <c r="T1520" s="143"/>
      <c r="U1520" s="143"/>
      <c r="V1520" s="143"/>
      <c r="W1520" s="143"/>
      <c r="X1520" s="143"/>
    </row>
    <row r="1521" spans="1:24" ht="15" customHeight="1" x14ac:dyDescent="0.25">
      <c r="A1521" s="55"/>
      <c r="B1521" s="55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143"/>
      <c r="N1521" s="143"/>
      <c r="O1521" s="28"/>
      <c r="P1521" s="28"/>
      <c r="Q1521" s="28"/>
      <c r="R1521" s="143"/>
      <c r="S1521" s="143"/>
      <c r="T1521" s="143"/>
      <c r="U1521" s="143"/>
      <c r="V1521" s="143"/>
      <c r="W1521" s="143"/>
      <c r="X1521" s="143"/>
    </row>
    <row r="1522" spans="1:24" ht="15" customHeight="1" x14ac:dyDescent="0.25">
      <c r="A1522" s="55"/>
      <c r="B1522" s="55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143"/>
      <c r="N1522" s="143"/>
      <c r="O1522" s="28"/>
      <c r="P1522" s="28"/>
      <c r="Q1522" s="28"/>
      <c r="R1522" s="143"/>
      <c r="S1522" s="143"/>
      <c r="T1522" s="143"/>
      <c r="U1522" s="143"/>
      <c r="V1522" s="143"/>
      <c r="W1522" s="143"/>
      <c r="X1522" s="143"/>
    </row>
    <row r="1523" spans="1:24" ht="15" customHeight="1" x14ac:dyDescent="0.25">
      <c r="A1523" s="55"/>
      <c r="B1523" s="55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143"/>
      <c r="N1523" s="143"/>
      <c r="O1523" s="28"/>
      <c r="P1523" s="28"/>
      <c r="Q1523" s="28"/>
      <c r="R1523" s="143"/>
      <c r="S1523" s="143"/>
      <c r="T1523" s="143"/>
      <c r="U1523" s="143"/>
      <c r="V1523" s="143"/>
      <c r="W1523" s="143"/>
      <c r="X1523" s="143"/>
    </row>
    <row r="1524" spans="1:24" ht="15" customHeight="1" x14ac:dyDescent="0.25">
      <c r="A1524" s="55"/>
      <c r="B1524" s="55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143"/>
      <c r="N1524" s="143"/>
      <c r="O1524" s="28"/>
      <c r="P1524" s="28"/>
      <c r="Q1524" s="28"/>
      <c r="R1524" s="143"/>
      <c r="S1524" s="143"/>
      <c r="T1524" s="143"/>
      <c r="U1524" s="143"/>
      <c r="V1524" s="143"/>
      <c r="W1524" s="143"/>
      <c r="X1524" s="14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7"/>
  <dimension ref="A1:P66"/>
  <sheetViews>
    <sheetView showGridLines="0" workbookViewId="0">
      <selection sqref="A1:P1"/>
    </sheetView>
  </sheetViews>
  <sheetFormatPr defaultColWidth="8.5703125" defaultRowHeight="15" x14ac:dyDescent="0.25"/>
  <cols>
    <col min="1" max="1" width="18" customWidth="1"/>
    <col min="2" max="2" width="14" customWidth="1"/>
    <col min="3" max="4" width="16" customWidth="1"/>
    <col min="5" max="6" width="15" customWidth="1"/>
    <col min="7" max="7" width="36" customWidth="1"/>
    <col min="8" max="17" width="15" customWidth="1"/>
  </cols>
  <sheetData>
    <row r="1" spans="1:16" ht="27.95" customHeight="1" x14ac:dyDescent="0.25">
      <c r="A1" s="434" t="s">
        <v>1283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</row>
    <row r="2" spans="1:16" ht="27.95" customHeight="1" x14ac:dyDescent="0.25">
      <c r="A2" s="380" t="s">
        <v>1284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  <c r="P2" s="393"/>
    </row>
    <row r="3" spans="1:16" ht="24" customHeight="1" x14ac:dyDescent="0.25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ht="24" customHeight="1" x14ac:dyDescent="0.25">
      <c r="A4" s="435" t="s">
        <v>1</v>
      </c>
      <c r="B4" s="436"/>
      <c r="C4" s="437"/>
      <c r="D4" s="435" t="s">
        <v>2</v>
      </c>
      <c r="E4" s="436"/>
      <c r="F4" s="437"/>
      <c r="G4" s="435" t="s">
        <v>3</v>
      </c>
      <c r="H4" s="436"/>
      <c r="I4" s="437"/>
      <c r="J4" s="435" t="s">
        <v>4</v>
      </c>
      <c r="K4" s="436"/>
      <c r="L4" s="437"/>
      <c r="M4" s="435" t="s">
        <v>1285</v>
      </c>
      <c r="N4" s="436"/>
      <c r="O4" s="437"/>
      <c r="P4" s="143"/>
    </row>
    <row r="5" spans="1:16" ht="24" customHeight="1" x14ac:dyDescent="0.25">
      <c r="A5" s="442">
        <f>Apontamento_Montagem!$C$15</f>
        <v>817</v>
      </c>
      <c r="B5" s="443"/>
      <c r="C5" s="444"/>
      <c r="D5" s="442">
        <f>Apontamento_Montagem!$D$15</f>
        <v>299</v>
      </c>
      <c r="E5" s="443"/>
      <c r="F5" s="444"/>
      <c r="G5" s="447">
        <f>IFERROR(Apontamento_Montagem!$D$15/Apontamento_Montagem!$C$15,0)</f>
        <v>0.3659730722154223</v>
      </c>
      <c r="H5" s="443"/>
      <c r="I5" s="444"/>
      <c r="J5" s="442" t="e">
        <f>COUNTIF(Controle_Materiais!$AT:$AT,"CRÍTICO")+COUNTIF(Fixadores!#REF!,"CRÍTICO")</f>
        <v>#REF!</v>
      </c>
      <c r="K5" s="443"/>
      <c r="L5" s="444"/>
      <c r="M5" s="442" t="e">
        <f>COUNTIF(Controle_Materiais!$AT:$AT,"ATENÇÃO")+COUNTIF(Fixadores!#REF!,"ATENÇÃO")</f>
        <v>#REF!</v>
      </c>
      <c r="N5" s="443"/>
      <c r="O5" s="444"/>
      <c r="P5" s="143"/>
    </row>
    <row r="6" spans="1:16" ht="24" customHeight="1" x14ac:dyDescent="0.25">
      <c r="A6" s="445"/>
      <c r="B6" s="431"/>
      <c r="C6" s="446"/>
      <c r="D6" s="445"/>
      <c r="E6" s="431"/>
      <c r="F6" s="446"/>
      <c r="G6" s="445"/>
      <c r="H6" s="431"/>
      <c r="I6" s="446"/>
      <c r="J6" s="445"/>
      <c r="K6" s="431"/>
      <c r="L6" s="446"/>
      <c r="M6" s="445"/>
      <c r="N6" s="431"/>
      <c r="O6" s="446"/>
      <c r="P6" s="143"/>
    </row>
    <row r="7" spans="1:16" ht="24" customHeight="1" x14ac:dyDescent="0.25">
      <c r="A7" s="143"/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</row>
    <row r="8" spans="1:16" ht="24" customHeight="1" x14ac:dyDescent="0.25">
      <c r="A8" s="143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</row>
    <row r="9" spans="1:16" ht="24" customHeight="1" x14ac:dyDescent="0.25">
      <c r="A9" s="379" t="s">
        <v>7</v>
      </c>
      <c r="B9" s="393"/>
      <c r="C9" s="393"/>
      <c r="D9" s="393"/>
      <c r="E9" s="393"/>
      <c r="F9" s="393"/>
      <c r="G9" s="393"/>
      <c r="H9" s="393"/>
      <c r="I9" s="143"/>
      <c r="J9" s="379" t="s">
        <v>8</v>
      </c>
      <c r="K9" s="393"/>
      <c r="L9" s="393"/>
      <c r="M9" s="393"/>
      <c r="N9" s="393"/>
      <c r="O9" s="393"/>
      <c r="P9" s="393"/>
    </row>
    <row r="10" spans="1:16" ht="24" customHeight="1" x14ac:dyDescent="0.25">
      <c r="A10" s="116" t="s">
        <v>9</v>
      </c>
      <c r="B10" s="116" t="s">
        <v>10</v>
      </c>
      <c r="C10" s="116" t="s">
        <v>11</v>
      </c>
      <c r="D10" s="116" t="s">
        <v>12</v>
      </c>
      <c r="E10" s="116" t="s">
        <v>13</v>
      </c>
      <c r="F10" s="116" t="s">
        <v>14</v>
      </c>
      <c r="G10" s="116" t="s">
        <v>15</v>
      </c>
      <c r="H10" s="116" t="s">
        <v>16</v>
      </c>
      <c r="I10" s="143"/>
      <c r="J10" s="117" t="s">
        <v>1286</v>
      </c>
      <c r="K10" s="117" t="s">
        <v>1287</v>
      </c>
      <c r="L10" s="117" t="s">
        <v>1288</v>
      </c>
      <c r="M10" s="143"/>
      <c r="N10" s="143"/>
      <c r="O10" s="143"/>
      <c r="P10" s="143"/>
    </row>
    <row r="11" spans="1:16" ht="24" customHeight="1" x14ac:dyDescent="0.25">
      <c r="A11" s="83" t="str">
        <f>Apontamento_Montagem!A19</f>
        <v>SETOR 01</v>
      </c>
      <c r="B11" s="83">
        <f>Apontamento_Montagem!B19</f>
        <v>0</v>
      </c>
      <c r="C11" s="83" t="str">
        <f>Apontamento_Montagem!C19</f>
        <v>P1</v>
      </c>
      <c r="D11" s="83" t="str">
        <f>Apontamento_Montagem!D19</f>
        <v>NÃO</v>
      </c>
      <c r="E11" s="83">
        <f>Apontamento_Montagem!G19</f>
        <v>0</v>
      </c>
      <c r="F11" s="83">
        <f>Apontamento_Montagem!K19</f>
        <v>0</v>
      </c>
      <c r="G11" s="85">
        <f>Apontamento_Montagem!F19</f>
        <v>0</v>
      </c>
      <c r="H11" s="83" t="str">
        <f>Apontamento_Montagem!L19</f>
        <v>PENDENTE</v>
      </c>
      <c r="I11" s="143"/>
      <c r="J11" s="83" t="s">
        <v>21</v>
      </c>
      <c r="K11" s="83">
        <f>COUNTIF(Controle_Materiais!$AT:$AT,"OK")</f>
        <v>178</v>
      </c>
      <c r="L11" s="83" t="e">
        <f>COUNTIF(Fixadores!#REF!,"OK")</f>
        <v>#REF!</v>
      </c>
      <c r="M11" s="143"/>
      <c r="N11" s="143"/>
      <c r="O11" s="143"/>
      <c r="P11" s="143"/>
    </row>
    <row r="12" spans="1:16" ht="24" customHeight="1" x14ac:dyDescent="0.25">
      <c r="A12" s="83" t="str">
        <f>Apontamento_Montagem!A20</f>
        <v>SETOR 02</v>
      </c>
      <c r="B12" s="83">
        <f>Apontamento_Montagem!B20</f>
        <v>0</v>
      </c>
      <c r="C12" s="83" t="str">
        <f>Apontamento_Montagem!C20</f>
        <v>P2</v>
      </c>
      <c r="D12" s="83" t="str">
        <f>Apontamento_Montagem!D20</f>
        <v>NÃO</v>
      </c>
      <c r="E12" s="83">
        <f>Apontamento_Montagem!G20</f>
        <v>0</v>
      </c>
      <c r="F12" s="83">
        <f>Apontamento_Montagem!K20</f>
        <v>0</v>
      </c>
      <c r="G12" s="85">
        <f>Apontamento_Montagem!F20</f>
        <v>0</v>
      </c>
      <c r="H12" s="83" t="str">
        <f>Apontamento_Montagem!L20</f>
        <v>PENDENTE</v>
      </c>
      <c r="I12" s="143"/>
      <c r="J12" s="83" t="s">
        <v>24</v>
      </c>
      <c r="K12" s="83">
        <f>COUNTIF(Controle_Materiais!$AT:$AT,"ATENÇÃO")</f>
        <v>5</v>
      </c>
      <c r="L12" s="83" t="e">
        <f>COUNTIF(Fixadores!#REF!,"ATENÇÃO")</f>
        <v>#REF!</v>
      </c>
      <c r="M12" s="143"/>
      <c r="N12" s="143"/>
      <c r="O12" s="143"/>
      <c r="P12" s="143"/>
    </row>
    <row r="13" spans="1:16" ht="24" customHeight="1" x14ac:dyDescent="0.25">
      <c r="A13" s="83" t="str">
        <f>Apontamento_Montagem!A21</f>
        <v>SETOR 03</v>
      </c>
      <c r="B13" s="83">
        <f>Apontamento_Montagem!B21</f>
        <v>0</v>
      </c>
      <c r="C13" s="83" t="str">
        <f>Apontamento_Montagem!C21</f>
        <v>P3</v>
      </c>
      <c r="D13" s="83" t="str">
        <f>Apontamento_Montagem!D21</f>
        <v>NÃO</v>
      </c>
      <c r="E13" s="83">
        <f>Apontamento_Montagem!G21</f>
        <v>0</v>
      </c>
      <c r="F13" s="83">
        <f>Apontamento_Montagem!K21</f>
        <v>0</v>
      </c>
      <c r="G13" s="85">
        <f>Apontamento_Montagem!F21</f>
        <v>0</v>
      </c>
      <c r="H13" s="83" t="str">
        <f>Apontamento_Montagem!L21</f>
        <v>PENDENTE</v>
      </c>
      <c r="I13" s="143"/>
      <c r="J13" s="83" t="s">
        <v>27</v>
      </c>
      <c r="K13" s="83">
        <f>COUNTIF(Controle_Materiais!$AT:$AT,"CRÍTICO")</f>
        <v>3</v>
      </c>
      <c r="L13" s="83" t="e">
        <f>COUNTIF(Fixadores!#REF!,"CRÍTICO")</f>
        <v>#REF!</v>
      </c>
      <c r="M13" s="143"/>
      <c r="N13" s="143"/>
      <c r="O13" s="143"/>
      <c r="P13" s="143"/>
    </row>
    <row r="14" spans="1:16" ht="24" customHeight="1" x14ac:dyDescent="0.25">
      <c r="A14" s="83" t="str">
        <f>Apontamento_Montagem!A22</f>
        <v>SETOR 04</v>
      </c>
      <c r="B14" s="83">
        <f>Apontamento_Montagem!B22</f>
        <v>0</v>
      </c>
      <c r="C14" s="83" t="str">
        <f>Apontamento_Montagem!C22</f>
        <v>P4</v>
      </c>
      <c r="D14" s="83" t="str">
        <f>Apontamento_Montagem!D22</f>
        <v>NÃO</v>
      </c>
      <c r="E14" s="83">
        <f>Apontamento_Montagem!G22</f>
        <v>0</v>
      </c>
      <c r="F14" s="83">
        <f>Apontamento_Montagem!K22</f>
        <v>0</v>
      </c>
      <c r="G14" s="85">
        <f>Apontamento_Montagem!F22</f>
        <v>0</v>
      </c>
      <c r="H14" s="83" t="str">
        <f>Apontamento_Montagem!L22</f>
        <v>PENDENTE</v>
      </c>
      <c r="I14" s="143"/>
      <c r="J14" s="83" t="s">
        <v>1289</v>
      </c>
      <c r="K14" s="83">
        <f>SUM(Controle_Materiais!$AU:$AU)</f>
        <v>1181512</v>
      </c>
      <c r="L14" s="83" t="e">
        <f>SUM(Fixadores!$N:$N)</f>
        <v>#REF!</v>
      </c>
      <c r="M14" s="143"/>
      <c r="N14" s="143"/>
      <c r="O14" s="143"/>
      <c r="P14" s="143"/>
    </row>
    <row r="15" spans="1:16" ht="24" customHeight="1" x14ac:dyDescent="0.25">
      <c r="A15" s="83" t="str">
        <f>Apontamento_Montagem!A23</f>
        <v>SETOR 05</v>
      </c>
      <c r="B15" s="83">
        <f>Apontamento_Montagem!B23</f>
        <v>0</v>
      </c>
      <c r="C15" s="83" t="str">
        <f>Apontamento_Montagem!C23</f>
        <v>P5</v>
      </c>
      <c r="D15" s="83" t="str">
        <f>Apontamento_Montagem!D23</f>
        <v>NÃO</v>
      </c>
      <c r="E15" s="83">
        <f>Apontamento_Montagem!G23</f>
        <v>0</v>
      </c>
      <c r="F15" s="83">
        <f>Apontamento_Montagem!K23</f>
        <v>0</v>
      </c>
      <c r="G15" s="85">
        <f>Apontamento_Montagem!F23</f>
        <v>0</v>
      </c>
      <c r="H15" s="83" t="str">
        <f>Apontamento_Montagem!L23</f>
        <v>PENDENTE</v>
      </c>
      <c r="I15" s="143"/>
      <c r="J15" s="143"/>
      <c r="K15" s="143"/>
      <c r="L15" s="143"/>
      <c r="M15" s="143"/>
      <c r="N15" s="143"/>
      <c r="O15" s="143"/>
      <c r="P15" s="143"/>
    </row>
    <row r="16" spans="1:16" ht="24" customHeight="1" x14ac:dyDescent="0.25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</row>
    <row r="17" spans="1:16" ht="24" customHeight="1" x14ac:dyDescent="0.25">
      <c r="A17" s="143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</row>
    <row r="18" spans="1:16" ht="24" customHeight="1" x14ac:dyDescent="0.25">
      <c r="A18" s="448" t="s">
        <v>1290</v>
      </c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  <c r="M18" s="393"/>
      <c r="N18" s="393"/>
      <c r="O18" s="393"/>
      <c r="P18" s="393"/>
    </row>
    <row r="19" spans="1:16" ht="24" customHeight="1" x14ac:dyDescent="0.25">
      <c r="A19" s="63" t="s">
        <v>1291</v>
      </c>
      <c r="B19" s="378" t="e">
        <f>IF(J5&gt;0,"Existem itens críticos: verificar Controle_Materiais e Fixadores.","Sem itens críticos no momento.")</f>
        <v>#REF!</v>
      </c>
      <c r="C19" s="393"/>
      <c r="D19" s="393"/>
      <c r="E19" s="393"/>
      <c r="F19" s="393"/>
      <c r="G19" s="393"/>
      <c r="H19" s="393"/>
      <c r="I19" s="393"/>
      <c r="J19" s="393"/>
      <c r="K19" s="393"/>
      <c r="L19" s="393"/>
      <c r="M19" s="393"/>
      <c r="N19" s="393"/>
      <c r="O19" s="393"/>
      <c r="P19" s="393"/>
    </row>
    <row r="20" spans="1:16" ht="24" customHeight="1" x14ac:dyDescent="0.25">
      <c r="A20" s="63" t="s">
        <v>1292</v>
      </c>
      <c r="B20" s="378" t="str">
        <f>IFERROR(INDEX(A11:A15,MATCH("PENDENTE",H11:H15,0)),"Todas as ruas concluídas/liberadas")</f>
        <v>SETOR 01</v>
      </c>
      <c r="C20" s="393"/>
      <c r="D20" s="393"/>
      <c r="E20" s="393"/>
      <c r="F20" s="393"/>
      <c r="G20" s="393"/>
      <c r="H20" s="393"/>
      <c r="I20" s="393"/>
      <c r="J20" s="393"/>
      <c r="K20" s="393"/>
      <c r="L20" s="393"/>
      <c r="M20" s="393"/>
      <c r="N20" s="393"/>
      <c r="O20" s="393"/>
      <c r="P20" s="393"/>
    </row>
    <row r="21" spans="1:16" ht="24" customHeight="1" x14ac:dyDescent="0.25">
      <c r="A21" s="63" t="s">
        <v>1293</v>
      </c>
      <c r="B21" s="378" t="e">
        <f>IF(M5&gt;0,"Há itens em atenção: programar compra/remessa preventiva.","Sem alerta preventivo.")</f>
        <v>#REF!</v>
      </c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393"/>
      <c r="O21" s="393"/>
      <c r="P21" s="393"/>
    </row>
    <row r="22" spans="1:16" ht="24" customHeight="1" x14ac:dyDescent="0.25">
      <c r="A22" s="63" t="s">
        <v>1294</v>
      </c>
      <c r="B22" s="378" t="s">
        <v>1295</v>
      </c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</row>
    <row r="23" spans="1:16" ht="24" customHeight="1" x14ac:dyDescent="0.25">
      <c r="A23" s="143"/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</row>
    <row r="24" spans="1:16" ht="24" customHeight="1" x14ac:dyDescent="0.25">
      <c r="A24" s="143"/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</row>
    <row r="25" spans="1:16" ht="24" customHeight="1" x14ac:dyDescent="0.25">
      <c r="A25" s="14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</row>
    <row r="26" spans="1:16" ht="24" customHeight="1" x14ac:dyDescent="0.25">
      <c r="A26" s="143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</row>
    <row r="27" spans="1:16" ht="24" customHeight="1" x14ac:dyDescent="0.25">
      <c r="A27" s="143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</row>
    <row r="28" spans="1:16" ht="24" customHeight="1" x14ac:dyDescent="0.25">
      <c r="A28" s="143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</row>
    <row r="29" spans="1:16" ht="24" customHeight="1" x14ac:dyDescent="0.25">
      <c r="A29" s="143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</row>
    <row r="30" spans="1:16" ht="24" customHeight="1" x14ac:dyDescent="0.25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6" ht="24" customHeight="1" x14ac:dyDescent="0.25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</row>
    <row r="32" spans="1:16" ht="24" customHeight="1" x14ac:dyDescent="0.25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</row>
    <row r="33" spans="1:16" ht="24" customHeight="1" x14ac:dyDescent="0.25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</row>
    <row r="34" spans="1:16" ht="24" customHeight="1" x14ac:dyDescent="0.25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</row>
    <row r="35" spans="1:16" ht="24" customHeight="1" x14ac:dyDescent="0.25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</row>
    <row r="36" spans="1:16" ht="24" customHeight="1" x14ac:dyDescent="0.25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</row>
    <row r="37" spans="1:16" ht="24" customHeight="1" x14ac:dyDescent="0.25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</row>
    <row r="38" spans="1:16" ht="24" customHeight="1" x14ac:dyDescent="0.25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</row>
    <row r="39" spans="1:16" ht="24" customHeight="1" x14ac:dyDescent="0.25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</row>
    <row r="40" spans="1:16" ht="24" customHeight="1" x14ac:dyDescent="0.25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</row>
    <row r="41" spans="1:16" ht="24" customHeight="1" x14ac:dyDescent="0.25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</row>
    <row r="42" spans="1:16" ht="24" customHeight="1" x14ac:dyDescent="0.25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</row>
    <row r="43" spans="1:16" ht="24" customHeight="1" x14ac:dyDescent="0.25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</row>
    <row r="44" spans="1:16" ht="24" customHeight="1" x14ac:dyDescent="0.25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</row>
    <row r="45" spans="1:16" ht="24" customHeight="1" x14ac:dyDescent="0.25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</row>
    <row r="46" spans="1:16" ht="24" customHeight="1" x14ac:dyDescent="0.25"/>
    <row r="47" spans="1:16" ht="24" customHeight="1" x14ac:dyDescent="0.25">
      <c r="A47" s="449" t="s">
        <v>1296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M47" s="393"/>
      <c r="N47" s="393"/>
      <c r="O47" s="393"/>
      <c r="P47" s="393"/>
    </row>
    <row r="48" spans="1:16" ht="24" customHeight="1" x14ac:dyDescent="0.25"/>
    <row r="49" spans="1:15" ht="24" customHeight="1" x14ac:dyDescent="0.25">
      <c r="A49" s="441" t="s">
        <v>1297</v>
      </c>
      <c r="B49" s="439"/>
      <c r="C49" s="440"/>
      <c r="E49" s="441" t="s">
        <v>1298</v>
      </c>
      <c r="F49" s="439"/>
      <c r="G49" s="440"/>
      <c r="I49" s="441" t="s">
        <v>1299</v>
      </c>
      <c r="J49" s="439"/>
      <c r="K49" s="440"/>
      <c r="M49" s="441" t="s">
        <v>1300</v>
      </c>
      <c r="N49" s="439"/>
      <c r="O49" s="440"/>
    </row>
    <row r="50" spans="1:15" ht="24" customHeight="1" x14ac:dyDescent="0.35">
      <c r="A50" s="438">
        <f>COUNTIF(Controle_Materiais!$AY:$AY,"MAPEADO")</f>
        <v>0</v>
      </c>
      <c r="B50" s="439"/>
      <c r="C50" s="440"/>
      <c r="E50" s="438">
        <f>COUNTIF(Controle_Materiais!$AY:$AY,"TAG COMUM*")</f>
        <v>0</v>
      </c>
      <c r="F50" s="439"/>
      <c r="G50" s="440"/>
      <c r="I50" s="438">
        <f>COUNTIF(Controle_Materiais!$AY:$AY,"VERIFICAR MAPA")</f>
        <v>0</v>
      </c>
      <c r="J50" s="439"/>
      <c r="K50" s="440"/>
      <c r="M50" s="438">
        <f>COUNTIF(Controle_Materiais!$BA:$BA,"BAIXADO")</f>
        <v>0</v>
      </c>
      <c r="N50" s="439"/>
      <c r="O50" s="440"/>
    </row>
    <row r="51" spans="1:15" ht="24" customHeight="1" x14ac:dyDescent="0.25"/>
    <row r="52" spans="1:15" ht="24" customHeight="1" x14ac:dyDescent="0.25"/>
    <row r="53" spans="1:15" ht="24" customHeight="1" x14ac:dyDescent="0.25">
      <c r="A53" s="108" t="s">
        <v>9</v>
      </c>
      <c r="B53" s="108" t="s">
        <v>1301</v>
      </c>
      <c r="C53" s="108" t="s">
        <v>67</v>
      </c>
      <c r="D53" s="108" t="s">
        <v>12</v>
      </c>
      <c r="E53" s="108" t="s">
        <v>69</v>
      </c>
      <c r="F53" s="108" t="s">
        <v>73</v>
      </c>
      <c r="G53" s="108" t="s">
        <v>16</v>
      </c>
    </row>
    <row r="54" spans="1:15" ht="24" customHeight="1" x14ac:dyDescent="0.25">
      <c r="A54" s="67" t="str">
        <f>Apontamento_Montagem!A19</f>
        <v>SETOR 01</v>
      </c>
      <c r="B54" s="67">
        <f>Apontamento_Montagem!B19</f>
        <v>0</v>
      </c>
      <c r="C54" s="67" t="str">
        <f>Apontamento_Montagem!C19</f>
        <v>P1</v>
      </c>
      <c r="D54" s="67" t="str">
        <f>Apontamento_Montagem!D19</f>
        <v>NÃO</v>
      </c>
      <c r="E54" s="67">
        <f>Apontamento_Montagem!G19</f>
        <v>0</v>
      </c>
      <c r="F54" s="67">
        <f>Apontamento_Montagem!K19</f>
        <v>0</v>
      </c>
      <c r="G54" s="67" t="str">
        <f>Apontamento_Montagem!L19</f>
        <v>PENDENTE</v>
      </c>
    </row>
    <row r="55" spans="1:15" ht="24" customHeight="1" x14ac:dyDescent="0.25">
      <c r="A55" s="67" t="str">
        <f>Apontamento_Montagem!A20</f>
        <v>SETOR 02</v>
      </c>
      <c r="B55" s="67">
        <f>Apontamento_Montagem!B20</f>
        <v>0</v>
      </c>
      <c r="C55" s="67" t="str">
        <f>Apontamento_Montagem!C20</f>
        <v>P2</v>
      </c>
      <c r="D55" s="67" t="str">
        <f>Apontamento_Montagem!D20</f>
        <v>NÃO</v>
      </c>
      <c r="E55" s="67">
        <f>Apontamento_Montagem!G20</f>
        <v>0</v>
      </c>
      <c r="F55" s="67">
        <f>Apontamento_Montagem!K20</f>
        <v>0</v>
      </c>
      <c r="G55" s="67" t="str">
        <f>Apontamento_Montagem!L20</f>
        <v>PENDENTE</v>
      </c>
    </row>
    <row r="56" spans="1:15" ht="24" customHeight="1" x14ac:dyDescent="0.25">
      <c r="A56" s="67" t="str">
        <f>Apontamento_Montagem!A21</f>
        <v>SETOR 03</v>
      </c>
      <c r="B56" s="67">
        <f>Apontamento_Montagem!B21</f>
        <v>0</v>
      </c>
      <c r="C56" s="67" t="str">
        <f>Apontamento_Montagem!C21</f>
        <v>P3</v>
      </c>
      <c r="D56" s="67" t="str">
        <f>Apontamento_Montagem!D21</f>
        <v>NÃO</v>
      </c>
      <c r="E56" s="67">
        <f>Apontamento_Montagem!G21</f>
        <v>0</v>
      </c>
      <c r="F56" s="67">
        <f>Apontamento_Montagem!K21</f>
        <v>0</v>
      </c>
      <c r="G56" s="67" t="str">
        <f>Apontamento_Montagem!L21</f>
        <v>PENDENTE</v>
      </c>
    </row>
    <row r="57" spans="1:15" ht="24" customHeight="1" x14ac:dyDescent="0.25">
      <c r="A57" s="67" t="str">
        <f>Apontamento_Montagem!A22</f>
        <v>SETOR 04</v>
      </c>
      <c r="B57" s="67">
        <f>Apontamento_Montagem!B22</f>
        <v>0</v>
      </c>
      <c r="C57" s="67" t="str">
        <f>Apontamento_Montagem!C22</f>
        <v>P4</v>
      </c>
      <c r="D57" s="67" t="str">
        <f>Apontamento_Montagem!D22</f>
        <v>NÃO</v>
      </c>
      <c r="E57" s="67">
        <f>Apontamento_Montagem!G22</f>
        <v>0</v>
      </c>
      <c r="F57" s="67">
        <f>Apontamento_Montagem!K22</f>
        <v>0</v>
      </c>
      <c r="G57" s="67" t="str">
        <f>Apontamento_Montagem!L22</f>
        <v>PENDENTE</v>
      </c>
    </row>
    <row r="58" spans="1:15" ht="24" customHeight="1" x14ac:dyDescent="0.25">
      <c r="A58" s="67" t="str">
        <f>Apontamento_Montagem!A23</f>
        <v>SETOR 05</v>
      </c>
      <c r="B58" s="67">
        <f>Apontamento_Montagem!B23</f>
        <v>0</v>
      </c>
      <c r="C58" s="67" t="str">
        <f>Apontamento_Montagem!C23</f>
        <v>P5</v>
      </c>
      <c r="D58" s="67" t="str">
        <f>Apontamento_Montagem!D23</f>
        <v>NÃO</v>
      </c>
      <c r="E58" s="67">
        <f>Apontamento_Montagem!G23</f>
        <v>0</v>
      </c>
      <c r="F58" s="67">
        <f>Apontamento_Montagem!K23</f>
        <v>0</v>
      </c>
      <c r="G58" s="67" t="str">
        <f>Apontamento_Montagem!L23</f>
        <v>PENDENTE</v>
      </c>
    </row>
    <row r="59" spans="1:15" ht="24" customHeight="1" x14ac:dyDescent="0.25"/>
    <row r="60" spans="1:15" ht="24" customHeight="1" x14ac:dyDescent="0.25"/>
    <row r="61" spans="1:15" ht="24" customHeight="1" x14ac:dyDescent="0.25">
      <c r="A61" s="433" t="s">
        <v>1302</v>
      </c>
      <c r="B61" s="393"/>
      <c r="C61" s="393"/>
      <c r="D61" s="393"/>
      <c r="E61" s="393"/>
      <c r="F61" s="393"/>
    </row>
    <row r="62" spans="1:15" ht="24" customHeight="1" x14ac:dyDescent="0.25">
      <c r="A62" s="74" t="s">
        <v>1303</v>
      </c>
      <c r="B62" s="75">
        <f>COUNTA(Mapa_Tercas_DM002!A5:A38)</f>
        <v>1</v>
      </c>
    </row>
    <row r="63" spans="1:15" ht="24" customHeight="1" x14ac:dyDescent="0.25">
      <c r="A63" s="74" t="s">
        <v>1304</v>
      </c>
      <c r="B63" s="75">
        <f>COUNTIF(Mapa_Tercas_DM002!D5:D38,"TAG PARTICULAR DE RUA")</f>
        <v>0</v>
      </c>
    </row>
    <row r="64" spans="1:15" ht="24" customHeight="1" x14ac:dyDescent="0.25">
      <c r="A64" s="74" t="s">
        <v>1305</v>
      </c>
      <c r="B64" s="75">
        <f>COUNTIF(Mapa_Tercas_DM002!D5:D38,"TAG COMUM / MULTIRUA")</f>
        <v>0</v>
      </c>
    </row>
    <row r="65" spans="1:2" ht="24" customHeight="1" x14ac:dyDescent="0.25">
      <c r="A65" s="74" t="s">
        <v>1306</v>
      </c>
      <c r="B65" s="75">
        <f>COUNTIF(Mapa_Tercas_DM002!D5:D38,"PENDENTE DE MAPA")</f>
        <v>0</v>
      </c>
    </row>
    <row r="66" spans="1:2" ht="24" customHeight="1" x14ac:dyDescent="0.25"/>
  </sheetData>
  <mergeCells count="29">
    <mergeCell ref="I50:K50"/>
    <mergeCell ref="A9:H9"/>
    <mergeCell ref="A47:P47"/>
    <mergeCell ref="D5:F6"/>
    <mergeCell ref="J5:L6"/>
    <mergeCell ref="E49:G49"/>
    <mergeCell ref="B20:P20"/>
    <mergeCell ref="D4:F4"/>
    <mergeCell ref="B19:P19"/>
    <mergeCell ref="M5:O6"/>
    <mergeCell ref="G4:I4"/>
    <mergeCell ref="A4:C4"/>
    <mergeCell ref="J4:L4"/>
    <mergeCell ref="A61:F61"/>
    <mergeCell ref="B21:P21"/>
    <mergeCell ref="A2:P2"/>
    <mergeCell ref="A1:P1"/>
    <mergeCell ref="M4:O4"/>
    <mergeCell ref="J9:P9"/>
    <mergeCell ref="M50:O50"/>
    <mergeCell ref="E50:G50"/>
    <mergeCell ref="I49:K49"/>
    <mergeCell ref="A49:C49"/>
    <mergeCell ref="M49:O49"/>
    <mergeCell ref="A5:C6"/>
    <mergeCell ref="G5:I6"/>
    <mergeCell ref="B22:P22"/>
    <mergeCell ref="A18:P18"/>
    <mergeCell ref="A50:C50"/>
  </mergeCells>
  <conditionalFormatting sqref="A9:A11">
    <cfRule type="expression" dxfId="36" priority="12">
      <formula>A9="Nível 1 - Base Estrutural"</formula>
    </cfRule>
    <cfRule type="expression" dxfId="35" priority="13">
      <formula>A10="Nível 2 - Pré-montagem"</formula>
    </cfRule>
    <cfRule type="expression" dxfId="34" priority="14">
      <formula>A11="Nível 3 - Complementar"</formula>
    </cfRule>
  </conditionalFormatting>
  <conditionalFormatting sqref="A9:B10">
    <cfRule type="expression" dxfId="33" priority="2">
      <formula>A9&lt;1</formula>
    </cfRule>
  </conditionalFormatting>
  <conditionalFormatting sqref="D5">
    <cfRule type="cellIs" dxfId="32" priority="10" operator="greaterThan">
      <formula>0</formula>
    </cfRule>
  </conditionalFormatting>
  <conditionalFormatting sqref="D6">
    <cfRule type="cellIs" dxfId="31" priority="11" operator="greaterThan">
      <formula>0</formula>
    </cfRule>
  </conditionalFormatting>
  <conditionalFormatting sqref="D16:D26">
    <cfRule type="expression" dxfId="30" priority="15">
      <formula>D16="Nível 1 - Base Estrutural"</formula>
    </cfRule>
    <cfRule type="expression" dxfId="29" priority="16">
      <formula>D16="Nível 2 - Pré-montagem"</formula>
    </cfRule>
    <cfRule type="expression" dxfId="28" priority="17">
      <formula>D16="Nível 3 - Complementar"</formula>
    </cfRule>
  </conditionalFormatting>
  <conditionalFormatting sqref="D9:E10">
    <cfRule type="cellIs" dxfId="27" priority="3" operator="greaterThan">
      <formula>0</formula>
    </cfRule>
  </conditionalFormatting>
  <conditionalFormatting sqref="G9:G12">
    <cfRule type="expression" dxfId="26" priority="6">
      <formula>G9="Crítico"</formula>
    </cfRule>
    <cfRule type="expression" dxfId="25" priority="7">
      <formula>G10="Recebimento Parcial"</formula>
    </cfRule>
    <cfRule type="expression" dxfId="24" priority="8">
      <formula>G11="Atendido"</formula>
    </cfRule>
    <cfRule type="expression" dxfId="23" priority="9">
      <formula>G12="Excedente"</formula>
    </cfRule>
  </conditionalFormatting>
  <conditionalFormatting sqref="G9:H10">
    <cfRule type="cellIs" dxfId="22" priority="4" operator="greaterThan">
      <formula>0</formula>
    </cfRule>
  </conditionalFormatting>
  <conditionalFormatting sqref="H11:H15">
    <cfRule type="expression" dxfId="21" priority="21">
      <formula>H11="PENDENTE"</formula>
    </cfRule>
    <cfRule type="expression" dxfId="20" priority="21">
      <formula>ISNUMBER(SEARCH("LIBERADA",H11))</formula>
    </cfRule>
  </conditionalFormatting>
  <conditionalFormatting sqref="J9:K10">
    <cfRule type="cellIs" dxfId="19" priority="5" operator="greaterThan">
      <formula>0</formula>
    </cfRule>
  </conditionalFormatting>
  <conditionalFormatting sqref="L4:L8">
    <cfRule type="colorScale" priority="18">
      <colorScale>
        <cfvo type="min"/>
        <cfvo type="percentile" val="50"/>
        <cfvo type="max"/>
        <color rgb="FFFFFFFF"/>
        <color rgb="FFFEF3C7"/>
        <color rgb="FFDCFCE7"/>
      </colorScale>
    </cfRule>
  </conditionalFormatting>
  <conditionalFormatting sqref="O7">
    <cfRule type="expression" dxfId="18" priority="19">
      <formula>O7&lt;O5</formula>
    </cfRule>
    <cfRule type="expression" dxfId="17" priority="20">
      <formula>O7&gt;=O5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8"/>
  <dimension ref="A1:AD59"/>
  <sheetViews>
    <sheetView workbookViewId="0">
      <selection sqref="A1:AD1"/>
    </sheetView>
  </sheetViews>
  <sheetFormatPr defaultRowHeight="15" x14ac:dyDescent="0.25"/>
  <cols>
    <col min="1" max="1" width="32.7109375" customWidth="1"/>
    <col min="2" max="6" width="8.85546875" customWidth="1"/>
    <col min="7" max="7" width="5.42578125" customWidth="1"/>
    <col min="8" max="8" width="7.85546875" customWidth="1"/>
    <col min="9" max="9" width="8.5703125" customWidth="1"/>
    <col min="10" max="10" width="8.28515625" customWidth="1"/>
    <col min="11" max="11" width="8.5703125" customWidth="1"/>
    <col min="12" max="12" width="7.85546875" customWidth="1"/>
    <col min="13" max="13" width="8.7109375" customWidth="1"/>
    <col min="14" max="14" width="8" customWidth="1"/>
    <col min="15" max="15" width="8.7109375" customWidth="1"/>
    <col min="16" max="16" width="6.42578125" customWidth="1"/>
    <col min="17" max="17" width="3.85546875" customWidth="1"/>
  </cols>
  <sheetData>
    <row r="1" spans="1:30" ht="21" x14ac:dyDescent="0.35">
      <c r="A1" s="450" t="s">
        <v>1307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1"/>
      <c r="W1" s="451"/>
      <c r="X1" s="451"/>
      <c r="Y1" s="451"/>
      <c r="Z1" s="451"/>
      <c r="AA1" s="451"/>
      <c r="AB1" s="451"/>
      <c r="AC1" s="451"/>
      <c r="AD1" s="452"/>
    </row>
    <row r="2" spans="1:30" ht="72.75" x14ac:dyDescent="0.25">
      <c r="A2" s="185" t="s">
        <v>1308</v>
      </c>
      <c r="B2" s="186" t="s">
        <v>1309</v>
      </c>
      <c r="C2" s="186" t="s">
        <v>1310</v>
      </c>
      <c r="D2" s="186" t="s">
        <v>1311</v>
      </c>
      <c r="E2" s="186" t="s">
        <v>1312</v>
      </c>
      <c r="F2" s="186" t="s">
        <v>1313</v>
      </c>
      <c r="G2" s="186" t="s">
        <v>114</v>
      </c>
      <c r="H2" s="186" t="s">
        <v>1314</v>
      </c>
      <c r="I2" s="186" t="s">
        <v>1315</v>
      </c>
      <c r="J2" s="186" t="s">
        <v>1316</v>
      </c>
      <c r="K2" s="186" t="s">
        <v>1317</v>
      </c>
      <c r="L2" s="186" t="s">
        <v>1318</v>
      </c>
      <c r="M2" s="186" t="s">
        <v>1319</v>
      </c>
      <c r="N2" s="186" t="s">
        <v>1320</v>
      </c>
      <c r="O2" s="186" t="s">
        <v>1321</v>
      </c>
      <c r="P2" s="186" t="s">
        <v>1322</v>
      </c>
      <c r="Q2" s="186" t="s">
        <v>1323</v>
      </c>
      <c r="R2" s="187" t="s">
        <v>1324</v>
      </c>
      <c r="S2" s="188" t="s">
        <v>1325</v>
      </c>
      <c r="T2" s="189" t="s">
        <v>1326</v>
      </c>
      <c r="U2" s="190" t="s">
        <v>1327</v>
      </c>
      <c r="V2" s="190" t="s">
        <v>1328</v>
      </c>
      <c r="W2" s="190" t="s">
        <v>1329</v>
      </c>
      <c r="X2" s="190" t="s">
        <v>1330</v>
      </c>
      <c r="Y2" s="190" t="s">
        <v>1331</v>
      </c>
      <c r="Z2" s="190" t="s">
        <v>1328</v>
      </c>
      <c r="AA2" s="190" t="s">
        <v>1332</v>
      </c>
      <c r="AB2" s="190" t="s">
        <v>1333</v>
      </c>
      <c r="AC2" s="190" t="s">
        <v>1334</v>
      </c>
      <c r="AD2" s="191" t="s">
        <v>1335</v>
      </c>
    </row>
    <row r="3" spans="1:30" x14ac:dyDescent="0.25">
      <c r="A3" s="192" t="s">
        <v>1336</v>
      </c>
      <c r="B3" s="193"/>
      <c r="C3" s="193"/>
      <c r="D3" s="194"/>
      <c r="E3" s="194"/>
      <c r="F3" s="194"/>
      <c r="G3" s="194"/>
      <c r="H3" s="194"/>
      <c r="I3" s="194">
        <v>120</v>
      </c>
      <c r="J3" s="194"/>
      <c r="K3" s="194"/>
      <c r="L3" s="194"/>
      <c r="M3" s="194"/>
      <c r="N3" s="194"/>
      <c r="O3" s="194"/>
      <c r="P3" s="194"/>
      <c r="Q3" s="194"/>
      <c r="R3" s="195">
        <f>S3-T3</f>
        <v>0</v>
      </c>
      <c r="S3" s="195">
        <f>SUM(T3:AD3)</f>
        <v>0</v>
      </c>
      <c r="T3" s="196">
        <f>SUM(U3:AD3)</f>
        <v>0</v>
      </c>
      <c r="U3" s="197"/>
      <c r="V3" s="197"/>
      <c r="W3" s="197"/>
      <c r="X3" s="197"/>
      <c r="Y3" s="197"/>
      <c r="Z3" s="197"/>
      <c r="AA3" s="197"/>
      <c r="AB3" s="197"/>
      <c r="AC3" s="197"/>
      <c r="AD3" s="198"/>
    </row>
    <row r="4" spans="1:30" x14ac:dyDescent="0.25">
      <c r="A4" s="199" t="s">
        <v>368</v>
      </c>
      <c r="B4" s="194">
        <v>870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5">
        <f t="shared" ref="R4:R59" si="0">SUM(B4:P4)</f>
        <v>870</v>
      </c>
      <c r="S4" s="195">
        <f t="shared" ref="S4:S59" si="1">SUM(T4:AD4)</f>
        <v>920</v>
      </c>
      <c r="T4" s="196">
        <f t="shared" ref="T4:T59" si="2">SUM(U4:AD4)</f>
        <v>460</v>
      </c>
      <c r="U4" s="197"/>
      <c r="V4" s="197"/>
      <c r="W4" s="197"/>
      <c r="X4" s="197"/>
      <c r="Y4" s="197"/>
      <c r="Z4" s="197"/>
      <c r="AA4" s="197"/>
      <c r="AB4" s="197"/>
      <c r="AC4" s="197">
        <v>460</v>
      </c>
      <c r="AD4" s="198"/>
    </row>
    <row r="5" spans="1:30" x14ac:dyDescent="0.25">
      <c r="A5" s="192" t="s">
        <v>372</v>
      </c>
      <c r="B5" s="194">
        <v>7240</v>
      </c>
      <c r="C5" s="194">
        <v>6664</v>
      </c>
      <c r="D5" s="194">
        <v>706</v>
      </c>
      <c r="E5" s="194"/>
      <c r="F5" s="194"/>
      <c r="G5" s="194"/>
      <c r="H5" s="194">
        <v>216</v>
      </c>
      <c r="I5" s="194"/>
      <c r="J5" s="194">
        <v>328</v>
      </c>
      <c r="K5" s="194">
        <v>392</v>
      </c>
      <c r="L5" s="194">
        <v>76</v>
      </c>
      <c r="M5" s="194">
        <v>1152</v>
      </c>
      <c r="N5" s="194">
        <v>1328</v>
      </c>
      <c r="O5" s="194"/>
      <c r="P5" s="194"/>
      <c r="Q5" s="194"/>
      <c r="R5" s="195">
        <f t="shared" si="0"/>
        <v>18102</v>
      </c>
      <c r="S5" s="195">
        <f t="shared" si="1"/>
        <v>3700</v>
      </c>
      <c r="T5" s="196">
        <f t="shared" si="2"/>
        <v>1850</v>
      </c>
      <c r="U5" s="197"/>
      <c r="V5" s="197"/>
      <c r="W5" s="197">
        <v>50</v>
      </c>
      <c r="X5" s="197"/>
      <c r="Y5" s="197"/>
      <c r="Z5" s="197"/>
      <c r="AA5" s="197"/>
      <c r="AB5" s="197"/>
      <c r="AC5" s="197">
        <v>600</v>
      </c>
      <c r="AD5" s="198">
        <v>1200</v>
      </c>
    </row>
    <row r="6" spans="1:30" x14ac:dyDescent="0.25">
      <c r="A6" s="192" t="s">
        <v>1337</v>
      </c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>
        <v>184</v>
      </c>
      <c r="R6" s="195">
        <f t="shared" si="0"/>
        <v>0</v>
      </c>
      <c r="S6" s="195">
        <f t="shared" si="1"/>
        <v>0</v>
      </c>
      <c r="T6" s="196">
        <f t="shared" si="2"/>
        <v>0</v>
      </c>
      <c r="U6" s="197"/>
      <c r="V6" s="197"/>
      <c r="W6" s="197"/>
      <c r="X6" s="197"/>
      <c r="Y6" s="197"/>
      <c r="Z6" s="197"/>
      <c r="AA6" s="197"/>
      <c r="AB6" s="197"/>
      <c r="AC6" s="197"/>
      <c r="AD6" s="198"/>
    </row>
    <row r="7" spans="1:30" x14ac:dyDescent="0.25">
      <c r="A7" s="192" t="s">
        <v>374</v>
      </c>
      <c r="B7" s="193">
        <v>488</v>
      </c>
      <c r="C7" s="193"/>
      <c r="D7" s="194"/>
      <c r="E7" s="194"/>
      <c r="F7" s="194"/>
      <c r="G7" s="194"/>
      <c r="H7" s="194">
        <v>12</v>
      </c>
      <c r="I7" s="194"/>
      <c r="J7" s="194">
        <v>224</v>
      </c>
      <c r="K7" s="194"/>
      <c r="L7" s="194"/>
      <c r="M7" s="194">
        <v>16</v>
      </c>
      <c r="N7" s="194">
        <v>24</v>
      </c>
      <c r="O7" s="194"/>
      <c r="P7" s="194"/>
      <c r="Q7" s="194"/>
      <c r="R7" s="195">
        <f t="shared" si="0"/>
        <v>764</v>
      </c>
      <c r="S7" s="195">
        <f t="shared" si="1"/>
        <v>400</v>
      </c>
      <c r="T7" s="196">
        <f t="shared" si="2"/>
        <v>200</v>
      </c>
      <c r="U7" s="197"/>
      <c r="V7" s="197"/>
      <c r="W7" s="197"/>
      <c r="X7" s="197"/>
      <c r="Y7" s="197"/>
      <c r="Z7" s="197"/>
      <c r="AA7" s="197"/>
      <c r="AB7" s="197"/>
      <c r="AC7" s="197">
        <v>200</v>
      </c>
      <c r="AD7" s="198"/>
    </row>
    <row r="8" spans="1:30" x14ac:dyDescent="0.25">
      <c r="A8" s="192" t="s">
        <v>1338</v>
      </c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>
        <v>60</v>
      </c>
      <c r="R8" s="195">
        <f t="shared" si="0"/>
        <v>0</v>
      </c>
      <c r="S8" s="195">
        <f t="shared" si="1"/>
        <v>0</v>
      </c>
      <c r="T8" s="196">
        <f t="shared" si="2"/>
        <v>0</v>
      </c>
      <c r="U8" s="197"/>
      <c r="V8" s="197"/>
      <c r="W8" s="197"/>
      <c r="X8" s="197"/>
      <c r="Y8" s="197"/>
      <c r="Z8" s="197"/>
      <c r="AA8" s="197"/>
      <c r="AB8" s="197"/>
      <c r="AC8" s="197"/>
      <c r="AD8" s="198"/>
    </row>
    <row r="9" spans="1:30" x14ac:dyDescent="0.25">
      <c r="A9" s="192" t="s">
        <v>376</v>
      </c>
      <c r="B9" s="194">
        <v>4464</v>
      </c>
      <c r="C9" s="194">
        <v>3</v>
      </c>
      <c r="D9" s="194"/>
      <c r="E9" s="194"/>
      <c r="F9" s="194">
        <v>4</v>
      </c>
      <c r="G9" s="194">
        <v>320264</v>
      </c>
      <c r="H9" s="194">
        <v>4568</v>
      </c>
      <c r="I9" s="194">
        <v>268</v>
      </c>
      <c r="J9" s="194">
        <v>672</v>
      </c>
      <c r="K9" s="194">
        <v>136</v>
      </c>
      <c r="L9" s="194">
        <v>276</v>
      </c>
      <c r="M9" s="194">
        <v>48</v>
      </c>
      <c r="N9" s="194">
        <v>56</v>
      </c>
      <c r="O9" s="194">
        <v>154</v>
      </c>
      <c r="P9" s="194"/>
      <c r="Q9" s="194"/>
      <c r="R9" s="195">
        <f t="shared" si="0"/>
        <v>330913</v>
      </c>
      <c r="S9" s="195">
        <f t="shared" si="1"/>
        <v>127208</v>
      </c>
      <c r="T9" s="196">
        <f t="shared" si="2"/>
        <v>63604</v>
      </c>
      <c r="U9" s="197">
        <v>19600</v>
      </c>
      <c r="V9" s="197"/>
      <c r="W9" s="197"/>
      <c r="X9" s="197"/>
      <c r="Y9" s="197"/>
      <c r="Z9" s="197"/>
      <c r="AA9" s="197">
        <v>4704</v>
      </c>
      <c r="AB9" s="197">
        <v>39200</v>
      </c>
      <c r="AC9" s="197">
        <v>100</v>
      </c>
      <c r="AD9" s="198"/>
    </row>
    <row r="10" spans="1:30" x14ac:dyDescent="0.25">
      <c r="A10" s="192" t="s">
        <v>1339</v>
      </c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>
        <v>3392</v>
      </c>
      <c r="R10" s="195">
        <f t="shared" si="0"/>
        <v>0</v>
      </c>
      <c r="S10" s="195">
        <f t="shared" si="1"/>
        <v>0</v>
      </c>
      <c r="T10" s="196">
        <f t="shared" si="2"/>
        <v>0</v>
      </c>
      <c r="U10" s="197"/>
      <c r="V10" s="197"/>
      <c r="W10" s="197"/>
      <c r="X10" s="197"/>
      <c r="Y10" s="197"/>
      <c r="Z10" s="197"/>
      <c r="AA10" s="197"/>
      <c r="AB10" s="197"/>
      <c r="AC10" s="197"/>
      <c r="AD10" s="198"/>
    </row>
    <row r="11" spans="1:30" x14ac:dyDescent="0.25">
      <c r="A11" s="192" t="s">
        <v>1278</v>
      </c>
      <c r="B11" s="194">
        <v>2592</v>
      </c>
      <c r="C11" s="194">
        <v>2592</v>
      </c>
      <c r="D11" s="194">
        <v>1814</v>
      </c>
      <c r="E11" s="194"/>
      <c r="F11" s="194"/>
      <c r="G11" s="194"/>
      <c r="H11" s="194"/>
      <c r="I11" s="194">
        <v>180</v>
      </c>
      <c r="J11" s="194"/>
      <c r="K11" s="194">
        <v>96</v>
      </c>
      <c r="L11" s="194">
        <v>34</v>
      </c>
      <c r="M11" s="194">
        <v>80</v>
      </c>
      <c r="N11" s="194">
        <v>72</v>
      </c>
      <c r="O11" s="194">
        <v>80</v>
      </c>
      <c r="P11" s="194"/>
      <c r="Q11" s="194"/>
      <c r="R11" s="195">
        <f t="shared" si="0"/>
        <v>7540</v>
      </c>
      <c r="S11" s="195">
        <f t="shared" si="1"/>
        <v>0</v>
      </c>
      <c r="T11" s="196">
        <f t="shared" si="2"/>
        <v>0</v>
      </c>
      <c r="U11" s="197"/>
      <c r="V11" s="197"/>
      <c r="W11" s="197"/>
      <c r="X11" s="197"/>
      <c r="Y11" s="197"/>
      <c r="Z11" s="197"/>
      <c r="AA11" s="197"/>
      <c r="AB11" s="197"/>
      <c r="AC11" s="197"/>
      <c r="AD11" s="198"/>
    </row>
    <row r="12" spans="1:30" x14ac:dyDescent="0.25">
      <c r="A12" s="192" t="s">
        <v>379</v>
      </c>
      <c r="B12" s="194">
        <v>1296</v>
      </c>
      <c r="C12" s="194"/>
      <c r="D12" s="194"/>
      <c r="E12" s="194"/>
      <c r="F12" s="194"/>
      <c r="G12" s="194"/>
      <c r="H12" s="194">
        <v>48</v>
      </c>
      <c r="I12" s="194"/>
      <c r="J12" s="194">
        <v>336</v>
      </c>
      <c r="K12" s="194"/>
      <c r="L12" s="194"/>
      <c r="M12" s="194"/>
      <c r="N12" s="194"/>
      <c r="O12" s="194"/>
      <c r="P12" s="194"/>
      <c r="Q12" s="194"/>
      <c r="R12" s="195">
        <f t="shared" si="0"/>
        <v>1680</v>
      </c>
      <c r="S12" s="195">
        <f t="shared" si="1"/>
        <v>750</v>
      </c>
      <c r="T12" s="196">
        <f t="shared" si="2"/>
        <v>375</v>
      </c>
      <c r="U12" s="197"/>
      <c r="V12" s="197"/>
      <c r="W12" s="197"/>
      <c r="X12" s="197"/>
      <c r="Y12" s="197">
        <v>75</v>
      </c>
      <c r="Z12" s="197"/>
      <c r="AA12" s="197"/>
      <c r="AB12" s="197"/>
      <c r="AC12" s="197">
        <v>300</v>
      </c>
      <c r="AD12" s="198"/>
    </row>
    <row r="13" spans="1:30" x14ac:dyDescent="0.25">
      <c r="A13" s="192" t="s">
        <v>1340</v>
      </c>
      <c r="B13" s="193"/>
      <c r="C13" s="193"/>
      <c r="D13" s="194"/>
      <c r="E13" s="194"/>
      <c r="F13" s="194"/>
      <c r="G13" s="194"/>
      <c r="H13" s="194"/>
      <c r="I13" s="194">
        <v>120</v>
      </c>
      <c r="J13" s="194"/>
      <c r="K13" s="194"/>
      <c r="L13" s="194"/>
      <c r="M13" s="194"/>
      <c r="N13" s="194"/>
      <c r="O13" s="194"/>
      <c r="P13" s="194"/>
      <c r="Q13" s="194"/>
      <c r="R13" s="195">
        <f t="shared" si="0"/>
        <v>120</v>
      </c>
      <c r="S13" s="195">
        <f t="shared" si="1"/>
        <v>0</v>
      </c>
      <c r="T13" s="196">
        <f t="shared" si="2"/>
        <v>0</v>
      </c>
      <c r="U13" s="197"/>
      <c r="V13" s="197"/>
      <c r="W13" s="197"/>
      <c r="X13" s="197"/>
      <c r="Y13" s="197"/>
      <c r="Z13" s="197"/>
      <c r="AA13" s="197"/>
      <c r="AB13" s="197"/>
      <c r="AC13" s="197"/>
      <c r="AD13" s="198"/>
    </row>
    <row r="14" spans="1:30" x14ac:dyDescent="0.25">
      <c r="A14" s="192" t="s">
        <v>1341</v>
      </c>
      <c r="B14" s="194"/>
      <c r="C14" s="194"/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>
        <v>1696</v>
      </c>
      <c r="R14" s="195">
        <f t="shared" si="0"/>
        <v>0</v>
      </c>
      <c r="S14" s="195">
        <f t="shared" si="1"/>
        <v>0</v>
      </c>
      <c r="T14" s="196">
        <f t="shared" si="2"/>
        <v>0</v>
      </c>
      <c r="U14" s="197"/>
      <c r="V14" s="197"/>
      <c r="W14" s="197"/>
      <c r="X14" s="197"/>
      <c r="Y14" s="197"/>
      <c r="Z14" s="197"/>
      <c r="AA14" s="197"/>
      <c r="AB14" s="197"/>
      <c r="AC14" s="197"/>
      <c r="AD14" s="198"/>
    </row>
    <row r="15" spans="1:30" x14ac:dyDescent="0.25">
      <c r="A15" s="192" t="s">
        <v>1342</v>
      </c>
      <c r="B15" s="193">
        <v>256988.80000000002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5">
        <f t="shared" si="0"/>
        <v>256988.80000000002</v>
      </c>
      <c r="S15" s="195">
        <f t="shared" si="1"/>
        <v>0</v>
      </c>
      <c r="T15" s="196">
        <f t="shared" si="2"/>
        <v>0</v>
      </c>
      <c r="U15" s="197"/>
      <c r="V15" s="197"/>
      <c r="W15" s="197"/>
      <c r="X15" s="197"/>
      <c r="Y15" s="197"/>
      <c r="Z15" s="197"/>
      <c r="AA15" s="197"/>
      <c r="AB15" s="197"/>
      <c r="AC15" s="197"/>
      <c r="AD15" s="198"/>
    </row>
    <row r="16" spans="1:30" x14ac:dyDescent="0.25">
      <c r="A16" s="192" t="s">
        <v>1343</v>
      </c>
      <c r="B16" s="194"/>
      <c r="C16" s="194"/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>
        <v>60</v>
      </c>
      <c r="R16" s="195">
        <f t="shared" si="0"/>
        <v>0</v>
      </c>
      <c r="S16" s="195">
        <f t="shared" si="1"/>
        <v>0</v>
      </c>
      <c r="T16" s="196">
        <f t="shared" si="2"/>
        <v>0</v>
      </c>
      <c r="U16" s="197"/>
      <c r="V16" s="197"/>
      <c r="W16" s="197"/>
      <c r="X16" s="197"/>
      <c r="Y16" s="197"/>
      <c r="Z16" s="197"/>
      <c r="AA16" s="197"/>
      <c r="AB16" s="197"/>
      <c r="AC16" s="197"/>
      <c r="AD16" s="198"/>
    </row>
    <row r="17" spans="1:30" x14ac:dyDescent="0.25">
      <c r="A17" s="192" t="s">
        <v>1344</v>
      </c>
      <c r="B17" s="193"/>
      <c r="C17" s="193">
        <v>32000</v>
      </c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5">
        <f t="shared" si="0"/>
        <v>32000</v>
      </c>
      <c r="S17" s="195">
        <f t="shared" si="1"/>
        <v>0</v>
      </c>
      <c r="T17" s="196">
        <f t="shared" si="2"/>
        <v>0</v>
      </c>
      <c r="U17" s="197"/>
      <c r="V17" s="197"/>
      <c r="W17" s="197"/>
      <c r="X17" s="197"/>
      <c r="Y17" s="197"/>
      <c r="Z17" s="197"/>
      <c r="AA17" s="197"/>
      <c r="AB17" s="197"/>
      <c r="AC17" s="197"/>
      <c r="AD17" s="198"/>
    </row>
    <row r="18" spans="1:30" x14ac:dyDescent="0.25">
      <c r="A18" s="192" t="s">
        <v>1345</v>
      </c>
      <c r="B18" s="193">
        <v>24092.7</v>
      </c>
      <c r="C18" s="194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5">
        <f t="shared" si="0"/>
        <v>24092.7</v>
      </c>
      <c r="S18" s="195">
        <f t="shared" si="1"/>
        <v>0</v>
      </c>
      <c r="T18" s="196">
        <f t="shared" si="2"/>
        <v>0</v>
      </c>
      <c r="U18" s="197"/>
      <c r="V18" s="197"/>
      <c r="W18" s="197"/>
      <c r="X18" s="197"/>
      <c r="Y18" s="197"/>
      <c r="Z18" s="197"/>
      <c r="AA18" s="197"/>
      <c r="AB18" s="197"/>
      <c r="AC18" s="197"/>
      <c r="AD18" s="198"/>
    </row>
    <row r="19" spans="1:30" x14ac:dyDescent="0.25">
      <c r="A19" s="192" t="s">
        <v>1346</v>
      </c>
      <c r="B19" s="193"/>
      <c r="C19" s="193"/>
      <c r="D19" s="194"/>
      <c r="E19" s="194"/>
      <c r="F19" s="194"/>
      <c r="G19" s="194"/>
      <c r="H19" s="194"/>
      <c r="I19" s="194">
        <v>4</v>
      </c>
      <c r="J19" s="194"/>
      <c r="K19" s="194"/>
      <c r="L19" s="194">
        <v>92</v>
      </c>
      <c r="M19" s="194">
        <v>64</v>
      </c>
      <c r="N19" s="194">
        <v>64</v>
      </c>
      <c r="O19" s="194"/>
      <c r="P19" s="194"/>
      <c r="Q19" s="194"/>
      <c r="R19" s="195">
        <f t="shared" si="0"/>
        <v>224</v>
      </c>
      <c r="S19" s="195">
        <f t="shared" si="1"/>
        <v>0</v>
      </c>
      <c r="T19" s="196">
        <f t="shared" si="2"/>
        <v>0</v>
      </c>
      <c r="U19" s="197"/>
      <c r="V19" s="197"/>
      <c r="W19" s="197"/>
      <c r="X19" s="197"/>
      <c r="Y19" s="197"/>
      <c r="Z19" s="197"/>
      <c r="AA19" s="197"/>
      <c r="AB19" s="197"/>
      <c r="AC19" s="197"/>
      <c r="AD19" s="198"/>
    </row>
    <row r="20" spans="1:30" x14ac:dyDescent="0.25">
      <c r="A20" s="192" t="s">
        <v>1347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>
        <v>120</v>
      </c>
      <c r="R20" s="195">
        <f t="shared" si="0"/>
        <v>0</v>
      </c>
      <c r="S20" s="195">
        <f t="shared" si="1"/>
        <v>0</v>
      </c>
      <c r="T20" s="196">
        <f t="shared" si="2"/>
        <v>0</v>
      </c>
      <c r="U20" s="197"/>
      <c r="V20" s="197"/>
      <c r="W20" s="197"/>
      <c r="X20" s="197"/>
      <c r="Y20" s="197"/>
      <c r="Z20" s="197"/>
      <c r="AA20" s="197"/>
      <c r="AB20" s="197"/>
      <c r="AC20" s="197"/>
      <c r="AD20" s="198"/>
    </row>
    <row r="21" spans="1:30" x14ac:dyDescent="0.25">
      <c r="A21" s="192" t="s">
        <v>1348</v>
      </c>
      <c r="B21" s="194"/>
      <c r="C21" s="194">
        <v>1296</v>
      </c>
      <c r="D21" s="194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5">
        <f t="shared" si="0"/>
        <v>1296</v>
      </c>
      <c r="S21" s="195">
        <f t="shared" si="1"/>
        <v>0</v>
      </c>
      <c r="T21" s="196">
        <f t="shared" si="2"/>
        <v>0</v>
      </c>
      <c r="U21" s="197"/>
      <c r="V21" s="197"/>
      <c r="W21" s="197"/>
      <c r="X21" s="197"/>
      <c r="Y21" s="197"/>
      <c r="Z21" s="197"/>
      <c r="AA21" s="197"/>
      <c r="AB21" s="197"/>
      <c r="AC21" s="197"/>
      <c r="AD21" s="198"/>
    </row>
    <row r="22" spans="1:30" x14ac:dyDescent="0.25">
      <c r="A22" s="192" t="s">
        <v>393</v>
      </c>
      <c r="B22" s="194"/>
      <c r="C22" s="194"/>
      <c r="D22" s="194">
        <v>216</v>
      </c>
      <c r="E22" s="194"/>
      <c r="F22" s="194"/>
      <c r="G22" s="194"/>
      <c r="H22" s="194"/>
      <c r="I22" s="194"/>
      <c r="J22" s="194">
        <v>104</v>
      </c>
      <c r="K22" s="194">
        <v>8</v>
      </c>
      <c r="L22" s="194">
        <v>16</v>
      </c>
      <c r="M22" s="194">
        <v>128</v>
      </c>
      <c r="N22" s="194">
        <v>96</v>
      </c>
      <c r="O22" s="194"/>
      <c r="P22" s="194"/>
      <c r="Q22" s="194"/>
      <c r="R22" s="195">
        <f t="shared" si="0"/>
        <v>568</v>
      </c>
      <c r="S22" s="195">
        <f t="shared" si="1"/>
        <v>734</v>
      </c>
      <c r="T22" s="196">
        <f t="shared" si="2"/>
        <v>367</v>
      </c>
      <c r="U22" s="197"/>
      <c r="V22" s="197"/>
      <c r="W22" s="197"/>
      <c r="X22" s="197"/>
      <c r="Y22" s="197"/>
      <c r="Z22" s="197"/>
      <c r="AA22" s="197"/>
      <c r="AB22" s="197"/>
      <c r="AC22" s="197"/>
      <c r="AD22" s="198">
        <v>367</v>
      </c>
    </row>
    <row r="23" spans="1:30" x14ac:dyDescent="0.25">
      <c r="A23" s="192" t="s">
        <v>1349</v>
      </c>
      <c r="B23" s="194"/>
      <c r="C23" s="194">
        <v>6664</v>
      </c>
      <c r="D23" s="194">
        <v>490</v>
      </c>
      <c r="E23" s="194"/>
      <c r="F23" s="194"/>
      <c r="G23" s="194"/>
      <c r="H23" s="194"/>
      <c r="I23" s="194"/>
      <c r="J23" s="194"/>
      <c r="K23" s="194">
        <v>372</v>
      </c>
      <c r="L23" s="194"/>
      <c r="M23" s="194">
        <v>960</v>
      </c>
      <c r="N23" s="194">
        <v>1152</v>
      </c>
      <c r="O23" s="194"/>
      <c r="P23" s="194"/>
      <c r="Q23" s="194"/>
      <c r="R23" s="195">
        <f t="shared" si="0"/>
        <v>9638</v>
      </c>
      <c r="S23" s="195">
        <f t="shared" si="1"/>
        <v>0</v>
      </c>
      <c r="T23" s="196">
        <f t="shared" si="2"/>
        <v>0</v>
      </c>
      <c r="U23" s="197"/>
      <c r="V23" s="197"/>
      <c r="W23" s="197"/>
      <c r="X23" s="197"/>
      <c r="Y23" s="197"/>
      <c r="Z23" s="197"/>
      <c r="AA23" s="197"/>
      <c r="AB23" s="197"/>
      <c r="AC23" s="197"/>
      <c r="AD23" s="198"/>
    </row>
    <row r="24" spans="1:30" x14ac:dyDescent="0.25">
      <c r="A24" s="192" t="s">
        <v>396</v>
      </c>
      <c r="B24" s="194">
        <v>2480</v>
      </c>
      <c r="C24" s="194"/>
      <c r="D24" s="194"/>
      <c r="E24" s="194"/>
      <c r="F24" s="194"/>
      <c r="G24" s="194"/>
      <c r="H24" s="194">
        <v>48</v>
      </c>
      <c r="I24" s="194"/>
      <c r="J24" s="194"/>
      <c r="K24" s="194">
        <v>12</v>
      </c>
      <c r="L24" s="194">
        <v>16</v>
      </c>
      <c r="M24" s="194">
        <v>32</v>
      </c>
      <c r="N24" s="194">
        <v>32</v>
      </c>
      <c r="O24" s="194"/>
      <c r="P24" s="194"/>
      <c r="Q24" s="194"/>
      <c r="R24" s="195">
        <f t="shared" si="0"/>
        <v>2620</v>
      </c>
      <c r="S24" s="195">
        <f t="shared" si="1"/>
        <v>900</v>
      </c>
      <c r="T24" s="196">
        <f t="shared" si="2"/>
        <v>450</v>
      </c>
      <c r="U24" s="197"/>
      <c r="V24" s="197"/>
      <c r="W24" s="197"/>
      <c r="X24" s="197">
        <v>50</v>
      </c>
      <c r="Y24" s="197"/>
      <c r="Z24" s="197"/>
      <c r="AA24" s="197"/>
      <c r="AB24" s="197"/>
      <c r="AC24" s="197"/>
      <c r="AD24" s="198">
        <v>400</v>
      </c>
    </row>
    <row r="25" spans="1:30" x14ac:dyDescent="0.25">
      <c r="A25" s="192" t="s">
        <v>1350</v>
      </c>
      <c r="B25" s="194">
        <v>288</v>
      </c>
      <c r="C25" s="194"/>
      <c r="D25" s="194"/>
      <c r="E25" s="194"/>
      <c r="F25" s="194"/>
      <c r="G25" s="194"/>
      <c r="H25" s="194">
        <v>4</v>
      </c>
      <c r="I25" s="194"/>
      <c r="J25" s="194"/>
      <c r="K25" s="194"/>
      <c r="L25" s="194"/>
      <c r="M25" s="194"/>
      <c r="N25" s="194"/>
      <c r="O25" s="194"/>
      <c r="P25" s="194"/>
      <c r="Q25" s="194"/>
      <c r="R25" s="195">
        <f t="shared" si="0"/>
        <v>292</v>
      </c>
      <c r="S25" s="195">
        <f t="shared" si="1"/>
        <v>0</v>
      </c>
      <c r="T25" s="196">
        <f t="shared" si="2"/>
        <v>0</v>
      </c>
      <c r="U25" s="197"/>
      <c r="V25" s="197"/>
      <c r="W25" s="197"/>
      <c r="X25" s="197"/>
      <c r="Y25" s="197"/>
      <c r="Z25" s="197"/>
      <c r="AA25" s="197"/>
      <c r="AB25" s="197"/>
      <c r="AC25" s="197"/>
      <c r="AD25" s="198"/>
    </row>
    <row r="26" spans="1:30" x14ac:dyDescent="0.25">
      <c r="A26" s="192" t="s">
        <v>398</v>
      </c>
      <c r="B26" s="194">
        <v>864</v>
      </c>
      <c r="C26" s="194"/>
      <c r="D26" s="194"/>
      <c r="E26" s="194"/>
      <c r="F26" s="194"/>
      <c r="G26" s="194"/>
      <c r="H26" s="194">
        <v>28</v>
      </c>
      <c r="I26" s="194"/>
      <c r="J26" s="194"/>
      <c r="K26" s="194"/>
      <c r="L26" s="194"/>
      <c r="M26" s="194"/>
      <c r="N26" s="194"/>
      <c r="O26" s="194"/>
      <c r="P26" s="194"/>
      <c r="Q26" s="194"/>
      <c r="R26" s="195">
        <f t="shared" si="0"/>
        <v>892</v>
      </c>
      <c r="S26" s="195">
        <f t="shared" si="1"/>
        <v>800</v>
      </c>
      <c r="T26" s="196">
        <f t="shared" si="2"/>
        <v>400</v>
      </c>
      <c r="U26" s="197"/>
      <c r="V26" s="197"/>
      <c r="W26" s="197"/>
      <c r="X26" s="197"/>
      <c r="Y26" s="197"/>
      <c r="Z26" s="197"/>
      <c r="AA26" s="197"/>
      <c r="AB26" s="197"/>
      <c r="AC26" s="197"/>
      <c r="AD26" s="198">
        <v>400</v>
      </c>
    </row>
    <row r="27" spans="1:30" x14ac:dyDescent="0.25">
      <c r="A27" s="192" t="s">
        <v>400</v>
      </c>
      <c r="B27" s="194">
        <v>3608</v>
      </c>
      <c r="C27" s="194"/>
      <c r="D27" s="194"/>
      <c r="E27" s="194"/>
      <c r="F27" s="194"/>
      <c r="G27" s="194"/>
      <c r="H27" s="194">
        <v>72</v>
      </c>
      <c r="I27" s="194"/>
      <c r="J27" s="194"/>
      <c r="K27" s="194"/>
      <c r="L27" s="194">
        <v>28</v>
      </c>
      <c r="M27" s="194"/>
      <c r="N27" s="194"/>
      <c r="O27" s="194"/>
      <c r="P27" s="194"/>
      <c r="Q27" s="194"/>
      <c r="R27" s="195">
        <f t="shared" si="0"/>
        <v>3708</v>
      </c>
      <c r="S27" s="195">
        <f t="shared" si="1"/>
        <v>1200</v>
      </c>
      <c r="T27" s="196">
        <f t="shared" si="2"/>
        <v>600</v>
      </c>
      <c r="U27" s="197"/>
      <c r="V27" s="197"/>
      <c r="W27" s="197"/>
      <c r="X27" s="197"/>
      <c r="Y27" s="197"/>
      <c r="Z27" s="197"/>
      <c r="AA27" s="197"/>
      <c r="AB27" s="197"/>
      <c r="AC27" s="197">
        <v>600</v>
      </c>
      <c r="AD27" s="198"/>
    </row>
    <row r="28" spans="1:30" x14ac:dyDescent="0.25">
      <c r="A28" s="192" t="s">
        <v>1351</v>
      </c>
      <c r="B28" s="194">
        <v>160</v>
      </c>
      <c r="C28" s="194"/>
      <c r="D28" s="194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5">
        <f t="shared" si="0"/>
        <v>160</v>
      </c>
      <c r="S28" s="195">
        <f t="shared" si="1"/>
        <v>0</v>
      </c>
      <c r="T28" s="196">
        <f t="shared" si="2"/>
        <v>0</v>
      </c>
      <c r="U28" s="197"/>
      <c r="V28" s="197"/>
      <c r="W28" s="197"/>
      <c r="X28" s="197"/>
      <c r="Y28" s="197"/>
      <c r="Z28" s="197"/>
      <c r="AA28" s="197"/>
      <c r="AB28" s="197"/>
      <c r="AC28" s="197"/>
      <c r="AD28" s="198"/>
    </row>
    <row r="29" spans="1:30" x14ac:dyDescent="0.25">
      <c r="A29" s="192" t="s">
        <v>402</v>
      </c>
      <c r="B29" s="194">
        <v>1290</v>
      </c>
      <c r="C29" s="194"/>
      <c r="D29" s="194"/>
      <c r="E29" s="194"/>
      <c r="F29" s="194"/>
      <c r="G29" s="194"/>
      <c r="H29" s="194">
        <v>12</v>
      </c>
      <c r="I29" s="194"/>
      <c r="J29" s="194">
        <v>672</v>
      </c>
      <c r="K29" s="194">
        <v>8</v>
      </c>
      <c r="L29" s="194">
        <v>216</v>
      </c>
      <c r="M29" s="194"/>
      <c r="N29" s="194"/>
      <c r="O29" s="194"/>
      <c r="P29" s="194"/>
      <c r="Q29" s="194"/>
      <c r="R29" s="195">
        <f t="shared" si="0"/>
        <v>2198</v>
      </c>
      <c r="S29" s="195">
        <f t="shared" si="1"/>
        <v>200</v>
      </c>
      <c r="T29" s="196">
        <f t="shared" si="2"/>
        <v>100</v>
      </c>
      <c r="U29" s="197"/>
      <c r="V29" s="197"/>
      <c r="W29" s="197"/>
      <c r="X29" s="197"/>
      <c r="Y29" s="197"/>
      <c r="Z29" s="197"/>
      <c r="AA29" s="197"/>
      <c r="AB29" s="197"/>
      <c r="AC29" s="197">
        <v>100</v>
      </c>
      <c r="AD29" s="198"/>
    </row>
    <row r="30" spans="1:30" x14ac:dyDescent="0.25">
      <c r="A30" s="192" t="s">
        <v>404</v>
      </c>
      <c r="B30" s="194">
        <v>2280</v>
      </c>
      <c r="C30" s="194"/>
      <c r="D30" s="194"/>
      <c r="E30" s="194"/>
      <c r="F30" s="194">
        <v>4</v>
      </c>
      <c r="G30" s="194"/>
      <c r="H30" s="194">
        <v>64</v>
      </c>
      <c r="I30" s="194">
        <v>240</v>
      </c>
      <c r="J30" s="194"/>
      <c r="K30" s="194"/>
      <c r="L30" s="194">
        <v>40</v>
      </c>
      <c r="M30" s="194"/>
      <c r="N30" s="194"/>
      <c r="O30" s="194">
        <v>154</v>
      </c>
      <c r="P30" s="194"/>
      <c r="Q30" s="194"/>
      <c r="R30" s="195">
        <f t="shared" si="0"/>
        <v>2782</v>
      </c>
      <c r="S30" s="195">
        <f t="shared" si="1"/>
        <v>0</v>
      </c>
      <c r="T30" s="196">
        <f t="shared" si="2"/>
        <v>0</v>
      </c>
      <c r="U30" s="197"/>
      <c r="V30" s="197"/>
      <c r="W30" s="197"/>
      <c r="X30" s="197"/>
      <c r="Y30" s="197"/>
      <c r="Z30" s="197"/>
      <c r="AA30" s="197"/>
      <c r="AB30" s="197"/>
      <c r="AC30" s="197"/>
      <c r="AD30" s="198"/>
    </row>
    <row r="31" spans="1:30" x14ac:dyDescent="0.25">
      <c r="A31" s="192" t="s">
        <v>407</v>
      </c>
      <c r="B31" s="194">
        <v>6</v>
      </c>
      <c r="C31" s="194"/>
      <c r="D31" s="194"/>
      <c r="E31" s="194"/>
      <c r="F31" s="194"/>
      <c r="G31" s="194"/>
      <c r="H31" s="194">
        <v>28</v>
      </c>
      <c r="I31" s="194"/>
      <c r="J31" s="194"/>
      <c r="K31" s="194"/>
      <c r="L31" s="194"/>
      <c r="M31" s="194"/>
      <c r="N31" s="194"/>
      <c r="O31" s="194"/>
      <c r="P31" s="194"/>
      <c r="Q31" s="194"/>
      <c r="R31" s="195">
        <f t="shared" si="0"/>
        <v>34</v>
      </c>
      <c r="S31" s="195">
        <f t="shared" si="1"/>
        <v>0</v>
      </c>
      <c r="T31" s="196">
        <f t="shared" si="2"/>
        <v>0</v>
      </c>
      <c r="U31" s="197"/>
      <c r="V31" s="197"/>
      <c r="W31" s="197"/>
      <c r="X31" s="197"/>
      <c r="Y31" s="197"/>
      <c r="Z31" s="197"/>
      <c r="AA31" s="197"/>
      <c r="AB31" s="197"/>
      <c r="AC31" s="197"/>
      <c r="AD31" s="198"/>
    </row>
    <row r="32" spans="1:30" x14ac:dyDescent="0.25">
      <c r="A32" s="192" t="s">
        <v>410</v>
      </c>
      <c r="B32" s="194">
        <v>888</v>
      </c>
      <c r="C32" s="194"/>
      <c r="D32" s="194"/>
      <c r="E32" s="194"/>
      <c r="F32" s="194"/>
      <c r="G32" s="194"/>
      <c r="H32" s="194">
        <v>144</v>
      </c>
      <c r="I32" s="194">
        <v>28</v>
      </c>
      <c r="J32" s="194"/>
      <c r="K32" s="194"/>
      <c r="L32" s="194">
        <v>20</v>
      </c>
      <c r="M32" s="194"/>
      <c r="N32" s="194"/>
      <c r="O32" s="194"/>
      <c r="P32" s="194"/>
      <c r="Q32" s="194"/>
      <c r="R32" s="195">
        <f t="shared" si="0"/>
        <v>1080</v>
      </c>
      <c r="S32" s="195">
        <f t="shared" si="1"/>
        <v>0</v>
      </c>
      <c r="T32" s="196">
        <f t="shared" si="2"/>
        <v>0</v>
      </c>
      <c r="U32" s="197"/>
      <c r="V32" s="197"/>
      <c r="W32" s="197"/>
      <c r="X32" s="197"/>
      <c r="Y32" s="197"/>
      <c r="Z32" s="197"/>
      <c r="AA32" s="197"/>
      <c r="AB32" s="197"/>
      <c r="AC32" s="197"/>
      <c r="AD32" s="198"/>
    </row>
    <row r="33" spans="1:30" x14ac:dyDescent="0.25">
      <c r="A33" s="192" t="s">
        <v>1352</v>
      </c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>
        <v>3392</v>
      </c>
      <c r="R33" s="195">
        <f t="shared" si="0"/>
        <v>0</v>
      </c>
      <c r="S33" s="195">
        <f t="shared" si="1"/>
        <v>0</v>
      </c>
      <c r="T33" s="196">
        <f t="shared" si="2"/>
        <v>0</v>
      </c>
      <c r="U33" s="197"/>
      <c r="V33" s="197"/>
      <c r="W33" s="197"/>
      <c r="X33" s="197"/>
      <c r="Y33" s="197"/>
      <c r="Z33" s="197"/>
      <c r="AA33" s="197"/>
      <c r="AB33" s="197"/>
      <c r="AC33" s="197"/>
      <c r="AD33" s="198"/>
    </row>
    <row r="34" spans="1:30" x14ac:dyDescent="0.25">
      <c r="A34" s="192" t="s">
        <v>1353</v>
      </c>
      <c r="B34" s="194"/>
      <c r="C34" s="194"/>
      <c r="D34" s="194"/>
      <c r="E34" s="194"/>
      <c r="F34" s="194"/>
      <c r="G34" s="194">
        <v>13072</v>
      </c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5">
        <f t="shared" si="0"/>
        <v>13072</v>
      </c>
      <c r="S34" s="195">
        <f t="shared" si="1"/>
        <v>5184</v>
      </c>
      <c r="T34" s="196">
        <f t="shared" si="2"/>
        <v>2592</v>
      </c>
      <c r="U34" s="197">
        <v>800</v>
      </c>
      <c r="V34" s="197"/>
      <c r="W34" s="197"/>
      <c r="X34" s="197"/>
      <c r="Y34" s="197"/>
      <c r="Z34" s="197"/>
      <c r="AA34" s="197">
        <v>192</v>
      </c>
      <c r="AB34" s="197">
        <v>1600</v>
      </c>
      <c r="AC34" s="197"/>
      <c r="AD34" s="198"/>
    </row>
    <row r="35" spans="1:30" x14ac:dyDescent="0.25">
      <c r="A35" s="192" t="s">
        <v>414</v>
      </c>
      <c r="B35" s="194"/>
      <c r="C35" s="194">
        <v>3</v>
      </c>
      <c r="D35" s="194"/>
      <c r="E35" s="194"/>
      <c r="F35" s="194"/>
      <c r="G35" s="194">
        <v>307192</v>
      </c>
      <c r="H35" s="194">
        <v>4320</v>
      </c>
      <c r="I35" s="194"/>
      <c r="J35" s="194"/>
      <c r="K35" s="194">
        <v>64</v>
      </c>
      <c r="L35" s="194"/>
      <c r="M35" s="194">
        <v>24</v>
      </c>
      <c r="N35" s="194">
        <v>28</v>
      </c>
      <c r="O35" s="194"/>
      <c r="P35" s="194"/>
      <c r="Q35" s="194"/>
      <c r="R35" s="195">
        <f t="shared" si="0"/>
        <v>311631</v>
      </c>
      <c r="S35" s="195">
        <f t="shared" si="1"/>
        <v>121824</v>
      </c>
      <c r="T35" s="196">
        <f t="shared" si="2"/>
        <v>60912</v>
      </c>
      <c r="U35" s="200">
        <v>18800</v>
      </c>
      <c r="V35" s="197"/>
      <c r="W35" s="197"/>
      <c r="X35" s="197"/>
      <c r="Y35" s="197"/>
      <c r="Z35" s="197"/>
      <c r="AA35" s="197">
        <v>4512</v>
      </c>
      <c r="AB35" s="197">
        <v>37600</v>
      </c>
      <c r="AC35" s="197"/>
      <c r="AD35" s="198"/>
    </row>
    <row r="36" spans="1:30" x14ac:dyDescent="0.25">
      <c r="A36" s="192" t="s">
        <v>1354</v>
      </c>
      <c r="B36" s="194"/>
      <c r="C36" s="194">
        <v>2592</v>
      </c>
      <c r="D36" s="194"/>
      <c r="E36" s="194"/>
      <c r="F36" s="194"/>
      <c r="G36" s="194"/>
      <c r="H36" s="194"/>
      <c r="I36" s="194"/>
      <c r="J36" s="194"/>
      <c r="K36" s="194">
        <v>80</v>
      </c>
      <c r="L36" s="194"/>
      <c r="M36" s="194"/>
      <c r="N36" s="194"/>
      <c r="O36" s="194"/>
      <c r="P36" s="194"/>
      <c r="Q36" s="194"/>
      <c r="R36" s="195">
        <f t="shared" si="0"/>
        <v>2672</v>
      </c>
      <c r="S36" s="195">
        <f t="shared" si="1"/>
        <v>0</v>
      </c>
      <c r="T36" s="196">
        <f t="shared" si="2"/>
        <v>0</v>
      </c>
      <c r="U36" s="197"/>
      <c r="V36" s="197"/>
      <c r="W36" s="197"/>
      <c r="X36" s="197"/>
      <c r="Y36" s="197"/>
      <c r="Z36" s="197"/>
      <c r="AA36" s="197"/>
      <c r="AB36" s="197"/>
      <c r="AC36" s="197"/>
      <c r="AD36" s="198"/>
    </row>
    <row r="37" spans="1:30" x14ac:dyDescent="0.25">
      <c r="A37" s="192" t="s">
        <v>1355</v>
      </c>
      <c r="B37" s="194"/>
      <c r="C37" s="194"/>
      <c r="D37" s="194">
        <v>1814</v>
      </c>
      <c r="E37" s="194"/>
      <c r="F37" s="194"/>
      <c r="G37" s="194"/>
      <c r="H37" s="194"/>
      <c r="I37" s="194"/>
      <c r="J37" s="194"/>
      <c r="K37" s="194">
        <v>16</v>
      </c>
      <c r="L37" s="194"/>
      <c r="M37" s="194"/>
      <c r="N37" s="194"/>
      <c r="O37" s="194"/>
      <c r="P37" s="194"/>
      <c r="Q37" s="194"/>
      <c r="R37" s="195">
        <f t="shared" si="0"/>
        <v>1830</v>
      </c>
      <c r="S37" s="195">
        <f t="shared" si="1"/>
        <v>0</v>
      </c>
      <c r="T37" s="196">
        <f t="shared" si="2"/>
        <v>0</v>
      </c>
      <c r="U37" s="197"/>
      <c r="V37" s="197"/>
      <c r="W37" s="197"/>
      <c r="X37" s="197"/>
      <c r="Y37" s="197"/>
      <c r="Z37" s="197"/>
      <c r="AA37" s="197"/>
      <c r="AB37" s="197"/>
      <c r="AC37" s="197"/>
      <c r="AD37" s="198"/>
    </row>
    <row r="38" spans="1:30" x14ac:dyDescent="0.25">
      <c r="A38" s="192" t="s">
        <v>1356</v>
      </c>
      <c r="B38" s="193"/>
      <c r="C38" s="193"/>
      <c r="D38" s="194"/>
      <c r="E38" s="194"/>
      <c r="F38" s="194"/>
      <c r="G38" s="194"/>
      <c r="H38" s="194"/>
      <c r="I38" s="194">
        <v>180</v>
      </c>
      <c r="J38" s="194"/>
      <c r="K38" s="194"/>
      <c r="L38" s="194">
        <v>22</v>
      </c>
      <c r="M38" s="194">
        <v>48</v>
      </c>
      <c r="N38" s="194">
        <v>24</v>
      </c>
      <c r="O38" s="194"/>
      <c r="P38" s="194"/>
      <c r="Q38" s="194"/>
      <c r="R38" s="195">
        <f t="shared" si="0"/>
        <v>274</v>
      </c>
      <c r="S38" s="195">
        <f t="shared" si="1"/>
        <v>0</v>
      </c>
      <c r="T38" s="196">
        <f t="shared" si="2"/>
        <v>0</v>
      </c>
      <c r="U38" s="197"/>
      <c r="V38" s="197"/>
      <c r="W38" s="197"/>
      <c r="X38" s="197"/>
      <c r="Y38" s="197"/>
      <c r="Z38" s="197"/>
      <c r="AA38" s="197"/>
      <c r="AB38" s="197"/>
      <c r="AC38" s="197"/>
      <c r="AD38" s="198"/>
    </row>
    <row r="39" spans="1:30" x14ac:dyDescent="0.25">
      <c r="A39" s="192" t="s">
        <v>1275</v>
      </c>
      <c r="B39" s="194">
        <v>864</v>
      </c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>
        <v>32</v>
      </c>
      <c r="N39" s="194">
        <v>48</v>
      </c>
      <c r="O39" s="194"/>
      <c r="P39" s="194"/>
      <c r="Q39" s="194"/>
      <c r="R39" s="195">
        <f t="shared" si="0"/>
        <v>944</v>
      </c>
      <c r="S39" s="195">
        <f t="shared" si="1"/>
        <v>0</v>
      </c>
      <c r="T39" s="196">
        <f t="shared" si="2"/>
        <v>0</v>
      </c>
      <c r="U39" s="197"/>
      <c r="V39" s="197"/>
      <c r="W39" s="197"/>
      <c r="X39" s="197"/>
      <c r="Y39" s="197"/>
      <c r="Z39" s="197"/>
      <c r="AA39" s="197"/>
      <c r="AB39" s="197"/>
      <c r="AC39" s="197"/>
      <c r="AD39" s="198"/>
    </row>
    <row r="40" spans="1:30" x14ac:dyDescent="0.25">
      <c r="A40" s="192" t="s">
        <v>1276</v>
      </c>
      <c r="B40" s="194">
        <v>1728</v>
      </c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194"/>
      <c r="R40" s="195">
        <f t="shared" si="0"/>
        <v>1728</v>
      </c>
      <c r="S40" s="195">
        <f t="shared" si="1"/>
        <v>0</v>
      </c>
      <c r="T40" s="196">
        <f t="shared" si="2"/>
        <v>0</v>
      </c>
      <c r="U40" s="197"/>
      <c r="V40" s="197"/>
      <c r="W40" s="197"/>
      <c r="X40" s="197"/>
      <c r="Y40" s="197"/>
      <c r="Z40" s="197"/>
      <c r="AA40" s="197"/>
      <c r="AB40" s="197"/>
      <c r="AC40" s="197"/>
      <c r="AD40" s="198"/>
    </row>
    <row r="41" spans="1:30" x14ac:dyDescent="0.25">
      <c r="A41" s="192" t="s">
        <v>416</v>
      </c>
      <c r="B41" s="194">
        <v>1224</v>
      </c>
      <c r="C41" s="194"/>
      <c r="D41" s="194"/>
      <c r="E41" s="194"/>
      <c r="F41" s="194"/>
      <c r="G41" s="194"/>
      <c r="H41" s="194"/>
      <c r="I41" s="194"/>
      <c r="J41" s="194">
        <v>336</v>
      </c>
      <c r="K41" s="194"/>
      <c r="L41" s="194"/>
      <c r="M41" s="194"/>
      <c r="N41" s="194"/>
      <c r="O41" s="194"/>
      <c r="P41" s="194"/>
      <c r="Q41" s="194"/>
      <c r="R41" s="195">
        <f t="shared" si="0"/>
        <v>1560</v>
      </c>
      <c r="S41" s="195">
        <f t="shared" si="1"/>
        <v>1038</v>
      </c>
      <c r="T41" s="196">
        <f t="shared" si="2"/>
        <v>519</v>
      </c>
      <c r="U41" s="197"/>
      <c r="V41" s="197"/>
      <c r="W41" s="197"/>
      <c r="X41" s="197"/>
      <c r="Y41" s="197">
        <v>75</v>
      </c>
      <c r="Z41" s="197"/>
      <c r="AA41" s="197"/>
      <c r="AB41" s="197">
        <v>144</v>
      </c>
      <c r="AC41" s="197">
        <v>300</v>
      </c>
      <c r="AD41" s="198"/>
    </row>
    <row r="42" spans="1:30" x14ac:dyDescent="0.25">
      <c r="A42" s="192" t="s">
        <v>419</v>
      </c>
      <c r="B42" s="194">
        <v>72</v>
      </c>
      <c r="C42" s="194"/>
      <c r="D42" s="194"/>
      <c r="E42" s="194"/>
      <c r="F42" s="194"/>
      <c r="G42" s="194"/>
      <c r="H42" s="194">
        <v>48</v>
      </c>
      <c r="I42" s="194"/>
      <c r="J42" s="194"/>
      <c r="K42" s="194"/>
      <c r="L42" s="194"/>
      <c r="M42" s="194"/>
      <c r="N42" s="194"/>
      <c r="O42" s="194"/>
      <c r="P42" s="194"/>
      <c r="Q42" s="194"/>
      <c r="R42" s="195">
        <f t="shared" si="0"/>
        <v>120</v>
      </c>
      <c r="S42" s="195">
        <f t="shared" si="1"/>
        <v>0</v>
      </c>
      <c r="T42" s="196">
        <f t="shared" si="2"/>
        <v>0</v>
      </c>
      <c r="U42" s="197"/>
      <c r="V42" s="197"/>
      <c r="W42" s="197"/>
      <c r="X42" s="197"/>
      <c r="Y42" s="197"/>
      <c r="Z42" s="197"/>
      <c r="AA42" s="197"/>
      <c r="AB42" s="197"/>
      <c r="AC42" s="197"/>
      <c r="AD42" s="198"/>
    </row>
    <row r="43" spans="1:30" x14ac:dyDescent="0.25">
      <c r="A43" s="192" t="s">
        <v>1357</v>
      </c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194">
        <v>60</v>
      </c>
      <c r="R43" s="195">
        <f t="shared" si="0"/>
        <v>0</v>
      </c>
      <c r="S43" s="195">
        <f t="shared" si="1"/>
        <v>0</v>
      </c>
      <c r="T43" s="196">
        <f t="shared" si="2"/>
        <v>0</v>
      </c>
      <c r="U43" s="197"/>
      <c r="V43" s="197"/>
      <c r="W43" s="197"/>
      <c r="X43" s="197"/>
      <c r="Y43" s="197"/>
      <c r="Z43" s="197"/>
      <c r="AA43" s="197"/>
      <c r="AB43" s="197"/>
      <c r="AC43" s="197"/>
      <c r="AD43" s="198"/>
    </row>
    <row r="44" spans="1:30" x14ac:dyDescent="0.25">
      <c r="A44" s="192" t="s">
        <v>1358</v>
      </c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194">
        <v>184</v>
      </c>
      <c r="R44" s="195">
        <f t="shared" si="0"/>
        <v>0</v>
      </c>
      <c r="S44" s="195">
        <f t="shared" si="1"/>
        <v>0</v>
      </c>
      <c r="T44" s="196">
        <f t="shared" si="2"/>
        <v>0</v>
      </c>
      <c r="U44" s="197"/>
      <c r="V44" s="197"/>
      <c r="W44" s="197"/>
      <c r="X44" s="197"/>
      <c r="Y44" s="197"/>
      <c r="Z44" s="197"/>
      <c r="AA44" s="197"/>
      <c r="AB44" s="197"/>
      <c r="AC44" s="197"/>
      <c r="AD44" s="198"/>
    </row>
    <row r="45" spans="1:30" x14ac:dyDescent="0.25">
      <c r="A45" s="192" t="s">
        <v>1359</v>
      </c>
      <c r="B45" s="193">
        <v>35500</v>
      </c>
      <c r="C45" s="194"/>
      <c r="D45" s="194"/>
      <c r="E45" s="194"/>
      <c r="F45" s="194"/>
      <c r="G45" s="194"/>
      <c r="H45" s="194">
        <v>192</v>
      </c>
      <c r="I45" s="194"/>
      <c r="J45" s="194"/>
      <c r="K45" s="194"/>
      <c r="L45" s="194"/>
      <c r="M45" s="194"/>
      <c r="N45" s="194"/>
      <c r="O45" s="194"/>
      <c r="P45" s="194"/>
      <c r="Q45" s="194"/>
      <c r="R45" s="195">
        <f t="shared" si="0"/>
        <v>35692</v>
      </c>
      <c r="S45" s="195">
        <f t="shared" si="1"/>
        <v>0</v>
      </c>
      <c r="T45" s="196">
        <f t="shared" si="2"/>
        <v>0</v>
      </c>
      <c r="U45" s="197"/>
      <c r="V45" s="197"/>
      <c r="W45" s="197"/>
      <c r="X45" s="197"/>
      <c r="Y45" s="197"/>
      <c r="Z45" s="197"/>
      <c r="AA45" s="197"/>
      <c r="AB45" s="197"/>
      <c r="AC45" s="197"/>
      <c r="AD45" s="198"/>
    </row>
    <row r="46" spans="1:30" x14ac:dyDescent="0.25">
      <c r="A46" s="192" t="s">
        <v>1360</v>
      </c>
      <c r="B46" s="193">
        <v>1700</v>
      </c>
      <c r="C46" s="193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194"/>
      <c r="R46" s="195">
        <f t="shared" si="0"/>
        <v>1700</v>
      </c>
      <c r="S46" s="195">
        <f t="shared" si="1"/>
        <v>0</v>
      </c>
      <c r="T46" s="196">
        <f t="shared" si="2"/>
        <v>0</v>
      </c>
      <c r="U46" s="197"/>
      <c r="V46" s="197"/>
      <c r="W46" s="197"/>
      <c r="X46" s="197"/>
      <c r="Y46" s="197"/>
      <c r="Z46" s="197"/>
      <c r="AA46" s="197"/>
      <c r="AB46" s="197"/>
      <c r="AC46" s="197"/>
      <c r="AD46" s="198"/>
    </row>
    <row r="47" spans="1:30" x14ac:dyDescent="0.25">
      <c r="A47" s="192" t="s">
        <v>1361</v>
      </c>
      <c r="B47" s="194"/>
      <c r="C47" s="194"/>
      <c r="D47" s="194"/>
      <c r="E47" s="194"/>
      <c r="F47" s="194"/>
      <c r="G47" s="194">
        <v>209152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5">
        <f t="shared" si="0"/>
        <v>209152</v>
      </c>
      <c r="S47" s="195">
        <f t="shared" si="1"/>
        <v>82944</v>
      </c>
      <c r="T47" s="196">
        <f t="shared" si="2"/>
        <v>41472</v>
      </c>
      <c r="U47" s="197">
        <v>12800</v>
      </c>
      <c r="V47" s="197"/>
      <c r="W47" s="197"/>
      <c r="X47" s="197"/>
      <c r="Y47" s="197"/>
      <c r="Z47" s="197"/>
      <c r="AA47" s="197">
        <v>3072</v>
      </c>
      <c r="AB47" s="197">
        <v>25600</v>
      </c>
      <c r="AC47" s="197"/>
      <c r="AD47" s="198"/>
    </row>
    <row r="48" spans="1:30" x14ac:dyDescent="0.25">
      <c r="A48" s="192" t="s">
        <v>1362</v>
      </c>
      <c r="B48" s="193">
        <v>257000</v>
      </c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  <c r="O48" s="194"/>
      <c r="P48" s="194"/>
      <c r="Q48" s="194"/>
      <c r="R48" s="195">
        <f t="shared" si="0"/>
        <v>257000</v>
      </c>
      <c r="S48" s="195">
        <f t="shared" si="1"/>
        <v>0</v>
      </c>
      <c r="T48" s="196">
        <f t="shared" si="2"/>
        <v>0</v>
      </c>
      <c r="U48" s="197"/>
      <c r="V48" s="197"/>
      <c r="W48" s="197"/>
      <c r="X48" s="197"/>
      <c r="Y48" s="197"/>
      <c r="Z48" s="197"/>
      <c r="AA48" s="197"/>
      <c r="AB48" s="197"/>
      <c r="AC48" s="197"/>
      <c r="AD48" s="198"/>
    </row>
    <row r="49" spans="1:30" x14ac:dyDescent="0.25">
      <c r="A49" s="192" t="s">
        <v>424</v>
      </c>
      <c r="B49" s="194">
        <v>1302</v>
      </c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5">
        <f t="shared" si="0"/>
        <v>1302</v>
      </c>
      <c r="S49" s="195">
        <f t="shared" si="1"/>
        <v>960</v>
      </c>
      <c r="T49" s="196">
        <f t="shared" si="2"/>
        <v>480</v>
      </c>
      <c r="U49" s="197"/>
      <c r="V49" s="197">
        <v>20</v>
      </c>
      <c r="W49" s="197"/>
      <c r="X49" s="197"/>
      <c r="Y49" s="197"/>
      <c r="Z49" s="197"/>
      <c r="AA49" s="197"/>
      <c r="AB49" s="197"/>
      <c r="AC49" s="197">
        <v>460</v>
      </c>
      <c r="AD49" s="198"/>
    </row>
    <row r="50" spans="1:30" x14ac:dyDescent="0.25">
      <c r="A50" s="192" t="s">
        <v>426</v>
      </c>
      <c r="B50" s="194">
        <v>7240</v>
      </c>
      <c r="C50" s="194">
        <v>6664</v>
      </c>
      <c r="D50" s="194">
        <v>706</v>
      </c>
      <c r="E50" s="194"/>
      <c r="F50" s="194"/>
      <c r="G50" s="194"/>
      <c r="H50" s="194">
        <v>216</v>
      </c>
      <c r="I50" s="194"/>
      <c r="J50" s="194">
        <v>448</v>
      </c>
      <c r="K50" s="194">
        <v>392</v>
      </c>
      <c r="L50" s="194">
        <v>76</v>
      </c>
      <c r="M50" s="194">
        <v>1152</v>
      </c>
      <c r="N50" s="194">
        <v>1328</v>
      </c>
      <c r="O50" s="194"/>
      <c r="P50" s="194"/>
      <c r="Q50" s="194"/>
      <c r="R50" s="195">
        <f t="shared" si="0"/>
        <v>18222</v>
      </c>
      <c r="S50" s="195">
        <f t="shared" si="1"/>
        <v>3740</v>
      </c>
      <c r="T50" s="196">
        <f t="shared" si="2"/>
        <v>1870</v>
      </c>
      <c r="U50" s="197"/>
      <c r="V50" s="197"/>
      <c r="W50" s="197">
        <v>50</v>
      </c>
      <c r="X50" s="197"/>
      <c r="Y50" s="197"/>
      <c r="Z50" s="197">
        <v>20</v>
      </c>
      <c r="AA50" s="197"/>
      <c r="AB50" s="197"/>
      <c r="AC50" s="197">
        <v>600</v>
      </c>
      <c r="AD50" s="198">
        <v>1200</v>
      </c>
    </row>
    <row r="51" spans="1:30" x14ac:dyDescent="0.25">
      <c r="A51" s="192" t="s">
        <v>1363</v>
      </c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>
        <v>184</v>
      </c>
      <c r="R51" s="195">
        <f t="shared" si="0"/>
        <v>0</v>
      </c>
      <c r="S51" s="195">
        <f t="shared" si="1"/>
        <v>0</v>
      </c>
      <c r="T51" s="196">
        <f t="shared" si="2"/>
        <v>0</v>
      </c>
      <c r="U51" s="197"/>
      <c r="V51" s="197"/>
      <c r="W51" s="197"/>
      <c r="X51" s="197"/>
      <c r="Y51" s="197"/>
      <c r="Z51" s="197"/>
      <c r="AA51" s="197"/>
      <c r="AB51" s="197"/>
      <c r="AC51" s="197"/>
      <c r="AD51" s="198"/>
    </row>
    <row r="52" spans="1:30" x14ac:dyDescent="0.25">
      <c r="A52" s="192" t="s">
        <v>428</v>
      </c>
      <c r="B52" s="193">
        <v>736</v>
      </c>
      <c r="C52" s="193"/>
      <c r="D52" s="194"/>
      <c r="E52" s="194"/>
      <c r="F52" s="194"/>
      <c r="G52" s="194"/>
      <c r="H52" s="194">
        <v>24</v>
      </c>
      <c r="I52" s="194"/>
      <c r="J52" s="194">
        <v>448</v>
      </c>
      <c r="K52" s="194"/>
      <c r="L52" s="194"/>
      <c r="M52" s="194">
        <v>32</v>
      </c>
      <c r="N52" s="194">
        <v>48</v>
      </c>
      <c r="O52" s="194"/>
      <c r="P52" s="194"/>
      <c r="Q52" s="194"/>
      <c r="R52" s="195">
        <f t="shared" si="0"/>
        <v>1288</v>
      </c>
      <c r="S52" s="195">
        <f t="shared" si="1"/>
        <v>400</v>
      </c>
      <c r="T52" s="196">
        <f t="shared" si="2"/>
        <v>200</v>
      </c>
      <c r="U52" s="197"/>
      <c r="V52" s="197"/>
      <c r="W52" s="197"/>
      <c r="X52" s="197"/>
      <c r="Y52" s="197"/>
      <c r="Z52" s="197"/>
      <c r="AA52" s="197"/>
      <c r="AB52" s="197"/>
      <c r="AC52" s="197">
        <v>200</v>
      </c>
      <c r="AD52" s="198"/>
    </row>
    <row r="53" spans="1:30" x14ac:dyDescent="0.25">
      <c r="A53" s="192" t="s">
        <v>1364</v>
      </c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>
        <v>60</v>
      </c>
      <c r="R53" s="195">
        <f t="shared" si="0"/>
        <v>0</v>
      </c>
      <c r="S53" s="195">
        <f t="shared" si="1"/>
        <v>0</v>
      </c>
      <c r="T53" s="196">
        <f t="shared" si="2"/>
        <v>0</v>
      </c>
      <c r="U53" s="197"/>
      <c r="V53" s="197"/>
      <c r="W53" s="197"/>
      <c r="X53" s="197"/>
      <c r="Y53" s="197"/>
      <c r="Z53" s="197"/>
      <c r="AA53" s="197"/>
      <c r="AB53" s="197"/>
      <c r="AC53" s="197"/>
      <c r="AD53" s="198"/>
    </row>
    <row r="54" spans="1:30" x14ac:dyDescent="0.25">
      <c r="A54" s="192" t="s">
        <v>430</v>
      </c>
      <c r="B54" s="194">
        <v>4464</v>
      </c>
      <c r="C54" s="194">
        <v>3</v>
      </c>
      <c r="D54" s="194"/>
      <c r="E54" s="194"/>
      <c r="F54" s="194">
        <v>4</v>
      </c>
      <c r="G54" s="194">
        <v>320264</v>
      </c>
      <c r="H54" s="194">
        <v>4568</v>
      </c>
      <c r="I54" s="194">
        <v>268</v>
      </c>
      <c r="J54" s="194">
        <v>672</v>
      </c>
      <c r="K54" s="194">
        <v>136</v>
      </c>
      <c r="L54" s="194">
        <v>276</v>
      </c>
      <c r="M54" s="194">
        <v>48</v>
      </c>
      <c r="N54" s="194">
        <v>56</v>
      </c>
      <c r="O54" s="194">
        <v>154</v>
      </c>
      <c r="P54" s="194"/>
      <c r="Q54" s="194"/>
      <c r="R54" s="195">
        <f t="shared" si="0"/>
        <v>330913</v>
      </c>
      <c r="S54" s="195">
        <f t="shared" si="1"/>
        <v>127208</v>
      </c>
      <c r="T54" s="196">
        <f t="shared" si="2"/>
        <v>63604</v>
      </c>
      <c r="U54" s="197">
        <v>19600</v>
      </c>
      <c r="V54" s="197"/>
      <c r="W54" s="197"/>
      <c r="X54" s="197"/>
      <c r="Y54" s="197"/>
      <c r="Z54" s="197"/>
      <c r="AA54" s="197">
        <v>4704</v>
      </c>
      <c r="AB54" s="197">
        <v>39200</v>
      </c>
      <c r="AC54" s="197">
        <v>100</v>
      </c>
      <c r="AD54" s="198"/>
    </row>
    <row r="55" spans="1:30" x14ac:dyDescent="0.25">
      <c r="A55" s="192" t="s">
        <v>1365</v>
      </c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>
        <v>3392</v>
      </c>
      <c r="R55" s="195">
        <f t="shared" si="0"/>
        <v>0</v>
      </c>
      <c r="S55" s="195">
        <f t="shared" si="1"/>
        <v>0</v>
      </c>
      <c r="T55" s="196">
        <f t="shared" si="2"/>
        <v>0</v>
      </c>
      <c r="U55" s="197"/>
      <c r="V55" s="197"/>
      <c r="W55" s="197"/>
      <c r="X55" s="197"/>
      <c r="Y55" s="197"/>
      <c r="Z55" s="197"/>
      <c r="AA55" s="197"/>
      <c r="AB55" s="197"/>
      <c r="AC55" s="197"/>
      <c r="AD55" s="198"/>
    </row>
    <row r="56" spans="1:30" x14ac:dyDescent="0.25">
      <c r="A56" s="192" t="s">
        <v>1366</v>
      </c>
      <c r="B56" s="193"/>
      <c r="C56" s="193"/>
      <c r="D56" s="194"/>
      <c r="E56" s="194"/>
      <c r="F56" s="194"/>
      <c r="G56" s="194"/>
      <c r="H56" s="194"/>
      <c r="I56" s="194"/>
      <c r="J56" s="194"/>
      <c r="K56" s="194"/>
      <c r="L56" s="194"/>
      <c r="M56" s="194">
        <v>1</v>
      </c>
      <c r="N56" s="194"/>
      <c r="O56" s="194"/>
      <c r="P56" s="194">
        <v>3</v>
      </c>
      <c r="Q56" s="194"/>
      <c r="R56" s="195">
        <f t="shared" si="0"/>
        <v>4</v>
      </c>
      <c r="S56" s="195">
        <f t="shared" si="1"/>
        <v>0</v>
      </c>
      <c r="T56" s="196">
        <f t="shared" si="2"/>
        <v>0</v>
      </c>
      <c r="U56" s="197"/>
      <c r="V56" s="197"/>
      <c r="W56" s="197"/>
      <c r="X56" s="197"/>
      <c r="Y56" s="197"/>
      <c r="Z56" s="197"/>
      <c r="AA56" s="197"/>
      <c r="AB56" s="197"/>
      <c r="AC56" s="197"/>
      <c r="AD56" s="198"/>
    </row>
    <row r="57" spans="1:30" x14ac:dyDescent="0.25">
      <c r="A57" s="192" t="s">
        <v>1277</v>
      </c>
      <c r="B57" s="194">
        <v>2592</v>
      </c>
      <c r="C57" s="194">
        <v>2592</v>
      </c>
      <c r="D57" s="194">
        <v>1814</v>
      </c>
      <c r="E57" s="194"/>
      <c r="F57" s="194"/>
      <c r="G57" s="194"/>
      <c r="H57" s="194"/>
      <c r="I57" s="194">
        <v>180</v>
      </c>
      <c r="J57" s="194"/>
      <c r="K57" s="194">
        <v>96</v>
      </c>
      <c r="L57" s="194">
        <v>34</v>
      </c>
      <c r="M57" s="194">
        <v>80</v>
      </c>
      <c r="N57" s="194">
        <v>72</v>
      </c>
      <c r="O57" s="194">
        <v>80</v>
      </c>
      <c r="P57" s="194"/>
      <c r="Q57" s="194"/>
      <c r="R57" s="195">
        <f t="shared" si="0"/>
        <v>7540</v>
      </c>
      <c r="S57" s="195">
        <f t="shared" si="1"/>
        <v>0</v>
      </c>
      <c r="T57" s="196">
        <f t="shared" si="2"/>
        <v>0</v>
      </c>
      <c r="U57" s="197"/>
      <c r="V57" s="197"/>
      <c r="W57" s="197"/>
      <c r="X57" s="197"/>
      <c r="Y57" s="197"/>
      <c r="Z57" s="197"/>
      <c r="AA57" s="197"/>
      <c r="AB57" s="197"/>
      <c r="AC57" s="197"/>
      <c r="AD57" s="198"/>
    </row>
    <row r="58" spans="1:30" x14ac:dyDescent="0.25">
      <c r="A58" s="192" t="s">
        <v>433</v>
      </c>
      <c r="B58" s="194">
        <v>1296</v>
      </c>
      <c r="C58" s="194"/>
      <c r="D58" s="194"/>
      <c r="E58" s="194"/>
      <c r="F58" s="194"/>
      <c r="G58" s="194"/>
      <c r="H58" s="194">
        <v>48</v>
      </c>
      <c r="I58" s="194"/>
      <c r="J58" s="194">
        <v>336</v>
      </c>
      <c r="K58" s="194"/>
      <c r="L58" s="194"/>
      <c r="M58" s="194"/>
      <c r="N58" s="194"/>
      <c r="O58" s="194"/>
      <c r="P58" s="194"/>
      <c r="Q58" s="194"/>
      <c r="R58" s="195">
        <f t="shared" si="0"/>
        <v>1680</v>
      </c>
      <c r="S58" s="195">
        <f t="shared" si="1"/>
        <v>1038</v>
      </c>
      <c r="T58" s="196">
        <f t="shared" si="2"/>
        <v>519</v>
      </c>
      <c r="U58" s="197"/>
      <c r="V58" s="197"/>
      <c r="W58" s="197"/>
      <c r="X58" s="197"/>
      <c r="Y58" s="197">
        <v>75</v>
      </c>
      <c r="Z58" s="197"/>
      <c r="AA58" s="197"/>
      <c r="AB58" s="197">
        <v>144</v>
      </c>
      <c r="AC58" s="197">
        <v>300</v>
      </c>
      <c r="AD58" s="198"/>
    </row>
    <row r="59" spans="1:30" x14ac:dyDescent="0.25">
      <c r="A59" s="201" t="s">
        <v>1367</v>
      </c>
      <c r="B59" s="202"/>
      <c r="C59" s="202"/>
      <c r="D59" s="202"/>
      <c r="E59" s="202"/>
      <c r="F59" s="202"/>
      <c r="G59" s="202"/>
      <c r="H59" s="202"/>
      <c r="I59" s="202"/>
      <c r="J59" s="202"/>
      <c r="K59" s="202"/>
      <c r="L59" s="202"/>
      <c r="M59" s="202"/>
      <c r="N59" s="202"/>
      <c r="O59" s="202"/>
      <c r="P59" s="202"/>
      <c r="Q59" s="202">
        <v>480</v>
      </c>
      <c r="R59" s="203">
        <f t="shared" si="0"/>
        <v>0</v>
      </c>
      <c r="S59" s="203">
        <f t="shared" si="1"/>
        <v>0</v>
      </c>
      <c r="T59" s="204">
        <f t="shared" si="2"/>
        <v>0</v>
      </c>
      <c r="U59" s="205"/>
      <c r="V59" s="205"/>
      <c r="W59" s="205"/>
      <c r="X59" s="205"/>
      <c r="Y59" s="205"/>
      <c r="Z59" s="205"/>
      <c r="AA59" s="205"/>
      <c r="AB59" s="205"/>
      <c r="AC59" s="205"/>
      <c r="AD59" s="206"/>
    </row>
  </sheetData>
  <mergeCells count="1">
    <mergeCell ref="A1:AD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9"/>
  <dimension ref="A1:G29"/>
  <sheetViews>
    <sheetView workbookViewId="0"/>
  </sheetViews>
  <sheetFormatPr defaultRowHeight="15" x14ac:dyDescent="0.25"/>
  <cols>
    <col min="1" max="1" width="16.7109375" customWidth="1"/>
    <col min="2" max="2" width="19.7109375" customWidth="1"/>
    <col min="3" max="3" width="6.28515625" customWidth="1"/>
    <col min="4" max="4" width="14.7109375" customWidth="1"/>
    <col min="6" max="6" width="13.7109375" customWidth="1"/>
  </cols>
  <sheetData>
    <row r="1" spans="1:7" ht="45" x14ac:dyDescent="0.25">
      <c r="A1" s="111" t="s">
        <v>100</v>
      </c>
      <c r="B1" s="111" t="s">
        <v>101</v>
      </c>
      <c r="C1" s="111" t="s">
        <v>102</v>
      </c>
      <c r="D1" s="111" t="s">
        <v>365</v>
      </c>
      <c r="E1" s="212" t="s">
        <v>1368</v>
      </c>
      <c r="F1" s="212" t="s">
        <v>1369</v>
      </c>
      <c r="G1" s="212" t="s">
        <v>1370</v>
      </c>
    </row>
    <row r="2" spans="1:7" x14ac:dyDescent="0.25">
      <c r="A2" s="90" t="s">
        <v>367</v>
      </c>
      <c r="B2" s="90" t="s">
        <v>383</v>
      </c>
      <c r="C2" s="90" t="s">
        <v>384</v>
      </c>
      <c r="D2" s="81">
        <v>1458</v>
      </c>
      <c r="E2" s="81">
        <f>REMESSAS!W164</f>
        <v>488</v>
      </c>
      <c r="F2">
        <v>0</v>
      </c>
    </row>
    <row r="3" spans="1:7" x14ac:dyDescent="0.25">
      <c r="A3" s="90" t="s">
        <v>371</v>
      </c>
      <c r="B3" s="90" t="s">
        <v>386</v>
      </c>
      <c r="C3" s="90" t="s">
        <v>387</v>
      </c>
      <c r="D3" s="81">
        <v>1632</v>
      </c>
      <c r="E3" s="81">
        <f>REMESSAS!W165</f>
        <v>2800</v>
      </c>
      <c r="F3">
        <v>0</v>
      </c>
    </row>
    <row r="4" spans="1:7" x14ac:dyDescent="0.25">
      <c r="A4" s="90" t="s">
        <v>371</v>
      </c>
      <c r="B4" s="90" t="s">
        <v>388</v>
      </c>
      <c r="C4" s="90" t="s">
        <v>389</v>
      </c>
      <c r="D4" s="81">
        <v>1800</v>
      </c>
      <c r="E4" s="81">
        <f>REMESSAS!W166</f>
        <v>488</v>
      </c>
      <c r="F4">
        <v>0</v>
      </c>
    </row>
    <row r="5" spans="1:7" x14ac:dyDescent="0.25">
      <c r="A5" s="90" t="s">
        <v>371</v>
      </c>
      <c r="B5" s="90" t="s">
        <v>390</v>
      </c>
      <c r="C5" s="90" t="s">
        <v>391</v>
      </c>
      <c r="D5" s="81">
        <v>5088</v>
      </c>
      <c r="E5" s="81">
        <f>REMESSAS!W167</f>
        <v>158900</v>
      </c>
      <c r="F5">
        <v>0</v>
      </c>
    </row>
    <row r="6" spans="1:7" x14ac:dyDescent="0.25">
      <c r="A6" s="90" t="s">
        <v>378</v>
      </c>
      <c r="B6" s="90" t="s">
        <v>396</v>
      </c>
      <c r="C6" s="90" t="s">
        <v>397</v>
      </c>
      <c r="D6" s="81">
        <v>2918</v>
      </c>
      <c r="E6" s="81">
        <f>REMESSAS!W168</f>
        <v>1305</v>
      </c>
      <c r="F6">
        <v>342</v>
      </c>
    </row>
    <row r="7" spans="1:7" x14ac:dyDescent="0.25">
      <c r="A7" s="90" t="s">
        <v>378</v>
      </c>
      <c r="B7" s="90" t="s">
        <v>398</v>
      </c>
      <c r="C7" s="90" t="s">
        <v>399</v>
      </c>
      <c r="D7" s="81">
        <v>864</v>
      </c>
      <c r="E7" s="81">
        <f>REMESSAS!W169</f>
        <v>138400</v>
      </c>
      <c r="F7">
        <v>376</v>
      </c>
    </row>
    <row r="8" spans="1:7" x14ac:dyDescent="0.25">
      <c r="A8" s="90" t="s">
        <v>378</v>
      </c>
      <c r="B8" s="90" t="s">
        <v>400</v>
      </c>
      <c r="C8" s="90" t="s">
        <v>401</v>
      </c>
      <c r="D8" s="81">
        <v>3608</v>
      </c>
      <c r="E8" s="81">
        <f>REMESSAS!W170</f>
        <v>0</v>
      </c>
      <c r="F8">
        <v>542</v>
      </c>
    </row>
    <row r="9" spans="1:7" x14ac:dyDescent="0.25">
      <c r="A9" s="90" t="s">
        <v>385</v>
      </c>
      <c r="B9" s="90" t="s">
        <v>402</v>
      </c>
      <c r="C9" s="90" t="s">
        <v>403</v>
      </c>
      <c r="D9" s="81">
        <v>1294</v>
      </c>
      <c r="E9" s="81">
        <f>REMESSAS!W171</f>
        <v>0</v>
      </c>
      <c r="F9">
        <v>300</v>
      </c>
    </row>
    <row r="10" spans="1:7" x14ac:dyDescent="0.25">
      <c r="A10" s="90" t="s">
        <v>378</v>
      </c>
      <c r="B10" s="90" t="s">
        <v>404</v>
      </c>
      <c r="C10" s="90" t="s">
        <v>405</v>
      </c>
      <c r="D10" s="81">
        <v>2280</v>
      </c>
      <c r="E10" s="81">
        <f>REMESSAS!W172</f>
        <v>0</v>
      </c>
      <c r="F10">
        <v>0</v>
      </c>
    </row>
    <row r="11" spans="1:7" x14ac:dyDescent="0.25">
      <c r="A11" s="90" t="s">
        <v>378</v>
      </c>
      <c r="B11" s="90" t="s">
        <v>407</v>
      </c>
      <c r="C11" s="90" t="s">
        <v>408</v>
      </c>
      <c r="D11" s="81">
        <v>6</v>
      </c>
      <c r="E11" s="81">
        <f>REMESSAS!W173</f>
        <v>0</v>
      </c>
      <c r="F11">
        <v>0</v>
      </c>
    </row>
    <row r="12" spans="1:7" x14ac:dyDescent="0.25">
      <c r="A12" s="90" t="s">
        <v>392</v>
      </c>
      <c r="B12" s="90" t="s">
        <v>410</v>
      </c>
      <c r="C12" s="90" t="s">
        <v>411</v>
      </c>
      <c r="D12" s="81">
        <v>888</v>
      </c>
      <c r="E12" s="81">
        <f>REMESSAS!W174</f>
        <v>367</v>
      </c>
      <c r="F12">
        <v>200</v>
      </c>
    </row>
    <row r="13" spans="1:7" x14ac:dyDescent="0.25">
      <c r="A13" s="90" t="s">
        <v>395</v>
      </c>
      <c r="B13" s="90" t="s">
        <v>416</v>
      </c>
      <c r="C13" s="90" t="s">
        <v>417</v>
      </c>
      <c r="D13" s="81">
        <v>1224</v>
      </c>
      <c r="E13" s="81">
        <f>REMESSAS!W175</f>
        <v>1450</v>
      </c>
      <c r="F13">
        <v>420</v>
      </c>
    </row>
    <row r="14" spans="1:7" x14ac:dyDescent="0.25">
      <c r="A14" s="90" t="s">
        <v>395</v>
      </c>
      <c r="B14" s="90" t="s">
        <v>419</v>
      </c>
      <c r="C14" s="90" t="s">
        <v>420</v>
      </c>
      <c r="D14" s="81">
        <v>72</v>
      </c>
      <c r="E14" s="81">
        <f>REMESSAS!W176</f>
        <v>700</v>
      </c>
      <c r="F14">
        <v>0</v>
      </c>
    </row>
    <row r="15" spans="1:7" x14ac:dyDescent="0.25">
      <c r="A15" s="90" t="s">
        <v>395</v>
      </c>
      <c r="B15" s="90" t="s">
        <v>421</v>
      </c>
      <c r="C15" s="90" t="s">
        <v>422</v>
      </c>
      <c r="D15" s="81">
        <v>2</v>
      </c>
      <c r="E15" s="81">
        <f>REMESSAS!W177</f>
        <v>3610</v>
      </c>
      <c r="F15">
        <v>0</v>
      </c>
    </row>
    <row r="16" spans="1:7" x14ac:dyDescent="0.25">
      <c r="A16" s="90" t="s">
        <v>378</v>
      </c>
      <c r="B16" s="90" t="s">
        <v>426</v>
      </c>
      <c r="C16" s="90" t="s">
        <v>427</v>
      </c>
      <c r="D16" s="81">
        <v>8215</v>
      </c>
      <c r="E16" s="81">
        <f>REMESSAS!W178</f>
        <v>1290</v>
      </c>
      <c r="F16">
        <v>1583</v>
      </c>
    </row>
    <row r="17" spans="1:6" x14ac:dyDescent="0.25">
      <c r="A17" s="90" t="s">
        <v>395</v>
      </c>
      <c r="B17" s="90" t="s">
        <v>433</v>
      </c>
      <c r="C17" s="90" t="s">
        <v>434</v>
      </c>
      <c r="D17" s="81">
        <v>1298</v>
      </c>
      <c r="E17" s="81">
        <f>REMESSAS!W179</f>
        <v>2290</v>
      </c>
      <c r="F17">
        <v>420</v>
      </c>
    </row>
    <row r="18" spans="1:6" x14ac:dyDescent="0.25">
      <c r="A18" s="90" t="s">
        <v>406</v>
      </c>
      <c r="B18" s="90" t="s">
        <v>372</v>
      </c>
      <c r="C18" s="90" t="s">
        <v>373</v>
      </c>
      <c r="D18" s="81">
        <v>8135</v>
      </c>
      <c r="E18" s="81">
        <f>REMESSAS!W180</f>
        <v>10</v>
      </c>
      <c r="F18">
        <v>1600</v>
      </c>
    </row>
    <row r="19" spans="1:6" x14ac:dyDescent="0.25">
      <c r="A19" s="207" t="s">
        <v>409</v>
      </c>
      <c r="B19" s="207" t="s">
        <v>393</v>
      </c>
      <c r="C19" s="90" t="s">
        <v>394</v>
      </c>
      <c r="D19" s="81">
        <v>568</v>
      </c>
      <c r="E19" s="81">
        <f>REMESSAS!W181</f>
        <v>864</v>
      </c>
      <c r="F19">
        <v>367</v>
      </c>
    </row>
    <row r="20" spans="1:6" x14ac:dyDescent="0.25">
      <c r="A20" s="90" t="s">
        <v>406</v>
      </c>
      <c r="B20" s="90" t="s">
        <v>379</v>
      </c>
      <c r="C20" s="90" t="s">
        <v>380</v>
      </c>
      <c r="D20" s="81">
        <v>1298</v>
      </c>
      <c r="E20" s="81">
        <f>REMESSAS!W182</f>
        <v>12400</v>
      </c>
      <c r="F20">
        <v>276</v>
      </c>
    </row>
    <row r="21" spans="1:6" x14ac:dyDescent="0.25">
      <c r="A21" s="90" t="s">
        <v>413</v>
      </c>
      <c r="B21" s="90" t="s">
        <v>424</v>
      </c>
      <c r="C21" s="90" t="s">
        <v>425</v>
      </c>
      <c r="D21" s="81">
        <v>1302</v>
      </c>
      <c r="E21" s="81">
        <f>REMESSAS!W183</f>
        <v>156400</v>
      </c>
      <c r="F21">
        <v>448</v>
      </c>
    </row>
    <row r="22" spans="1:6" x14ac:dyDescent="0.25">
      <c r="A22" s="90" t="s">
        <v>413</v>
      </c>
      <c r="B22" s="90" t="s">
        <v>428</v>
      </c>
      <c r="C22" s="90" t="s">
        <v>429</v>
      </c>
      <c r="D22" s="81">
        <v>736</v>
      </c>
      <c r="E22" s="81">
        <f>REMESSAS!W184</f>
        <v>1285</v>
      </c>
      <c r="F22">
        <v>0</v>
      </c>
    </row>
    <row r="23" spans="1:6" x14ac:dyDescent="0.25">
      <c r="A23" s="90" t="s">
        <v>418</v>
      </c>
      <c r="B23" s="90" t="s">
        <v>368</v>
      </c>
      <c r="C23" s="90" t="s">
        <v>369</v>
      </c>
      <c r="D23" s="81">
        <v>870</v>
      </c>
      <c r="E23" s="81">
        <f>REMESSAS!W185</f>
        <v>72</v>
      </c>
      <c r="F23">
        <v>388</v>
      </c>
    </row>
    <row r="24" spans="1:6" x14ac:dyDescent="0.25">
      <c r="A24" s="90" t="s">
        <v>418</v>
      </c>
      <c r="B24" s="90" t="s">
        <v>374</v>
      </c>
      <c r="C24" s="90" t="s">
        <v>375</v>
      </c>
      <c r="D24" s="81">
        <v>488</v>
      </c>
      <c r="E24" s="81">
        <f>REMESSAS!W186</f>
        <v>0</v>
      </c>
      <c r="F24">
        <v>388</v>
      </c>
    </row>
    <row r="25" spans="1:6" x14ac:dyDescent="0.25">
      <c r="A25" s="90" t="s">
        <v>423</v>
      </c>
      <c r="B25" s="90" t="s">
        <v>410</v>
      </c>
      <c r="C25" s="90" t="s">
        <v>412</v>
      </c>
      <c r="D25" s="81">
        <v>13072</v>
      </c>
      <c r="E25" s="81">
        <f>REMESSAS!W187</f>
        <v>890</v>
      </c>
      <c r="F25">
        <v>1584</v>
      </c>
    </row>
    <row r="26" spans="1:6" x14ac:dyDescent="0.25">
      <c r="A26" s="90" t="s">
        <v>392</v>
      </c>
      <c r="B26" s="90" t="s">
        <v>414</v>
      </c>
      <c r="C26" s="90" t="s">
        <v>415</v>
      </c>
      <c r="D26" s="81">
        <v>307192</v>
      </c>
      <c r="E26" s="81">
        <f>REMESSAS!W188</f>
        <v>3850</v>
      </c>
      <c r="F26">
        <v>41400</v>
      </c>
    </row>
    <row r="27" spans="1:6" x14ac:dyDescent="0.25">
      <c r="A27" s="90" t="s">
        <v>378</v>
      </c>
      <c r="B27" s="90" t="s">
        <v>430</v>
      </c>
      <c r="C27" s="90" t="s">
        <v>431</v>
      </c>
      <c r="D27" s="81">
        <v>307192</v>
      </c>
      <c r="E27" s="81">
        <f>REMESSAS!W189</f>
        <v>560</v>
      </c>
      <c r="F27">
        <v>42430</v>
      </c>
    </row>
    <row r="28" spans="1:6" x14ac:dyDescent="0.25">
      <c r="A28" s="90" t="s">
        <v>406</v>
      </c>
      <c r="B28" s="90" t="s">
        <v>376</v>
      </c>
      <c r="C28" s="90" t="s">
        <v>377</v>
      </c>
      <c r="D28" s="81">
        <v>320264</v>
      </c>
      <c r="E28" s="81">
        <f>REMESSAS!W190</f>
        <v>158900</v>
      </c>
      <c r="F28">
        <v>43600</v>
      </c>
    </row>
    <row r="29" spans="1:6" x14ac:dyDescent="0.25">
      <c r="A29" s="90" t="s">
        <v>432</v>
      </c>
      <c r="B29" s="90" t="s">
        <v>381</v>
      </c>
      <c r="C29" s="90" t="s">
        <v>382</v>
      </c>
      <c r="D29" s="81">
        <v>209152</v>
      </c>
      <c r="E29" s="81">
        <f>REMESSAS!W191</f>
        <v>1219</v>
      </c>
      <c r="F29">
        <v>27000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30"/>
  <dimension ref="A1:P45"/>
  <sheetViews>
    <sheetView showGridLines="0" workbookViewId="0">
      <selection sqref="A1:H1"/>
    </sheetView>
  </sheetViews>
  <sheetFormatPr defaultColWidth="8.5703125" defaultRowHeight="15" x14ac:dyDescent="0.25"/>
  <cols>
    <col min="1" max="1" width="18" customWidth="1"/>
    <col min="2" max="2" width="24" customWidth="1"/>
    <col min="3" max="3" width="18" customWidth="1"/>
    <col min="4" max="4" width="12" customWidth="1"/>
    <col min="5" max="5" width="16" customWidth="1"/>
    <col min="6" max="8" width="14" customWidth="1"/>
    <col min="9" max="9" width="18" customWidth="1"/>
  </cols>
  <sheetData>
    <row r="1" spans="1:16" ht="25.5" customHeight="1" x14ac:dyDescent="0.25">
      <c r="A1" s="392" t="s">
        <v>1371</v>
      </c>
      <c r="B1" s="393"/>
      <c r="C1" s="393"/>
      <c r="D1" s="393"/>
      <c r="E1" s="393"/>
      <c r="F1" s="393"/>
      <c r="G1" s="393"/>
      <c r="H1" s="393"/>
      <c r="I1" s="142"/>
    </row>
    <row r="2" spans="1:16" ht="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</row>
    <row r="3" spans="1:16" ht="30" customHeight="1" x14ac:dyDescent="0.25">
      <c r="A3" s="107" t="s">
        <v>1372</v>
      </c>
      <c r="B3" s="107" t="s">
        <v>570</v>
      </c>
      <c r="C3" s="143"/>
      <c r="D3" s="107" t="s">
        <v>9</v>
      </c>
      <c r="E3" s="107" t="s">
        <v>10</v>
      </c>
      <c r="F3" s="107" t="s">
        <v>67</v>
      </c>
      <c r="G3" s="107" t="s">
        <v>1373</v>
      </c>
      <c r="H3" s="107" t="s">
        <v>1374</v>
      </c>
      <c r="I3" s="107" t="s">
        <v>16</v>
      </c>
      <c r="J3" s="143"/>
      <c r="K3" s="143"/>
      <c r="L3" s="143"/>
      <c r="M3" s="143"/>
      <c r="N3" s="143"/>
      <c r="O3" s="143"/>
      <c r="P3" s="143"/>
    </row>
    <row r="4" spans="1:16" ht="30" customHeight="1" x14ac:dyDescent="0.25">
      <c r="A4" s="147" t="s">
        <v>1375</v>
      </c>
      <c r="B4" s="118">
        <f>Apontamento_Montagem!C15</f>
        <v>817</v>
      </c>
      <c r="C4" s="143"/>
      <c r="D4" s="1" t="str">
        <f>Apontamento_Montagem!A19</f>
        <v>SETOR 01</v>
      </c>
      <c r="E4" s="1">
        <f>Apontamento_Montagem!B19</f>
        <v>0</v>
      </c>
      <c r="F4" s="1" t="str">
        <f>Apontamento_Montagem!C19</f>
        <v>P1</v>
      </c>
      <c r="G4" s="1" t="str">
        <f>Apontamento_Montagem!D19</f>
        <v>NÃO</v>
      </c>
      <c r="H4" s="1">
        <f>Apontamento_Montagem!F19</f>
        <v>0</v>
      </c>
      <c r="I4" s="1" t="str">
        <f>Apontamento_Montagem!L19</f>
        <v>PENDENTE</v>
      </c>
      <c r="J4" s="143"/>
      <c r="K4" s="143"/>
      <c r="L4" s="143"/>
      <c r="M4" s="143"/>
      <c r="N4" s="143"/>
      <c r="O4" s="143"/>
      <c r="P4" s="143"/>
    </row>
    <row r="5" spans="1:16" ht="30" customHeight="1" x14ac:dyDescent="0.25">
      <c r="A5" s="147" t="s">
        <v>1376</v>
      </c>
      <c r="B5" s="118">
        <f>Apontamento_Montagem!D15</f>
        <v>299</v>
      </c>
      <c r="C5" s="143"/>
      <c r="D5" s="1" t="str">
        <f>Apontamento_Montagem!A20</f>
        <v>SETOR 02</v>
      </c>
      <c r="E5" s="1">
        <f>Apontamento_Montagem!B20</f>
        <v>0</v>
      </c>
      <c r="F5" s="1" t="str">
        <f>Apontamento_Montagem!C20</f>
        <v>P2</v>
      </c>
      <c r="G5" s="1" t="str">
        <f>Apontamento_Montagem!D20</f>
        <v>NÃO</v>
      </c>
      <c r="H5" s="1">
        <f>Apontamento_Montagem!F20</f>
        <v>0</v>
      </c>
      <c r="I5" s="1" t="str">
        <f>Apontamento_Montagem!L20</f>
        <v>PENDENTE</v>
      </c>
      <c r="J5" s="143"/>
      <c r="K5" s="143"/>
      <c r="L5" s="143"/>
      <c r="M5" s="143"/>
      <c r="N5" s="143"/>
      <c r="O5" s="143"/>
      <c r="P5" s="143"/>
    </row>
    <row r="6" spans="1:16" ht="30" customHeight="1" x14ac:dyDescent="0.25">
      <c r="A6" s="147" t="s">
        <v>1377</v>
      </c>
      <c r="B6" s="118">
        <f>Apontamento_Montagem!F15</f>
        <v>518</v>
      </c>
      <c r="C6" s="143"/>
      <c r="D6" s="1" t="str">
        <f>Apontamento_Montagem!A21</f>
        <v>SETOR 03</v>
      </c>
      <c r="E6" s="1">
        <f>Apontamento_Montagem!B21</f>
        <v>0</v>
      </c>
      <c r="F6" s="1" t="str">
        <f>Apontamento_Montagem!C21</f>
        <v>P3</v>
      </c>
      <c r="G6" s="1" t="str">
        <f>Apontamento_Montagem!D21</f>
        <v>NÃO</v>
      </c>
      <c r="H6" s="1">
        <f>Apontamento_Montagem!F21</f>
        <v>0</v>
      </c>
      <c r="I6" s="1" t="str">
        <f>Apontamento_Montagem!L21</f>
        <v>PENDENTE</v>
      </c>
      <c r="J6" s="143"/>
      <c r="K6" s="143"/>
      <c r="L6" s="143"/>
      <c r="M6" s="143"/>
      <c r="N6" s="143"/>
      <c r="O6" s="143"/>
      <c r="P6" s="143"/>
    </row>
    <row r="7" spans="1:16" ht="30" customHeight="1" x14ac:dyDescent="0.25">
      <c r="A7" s="147" t="s">
        <v>1378</v>
      </c>
      <c r="B7" s="119">
        <f>Apontamento_Montagem!G15</f>
        <v>0.3659730722154223</v>
      </c>
      <c r="C7" s="143"/>
      <c r="D7" s="1" t="str">
        <f>Apontamento_Montagem!A22</f>
        <v>SETOR 04</v>
      </c>
      <c r="E7" s="1">
        <f>Apontamento_Montagem!B22</f>
        <v>0</v>
      </c>
      <c r="F7" s="1" t="str">
        <f>Apontamento_Montagem!C22</f>
        <v>P4</v>
      </c>
      <c r="G7" s="1" t="str">
        <f>Apontamento_Montagem!D22</f>
        <v>NÃO</v>
      </c>
      <c r="H7" s="1">
        <f>Apontamento_Montagem!F22</f>
        <v>0</v>
      </c>
      <c r="I7" s="1" t="str">
        <f>Apontamento_Montagem!L22</f>
        <v>PENDENTE</v>
      </c>
      <c r="J7" s="143"/>
      <c r="K7" s="143"/>
      <c r="L7" s="143"/>
      <c r="M7" s="143"/>
      <c r="N7" s="143"/>
      <c r="O7" s="143"/>
      <c r="P7" s="143"/>
    </row>
    <row r="8" spans="1:16" ht="30" customHeight="1" x14ac:dyDescent="0.25">
      <c r="A8" s="147" t="s">
        <v>1379</v>
      </c>
      <c r="B8" s="118">
        <f>COUNTIF(Controle_Materiais!AT:AT,"CRÍTICO")</f>
        <v>3</v>
      </c>
      <c r="C8" s="143"/>
      <c r="D8" s="1" t="str">
        <f>Apontamento_Montagem!A23</f>
        <v>SETOR 05</v>
      </c>
      <c r="E8" s="1">
        <f>Apontamento_Montagem!B23</f>
        <v>0</v>
      </c>
      <c r="F8" s="1" t="str">
        <f>Apontamento_Montagem!C23</f>
        <v>P5</v>
      </c>
      <c r="G8" s="1" t="str">
        <f>Apontamento_Montagem!D23</f>
        <v>NÃO</v>
      </c>
      <c r="H8" s="1">
        <f>Apontamento_Montagem!F23</f>
        <v>0</v>
      </c>
      <c r="I8" s="1" t="str">
        <f>Apontamento_Montagem!L23</f>
        <v>PENDENTE</v>
      </c>
      <c r="J8" s="143"/>
      <c r="K8" s="143"/>
      <c r="L8" s="143"/>
      <c r="M8" s="143"/>
      <c r="N8" s="143"/>
      <c r="O8" s="143"/>
      <c r="P8" s="143"/>
    </row>
    <row r="9" spans="1:16" ht="27.75" customHeight="1" x14ac:dyDescent="0.25">
      <c r="A9" s="147" t="s">
        <v>1380</v>
      </c>
      <c r="B9" s="118">
        <f>COUNTIF(Controle_Materiais!AT:AT,"ATENÇÃO")</f>
        <v>5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</row>
    <row r="10" spans="1:16" ht="15.75" customHeight="1" x14ac:dyDescent="0.25">
      <c r="A10" s="147" t="s">
        <v>1381</v>
      </c>
      <c r="B10" s="118">
        <f>COUNTIF(Consumo_Joists!AA:AA,"CRÍTICO")</f>
        <v>0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</row>
    <row r="11" spans="1:16" ht="15" customHeight="1" x14ac:dyDescent="0.25">
      <c r="A11" s="453" t="s">
        <v>1382</v>
      </c>
      <c r="B11" s="454"/>
      <c r="C11" s="454"/>
      <c r="D11" s="454"/>
      <c r="E11" s="454"/>
      <c r="F11" s="454"/>
      <c r="G11" s="454"/>
      <c r="H11" s="455"/>
      <c r="I11" s="143"/>
      <c r="J11" s="143"/>
      <c r="K11" s="143"/>
      <c r="L11" s="143"/>
      <c r="M11" s="143"/>
      <c r="N11" s="143"/>
      <c r="O11" s="143"/>
      <c r="P11" s="143"/>
    </row>
    <row r="12" spans="1:16" ht="21.75" customHeight="1" x14ac:dyDescent="0.25">
      <c r="A12" s="143"/>
      <c r="B12" s="143"/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</row>
    <row r="13" spans="1:16" ht="21.75" customHeight="1" x14ac:dyDescent="0.25">
      <c r="A13" s="143"/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</row>
    <row r="14" spans="1:16" ht="21.75" customHeight="1" x14ac:dyDescent="0.25">
      <c r="A14" s="432" t="s">
        <v>1383</v>
      </c>
      <c r="B14" s="393"/>
      <c r="C14" s="393"/>
      <c r="D14" s="393"/>
      <c r="E14" s="393"/>
      <c r="F14" s="393"/>
      <c r="G14" s="393"/>
      <c r="H14" s="393"/>
      <c r="I14" s="143"/>
      <c r="J14" s="143"/>
      <c r="K14" s="143"/>
      <c r="L14" s="143"/>
      <c r="M14" s="143"/>
      <c r="N14" s="143"/>
      <c r="O14" s="143"/>
      <c r="P14" s="143"/>
    </row>
    <row r="15" spans="1:16" ht="21.75" customHeight="1" x14ac:dyDescent="0.25">
      <c r="A15" s="107" t="s">
        <v>102</v>
      </c>
      <c r="B15" s="107" t="s">
        <v>101</v>
      </c>
      <c r="C15" s="107" t="s">
        <v>67</v>
      </c>
      <c r="D15" s="107" t="s">
        <v>9</v>
      </c>
      <c r="E15" s="107" t="s">
        <v>1384</v>
      </c>
      <c r="F15" s="107" t="s">
        <v>16</v>
      </c>
      <c r="G15" s="107" t="s">
        <v>509</v>
      </c>
      <c r="H15" s="107" t="s">
        <v>19</v>
      </c>
      <c r="I15" s="143"/>
      <c r="J15" s="143"/>
      <c r="K15" s="143"/>
      <c r="L15" s="143"/>
      <c r="M15" s="143"/>
      <c r="N15" s="143"/>
      <c r="O15" s="143"/>
      <c r="P15" s="143"/>
    </row>
    <row r="16" spans="1:16" ht="21.75" customHeight="1" x14ac:dyDescent="0.25">
      <c r="A16" s="1" t="str">
        <f>Controle_Materiais!G3</f>
        <v>BZ001</v>
      </c>
      <c r="B16" s="1" t="str">
        <f>Controle_Materiais!F3</f>
        <v>BANZO JOIST</v>
      </c>
      <c r="C16" s="1" t="str">
        <f>Controle_Materiais!V3</f>
        <v>P1</v>
      </c>
      <c r="D16" s="1">
        <f>Controle_Materiais!AP3</f>
        <v>0</v>
      </c>
      <c r="E16" s="1">
        <f>Controle_Materiais!AS3</f>
        <v>66</v>
      </c>
      <c r="F16" s="1" t="str">
        <f>Controle_Materiais!AT3</f>
        <v>ATENÇÃO</v>
      </c>
      <c r="G16" s="1">
        <f>Controle_Materiais!AU3</f>
        <v>1396</v>
      </c>
      <c r="H16" s="1" t="str">
        <f>Controle_Materiais!Y3</f>
        <v>Enviar se houver espaço</v>
      </c>
      <c r="I16" s="143"/>
      <c r="J16" s="143"/>
      <c r="K16" s="143"/>
      <c r="L16" s="143"/>
      <c r="M16" s="143"/>
      <c r="N16" s="143"/>
      <c r="O16" s="143"/>
      <c r="P16" s="143"/>
    </row>
    <row r="17" spans="1:16" ht="15.75" customHeight="1" x14ac:dyDescent="0.25">
      <c r="A17" s="1" t="str">
        <f>Controle_Materiais!G4</f>
        <v>BZ002</v>
      </c>
      <c r="B17" s="1" t="str">
        <f>Controle_Materiais!F4</f>
        <v>BANZO JOIST</v>
      </c>
      <c r="C17" s="1" t="str">
        <f>Controle_Materiais!V4</f>
        <v>P1</v>
      </c>
      <c r="D17" s="1">
        <f>Controle_Materiais!AP4</f>
        <v>0</v>
      </c>
      <c r="E17" s="1">
        <f>Controle_Materiais!AS4</f>
        <v>146</v>
      </c>
      <c r="F17" s="1" t="str">
        <f>Controle_Materiais!AT4</f>
        <v>ATENÇÃO</v>
      </c>
      <c r="G17" s="1">
        <f>Controle_Materiais!AU4</f>
        <v>1488</v>
      </c>
      <c r="H17" s="1" t="str">
        <f>Controle_Materiais!Y4</f>
        <v>Enviar se houver espaço</v>
      </c>
      <c r="I17" s="143"/>
      <c r="J17" s="143"/>
      <c r="K17" s="143"/>
      <c r="L17" s="143"/>
      <c r="M17" s="143"/>
      <c r="N17" s="143"/>
      <c r="O17" s="143"/>
      <c r="P17" s="143"/>
    </row>
    <row r="18" spans="1:16" ht="15.75" customHeight="1" x14ac:dyDescent="0.25">
      <c r="A18" s="1" t="str">
        <f>Controle_Materiais!G5</f>
        <v>BZ005</v>
      </c>
      <c r="B18" s="1" t="str">
        <f>Controle_Materiais!F5</f>
        <v>BANZO JOIST</v>
      </c>
      <c r="C18" s="1" t="str">
        <f>Controle_Materiais!V5</f>
        <v>P1</v>
      </c>
      <c r="D18" s="1">
        <f>Controle_Materiais!AP5</f>
        <v>0</v>
      </c>
      <c r="E18" s="1">
        <f>Controle_Materiais!AS5</f>
        <v>86</v>
      </c>
      <c r="F18" s="1" t="str">
        <f>Controle_Materiais!AT5</f>
        <v>OK</v>
      </c>
      <c r="G18" s="1">
        <f>Controle_Materiais!AU5</f>
        <v>86</v>
      </c>
      <c r="H18" s="1" t="str">
        <f>Controle_Materiais!Y5</f>
        <v>Monitorar</v>
      </c>
      <c r="I18" s="143"/>
      <c r="J18" s="143"/>
      <c r="K18" s="143"/>
      <c r="L18" s="143"/>
      <c r="M18" s="143"/>
      <c r="N18" s="143"/>
      <c r="O18" s="143"/>
      <c r="P18" s="143"/>
    </row>
    <row r="19" spans="1:16" ht="15.75" customHeight="1" x14ac:dyDescent="0.25">
      <c r="A19" s="1" t="str">
        <f>Controle_Materiais!G6</f>
        <v>DN001</v>
      </c>
      <c r="B19" s="1" t="str">
        <f>Controle_Materiais!F6</f>
        <v>DIAGONAL JOIST</v>
      </c>
      <c r="C19" s="1" t="str">
        <f>Controle_Materiais!V6</f>
        <v>P1</v>
      </c>
      <c r="D19" s="1">
        <f>Controle_Materiais!AP6</f>
        <v>0</v>
      </c>
      <c r="E19" s="1">
        <f>Controle_Materiais!AS6</f>
        <v>1602</v>
      </c>
      <c r="F19" s="1" t="str">
        <f>Controle_Materiais!AT6</f>
        <v>OK</v>
      </c>
      <c r="G19" s="1">
        <f>Controle_Materiais!AU6</f>
        <v>1666</v>
      </c>
      <c r="H19" s="1" t="str">
        <f>Controle_Materiais!Y6</f>
        <v>Monitorar</v>
      </c>
      <c r="I19" s="143"/>
      <c r="J19" s="143"/>
      <c r="K19" s="143"/>
      <c r="L19" s="143"/>
      <c r="M19" s="143"/>
      <c r="N19" s="143"/>
      <c r="O19" s="143"/>
      <c r="P19" s="143"/>
    </row>
    <row r="20" spans="1:16" ht="15.75" customHeight="1" x14ac:dyDescent="0.25">
      <c r="A20" s="1" t="str">
        <f>Controle_Materiais!G7</f>
        <v>DN002</v>
      </c>
      <c r="B20" s="1" t="str">
        <f>Controle_Materiais!F7</f>
        <v>DIAGONAL JOIST</v>
      </c>
      <c r="C20" s="1" t="str">
        <f>Controle_Materiais!V7</f>
        <v>P1</v>
      </c>
      <c r="D20" s="1">
        <f>Controle_Materiais!AP7</f>
        <v>0</v>
      </c>
      <c r="E20" s="1">
        <f>Controle_Materiais!AS7</f>
        <v>1604</v>
      </c>
      <c r="F20" s="1" t="str">
        <f>Controle_Materiais!AT7</f>
        <v>OK</v>
      </c>
      <c r="G20" s="1">
        <f>Controle_Materiais!AU7</f>
        <v>1664</v>
      </c>
      <c r="H20" s="1" t="str">
        <f>Controle_Materiais!Y7</f>
        <v>Monitorar</v>
      </c>
      <c r="I20" s="143"/>
      <c r="J20" s="143"/>
      <c r="K20" s="143"/>
      <c r="L20" s="143"/>
      <c r="M20" s="143"/>
      <c r="N20" s="143"/>
      <c r="O20" s="143"/>
      <c r="P20" s="143"/>
    </row>
    <row r="21" spans="1:16" ht="15.75" customHeight="1" x14ac:dyDescent="0.25">
      <c r="A21" s="1" t="str">
        <f>Controle_Materiais!G8</f>
        <v>DN003</v>
      </c>
      <c r="B21" s="1" t="str">
        <f>Controle_Materiais!F8</f>
        <v>DIAGONAL JOIST</v>
      </c>
      <c r="C21" s="1" t="str">
        <f>Controle_Materiais!V8</f>
        <v>P1</v>
      </c>
      <c r="D21" s="1">
        <f>Controle_Materiais!AP8</f>
        <v>0</v>
      </c>
      <c r="E21" s="1">
        <f>Controle_Materiais!AS8</f>
        <v>2704</v>
      </c>
      <c r="F21" s="1" t="str">
        <f>Controle_Materiais!AT8</f>
        <v>ATENÇÃO</v>
      </c>
      <c r="G21" s="1">
        <f>Controle_Materiais!AU8</f>
        <v>39780</v>
      </c>
      <c r="H21" s="1" t="str">
        <f>Controle_Materiais!Y8</f>
        <v>Enviar se houver espaço</v>
      </c>
      <c r="I21" s="143"/>
      <c r="J21" s="143"/>
      <c r="K21" s="143"/>
      <c r="L21" s="143"/>
      <c r="M21" s="143"/>
      <c r="N21" s="143"/>
      <c r="O21" s="143"/>
      <c r="P21" s="143"/>
    </row>
    <row r="22" spans="1:16" ht="15.75" customHeight="1" x14ac:dyDescent="0.25">
      <c r="A22" s="1" t="str">
        <f>Controle_Materiais!G9</f>
        <v>RF001</v>
      </c>
      <c r="B22" s="1" t="str">
        <f>Controle_Materiais!F9</f>
        <v>REFORÇO JOIST</v>
      </c>
      <c r="C22" s="1" t="str">
        <f>Controle_Materiais!V9</f>
        <v>P1</v>
      </c>
      <c r="D22" s="1">
        <f>Controle_Materiais!AP9</f>
        <v>0</v>
      </c>
      <c r="E22" s="1">
        <f>Controle_Materiais!AS9</f>
        <v>9264</v>
      </c>
      <c r="F22" s="1" t="str">
        <f>Controle_Materiais!AT9</f>
        <v>OK</v>
      </c>
      <c r="G22" s="1">
        <f>Controle_Materiais!AU9</f>
        <v>43024</v>
      </c>
      <c r="H22" s="1" t="str">
        <f>Controle_Materiais!Y9</f>
        <v>Monitorar</v>
      </c>
      <c r="I22" s="143"/>
      <c r="J22" s="143"/>
      <c r="K22" s="143"/>
      <c r="L22" s="143"/>
      <c r="M22" s="143"/>
      <c r="N22" s="143"/>
      <c r="O22" s="143"/>
      <c r="P22" s="143"/>
    </row>
    <row r="23" spans="1:16" ht="15.75" customHeight="1" x14ac:dyDescent="0.25">
      <c r="A23" s="1" t="str">
        <f>Controle_Materiais!G10</f>
        <v>RF003</v>
      </c>
      <c r="B23" s="1" t="str">
        <f>Controle_Materiais!F10</f>
        <v>REFORÇO JOIST</v>
      </c>
      <c r="C23" s="1" t="str">
        <f>Controle_Materiais!V10</f>
        <v>P1</v>
      </c>
      <c r="D23" s="1">
        <f>Controle_Materiais!AP10</f>
        <v>0</v>
      </c>
      <c r="E23" s="1">
        <f>Controle_Materiais!AS10</f>
        <v>2208</v>
      </c>
      <c r="F23" s="1" t="str">
        <f>Controle_Materiais!AT10</f>
        <v>OK</v>
      </c>
      <c r="G23" s="1">
        <f>Controle_Materiais!AU10</f>
        <v>4328</v>
      </c>
      <c r="H23" s="1" t="str">
        <f>Controle_Materiais!Y10</f>
        <v>Monitorar</v>
      </c>
      <c r="I23" s="143"/>
      <c r="J23" s="143"/>
      <c r="K23" s="143"/>
      <c r="L23" s="143"/>
      <c r="M23" s="143"/>
      <c r="N23" s="143"/>
      <c r="O23" s="143"/>
      <c r="P23" s="143"/>
    </row>
    <row r="24" spans="1:16" ht="15.75" customHeight="1" x14ac:dyDescent="0.25">
      <c r="A24" s="1" t="str">
        <f>Controle_Materiais!G11</f>
        <v>TV001</v>
      </c>
      <c r="B24" s="1" t="str">
        <f>Controle_Materiais!F11</f>
        <v>TRAVAMENTO JOIST</v>
      </c>
      <c r="C24" s="1" t="str">
        <f>Controle_Materiais!V11</f>
        <v>P1</v>
      </c>
      <c r="D24" s="1">
        <f>Controle_Materiais!AP11</f>
        <v>0</v>
      </c>
      <c r="E24" s="1">
        <f>Controle_Materiais!AS11</f>
        <v>3415</v>
      </c>
      <c r="F24" s="1" t="str">
        <f>Controle_Materiais!AT11</f>
        <v>OK</v>
      </c>
      <c r="G24" s="1">
        <f>Controle_Materiais!AU11</f>
        <v>8840</v>
      </c>
      <c r="H24" s="1" t="str">
        <f>Controle_Materiais!Y11</f>
        <v>Monitorar</v>
      </c>
      <c r="I24" s="143"/>
      <c r="J24" s="143"/>
      <c r="K24" s="143"/>
      <c r="L24" s="143"/>
      <c r="M24" s="143"/>
      <c r="N24" s="143"/>
      <c r="O24" s="143"/>
      <c r="P24" s="143"/>
    </row>
    <row r="25" spans="1:16" ht="15.75" customHeight="1" x14ac:dyDescent="0.25">
      <c r="A25" s="1" t="str">
        <f>Controle_Materiais!G12</f>
        <v>TV002</v>
      </c>
      <c r="B25" s="1" t="str">
        <f>Controle_Materiais!F12</f>
        <v>TRAVAMENTO JOIST</v>
      </c>
      <c r="C25" s="1" t="str">
        <f>Controle_Materiais!V12</f>
        <v>P1</v>
      </c>
      <c r="D25" s="1">
        <f>Controle_Materiais!AP12</f>
        <v>0</v>
      </c>
      <c r="E25" s="1">
        <f>Controle_Materiais!AS12</f>
        <v>2615</v>
      </c>
      <c r="F25" s="1" t="str">
        <f>Controle_Materiais!AT12</f>
        <v>OK</v>
      </c>
      <c r="G25" s="1">
        <f>Controle_Materiais!AU12</f>
        <v>9640</v>
      </c>
      <c r="H25" s="1" t="str">
        <f>Controle_Materiais!Y12</f>
        <v>Monitorar</v>
      </c>
      <c r="I25" s="143"/>
      <c r="J25" s="143"/>
      <c r="K25" s="143"/>
      <c r="L25" s="143"/>
      <c r="M25" s="143"/>
      <c r="N25" s="143"/>
      <c r="O25" s="143"/>
      <c r="P25" s="143"/>
    </row>
    <row r="26" spans="1:16" ht="15.75" customHeight="1" x14ac:dyDescent="0.25">
      <c r="A26" s="1" t="str">
        <f>Controle_Materiais!G13</f>
        <v>TV003</v>
      </c>
      <c r="B26" s="1" t="str">
        <f>Controle_Materiais!F13</f>
        <v>TRAVAMENTO JOIST</v>
      </c>
      <c r="C26" s="1" t="str">
        <f>Controle_Materiais!V13</f>
        <v>P1</v>
      </c>
      <c r="D26" s="1">
        <f>Controle_Materiais!AP13</f>
        <v>0</v>
      </c>
      <c r="E26" s="1">
        <f>Controle_Materiais!AS13</f>
        <v>10060</v>
      </c>
      <c r="F26" s="1" t="str">
        <f>Controle_Materiais!AT13</f>
        <v>OK</v>
      </c>
      <c r="G26" s="1">
        <f>Controle_Materiais!AU13</f>
        <v>38960</v>
      </c>
      <c r="H26" s="1" t="str">
        <f>Controle_Materiais!Y13</f>
        <v>Monitorar</v>
      </c>
      <c r="I26" s="143"/>
      <c r="J26" s="143"/>
      <c r="K26" s="143"/>
      <c r="L26" s="143"/>
      <c r="M26" s="143"/>
      <c r="N26" s="143"/>
      <c r="O26" s="143"/>
      <c r="P26" s="143"/>
    </row>
    <row r="27" spans="1:16" ht="15.75" customHeight="1" x14ac:dyDescent="0.25">
      <c r="A27" s="1" t="str">
        <f>Controle_Materiais!G14</f>
        <v>SPD01</v>
      </c>
      <c r="B27" s="1" t="str">
        <f>Controle_Materiais!F14</f>
        <v>ESPAÇADOR JOIST</v>
      </c>
      <c r="C27" s="1" t="str">
        <f>Controle_Materiais!V14</f>
        <v>P1</v>
      </c>
      <c r="D27" s="1">
        <f>Controle_Materiais!AP14</f>
        <v>0</v>
      </c>
      <c r="E27" s="1">
        <f>Controle_Materiais!AS14</f>
        <v>0</v>
      </c>
      <c r="F27" s="1" t="str">
        <f>Controle_Materiais!AT14</f>
        <v>CRÍTICO</v>
      </c>
      <c r="G27" s="1">
        <f>Controle_Materiais!AU14</f>
        <v>604</v>
      </c>
      <c r="H27" s="1" t="str">
        <f>Controle_Materiais!Y14</f>
        <v>Enviar se houver espaço</v>
      </c>
      <c r="I27" s="143"/>
      <c r="J27" s="143"/>
      <c r="K27" s="143"/>
      <c r="L27" s="143"/>
      <c r="M27" s="143"/>
      <c r="N27" s="143"/>
      <c r="O27" s="143"/>
      <c r="P27" s="143"/>
    </row>
    <row r="28" spans="1:16" ht="15.75" customHeight="1" x14ac:dyDescent="0.25">
      <c r="A28" s="1" t="str">
        <f>Controle_Materiais!G15</f>
        <v>GRP03</v>
      </c>
      <c r="B28" s="1" t="str">
        <f>Controle_Materiais!F15</f>
        <v>GRAPA</v>
      </c>
      <c r="C28" s="1" t="str">
        <f>Controle_Materiais!V15</f>
        <v>P2</v>
      </c>
      <c r="D28" s="1">
        <f>Controle_Materiais!AP15</f>
        <v>0</v>
      </c>
      <c r="E28" s="1">
        <f>Controle_Materiais!AS15</f>
        <v>0</v>
      </c>
      <c r="F28" s="1" t="str">
        <f>Controle_Materiais!AT15</f>
        <v>OK</v>
      </c>
      <c r="G28" s="1">
        <f>Controle_Materiais!AU15</f>
        <v>173</v>
      </c>
      <c r="H28" s="1" t="str">
        <f>Controle_Materiais!Y15</f>
        <v>Enviar se houver espaço</v>
      </c>
      <c r="I28" s="143"/>
      <c r="J28" s="143"/>
      <c r="K28" s="143"/>
      <c r="L28" s="143"/>
      <c r="M28" s="143"/>
      <c r="N28" s="143"/>
      <c r="O28" s="143"/>
      <c r="P28" s="143"/>
    </row>
    <row r="29" spans="1:16" ht="15.75" customHeight="1" x14ac:dyDescent="0.25">
      <c r="A29" s="1" t="str">
        <f>Controle_Materiais!G16</f>
        <v>RCD01</v>
      </c>
      <c r="B29" s="1" t="str">
        <f>Controle_Materiais!F16</f>
        <v>RUFO CADEIRA</v>
      </c>
      <c r="C29" s="1" t="str">
        <f>Controle_Materiais!V16</f>
        <v>P2</v>
      </c>
      <c r="D29" s="1">
        <f>Controle_Materiais!AP16</f>
        <v>0</v>
      </c>
      <c r="E29" s="1">
        <f>Controle_Materiais!AS16</f>
        <v>0</v>
      </c>
      <c r="F29" s="1" t="str">
        <f>Controle_Materiais!AT16</f>
        <v>OK</v>
      </c>
      <c r="G29" s="1">
        <f>Controle_Materiais!AU16</f>
        <v>124</v>
      </c>
      <c r="H29" s="1" t="str">
        <f>Controle_Materiais!Y16</f>
        <v>Enviar se houver espaço</v>
      </c>
      <c r="I29" s="143"/>
      <c r="J29" s="143"/>
      <c r="K29" s="143"/>
      <c r="L29" s="143"/>
      <c r="M29" s="143"/>
      <c r="N29" s="143"/>
      <c r="O29" s="143"/>
      <c r="P29" s="143"/>
    </row>
    <row r="30" spans="1:16" ht="15.75" customHeight="1" x14ac:dyDescent="0.25">
      <c r="A30" s="1" t="str">
        <f>Controle_Materiais!G17</f>
        <v>RCE01</v>
      </c>
      <c r="B30" s="1" t="str">
        <f>Controle_Materiais!F17</f>
        <v>RUFO DE CANTO</v>
      </c>
      <c r="C30" s="1" t="str">
        <f>Controle_Materiais!V17</f>
        <v>P2</v>
      </c>
      <c r="D30" s="1">
        <f>Controle_Materiais!AP17</f>
        <v>0</v>
      </c>
      <c r="E30" s="1">
        <f>Controle_Materiais!AS17</f>
        <v>0</v>
      </c>
      <c r="F30" s="1" t="str">
        <f>Controle_Materiais!AT17</f>
        <v>OK</v>
      </c>
      <c r="G30" s="1">
        <f>Controle_Materiais!AU17</f>
        <v>16</v>
      </c>
      <c r="H30" s="1" t="str">
        <f>Controle_Materiais!Y17</f>
        <v>Enviar se houver espaço</v>
      </c>
      <c r="I30" s="143"/>
      <c r="J30" s="143"/>
      <c r="K30" s="143"/>
      <c r="L30" s="143"/>
      <c r="M30" s="143"/>
      <c r="N30" s="143"/>
      <c r="O30" s="143"/>
      <c r="P30" s="143"/>
    </row>
    <row r="31" spans="1:16" ht="15.75" customHeight="1" x14ac:dyDescent="0.25">
      <c r="A31" s="1" t="str">
        <f>Controle_Materiais!G18</f>
        <v>RCE02</v>
      </c>
      <c r="B31" s="1" t="str">
        <f>Controle_Materiais!F18</f>
        <v>RUFO DE CANTO</v>
      </c>
      <c r="C31" s="1" t="str">
        <f>Controle_Materiais!V18</f>
        <v>P2</v>
      </c>
      <c r="D31" s="1">
        <f>Controle_Materiais!AP18</f>
        <v>0</v>
      </c>
      <c r="E31" s="1">
        <f>Controle_Materiais!AS18</f>
        <v>0</v>
      </c>
      <c r="F31" s="1" t="str">
        <f>Controle_Materiais!AT18</f>
        <v>OK</v>
      </c>
      <c r="G31" s="1">
        <f>Controle_Materiais!AU18</f>
        <v>8</v>
      </c>
      <c r="H31" s="1" t="str">
        <f>Controle_Materiais!Y18</f>
        <v>Enviar se houver espaço</v>
      </c>
      <c r="I31" s="143"/>
      <c r="J31" s="143"/>
      <c r="K31" s="143"/>
      <c r="L31" s="143"/>
      <c r="M31" s="143"/>
      <c r="N31" s="143"/>
      <c r="O31" s="143"/>
      <c r="P31" s="143"/>
    </row>
    <row r="32" spans="1:16" ht="15.75" customHeight="1" x14ac:dyDescent="0.25">
      <c r="A32" s="1" t="str">
        <f>Controle_Materiais!G19</f>
        <v>RO01</v>
      </c>
      <c r="B32" s="1" t="str">
        <f>Controle_Materiais!F19</f>
        <v>RUFO OITÃO</v>
      </c>
      <c r="C32" s="1" t="str">
        <f>Controle_Materiais!V19</f>
        <v>P2</v>
      </c>
      <c r="D32" s="1">
        <f>Controle_Materiais!AP19</f>
        <v>0</v>
      </c>
      <c r="E32" s="1">
        <f>Controle_Materiais!AS19</f>
        <v>0</v>
      </c>
      <c r="F32" s="1" t="str">
        <f>Controle_Materiais!AT19</f>
        <v>OK</v>
      </c>
      <c r="G32" s="1">
        <f>Controle_Materiais!AU19</f>
        <v>122</v>
      </c>
      <c r="H32" s="1" t="str">
        <f>Controle_Materiais!Y19</f>
        <v>Enviar se houver espaço</v>
      </c>
      <c r="I32" s="143"/>
      <c r="J32" s="143"/>
      <c r="K32" s="143"/>
      <c r="L32" s="143"/>
      <c r="M32" s="143"/>
      <c r="N32" s="143"/>
      <c r="O32" s="143"/>
      <c r="P32" s="143"/>
    </row>
    <row r="33" spans="1:16" ht="15.75" customHeight="1" x14ac:dyDescent="0.25">
      <c r="A33" s="1" t="str">
        <f>Controle_Materiais!G20</f>
        <v>RO02</v>
      </c>
      <c r="B33" s="1" t="str">
        <f>Controle_Materiais!F20</f>
        <v>RUFO OITÃO</v>
      </c>
      <c r="C33" s="1" t="str">
        <f>Controle_Materiais!V20</f>
        <v>P2</v>
      </c>
      <c r="D33" s="1">
        <f>Controle_Materiais!AP20</f>
        <v>0</v>
      </c>
      <c r="E33" s="1">
        <f>Controle_Materiais!AS20</f>
        <v>0</v>
      </c>
      <c r="F33" s="1" t="str">
        <f>Controle_Materiais!AT20</f>
        <v>OK</v>
      </c>
      <c r="G33" s="1">
        <f>Controle_Materiais!AU20</f>
        <v>2</v>
      </c>
      <c r="H33" s="1" t="str">
        <f>Controle_Materiais!Y20</f>
        <v>Enviar se houver espaço</v>
      </c>
      <c r="I33" s="143"/>
      <c r="J33" s="143"/>
      <c r="K33" s="143"/>
      <c r="L33" s="143"/>
      <c r="M33" s="143"/>
      <c r="N33" s="143"/>
      <c r="O33" s="143"/>
      <c r="P33" s="143"/>
    </row>
    <row r="34" spans="1:16" ht="15.75" customHeight="1" x14ac:dyDescent="0.25">
      <c r="A34" s="1" t="str">
        <f>Controle_Materiais!G21</f>
        <v>RPI01</v>
      </c>
      <c r="B34" s="1" t="str">
        <f>Controle_Materiais!F21</f>
        <v>RUFO PINGADEIRA</v>
      </c>
      <c r="C34" s="1" t="str">
        <f>Controle_Materiais!V21</f>
        <v>P2</v>
      </c>
      <c r="D34" s="1">
        <f>Controle_Materiais!AP21</f>
        <v>0</v>
      </c>
      <c r="E34" s="1">
        <f>Controle_Materiais!AS21</f>
        <v>0</v>
      </c>
      <c r="F34" s="1" t="str">
        <f>Controle_Materiais!AT21</f>
        <v>OK</v>
      </c>
      <c r="G34" s="1">
        <f>Controle_Materiais!AU21</f>
        <v>258</v>
      </c>
      <c r="H34" s="1" t="str">
        <f>Controle_Materiais!Y21</f>
        <v>Enviar se houver espaço</v>
      </c>
      <c r="I34" s="143"/>
      <c r="J34" s="143"/>
      <c r="K34" s="143"/>
      <c r="L34" s="143"/>
      <c r="M34" s="143"/>
      <c r="N34" s="143"/>
      <c r="O34" s="143"/>
      <c r="P34" s="143"/>
    </row>
    <row r="35" spans="1:16" ht="15.75" customHeight="1" x14ac:dyDescent="0.25">
      <c r="A35" s="1" t="str">
        <f>Controle_Materiais!G22</f>
        <v>RS01</v>
      </c>
      <c r="B35" s="1" t="str">
        <f>Controle_Materiais!F22</f>
        <v>RUFO SUPERIOR</v>
      </c>
      <c r="C35" s="1" t="str">
        <f>Controle_Materiais!V22</f>
        <v>P2</v>
      </c>
      <c r="D35" s="1">
        <f>Controle_Materiais!AP22</f>
        <v>0</v>
      </c>
      <c r="E35" s="1">
        <f>Controle_Materiais!AS22</f>
        <v>0</v>
      </c>
      <c r="F35" s="1" t="str">
        <f>Controle_Materiais!AT22</f>
        <v>OK</v>
      </c>
      <c r="G35" s="1">
        <f>Controle_Materiais!AU22</f>
        <v>292</v>
      </c>
      <c r="H35" s="1" t="str">
        <f>Controle_Materiais!Y22</f>
        <v>Enviar se houver espaço</v>
      </c>
      <c r="I35" s="143"/>
      <c r="J35" s="143"/>
      <c r="K35" s="143"/>
      <c r="L35" s="143"/>
      <c r="M35" s="143"/>
      <c r="N35" s="143"/>
      <c r="O35" s="143"/>
      <c r="P35" s="143"/>
    </row>
    <row r="36" spans="1:16" ht="15.75" customHeight="1" x14ac:dyDescent="0.25">
      <c r="A36" s="1" t="str">
        <f>Controle_Materiais!G23</f>
        <v>RT01</v>
      </c>
      <c r="B36" s="1" t="str">
        <f>Controle_Materiais!F23</f>
        <v>RUFO TESTEIRA</v>
      </c>
      <c r="C36" s="1" t="str">
        <f>Controle_Materiais!V23</f>
        <v>P2</v>
      </c>
      <c r="D36" s="1">
        <f>Controle_Materiais!AP23</f>
        <v>0</v>
      </c>
      <c r="E36" s="1">
        <f>Controle_Materiais!AS23</f>
        <v>0</v>
      </c>
      <c r="F36" s="1" t="str">
        <f>Controle_Materiais!AT23</f>
        <v>OK</v>
      </c>
      <c r="G36" s="1">
        <f>Controle_Materiais!AU23</f>
        <v>205</v>
      </c>
      <c r="H36" s="1" t="str">
        <f>Controle_Materiais!Y23</f>
        <v>Enviar se houver espaço</v>
      </c>
      <c r="I36" s="143"/>
      <c r="J36" s="143"/>
      <c r="K36" s="143"/>
      <c r="L36" s="143"/>
      <c r="M36" s="143"/>
      <c r="N36" s="143"/>
      <c r="O36" s="143"/>
      <c r="P36" s="143"/>
    </row>
    <row r="37" spans="1:16" ht="15.75" customHeight="1" x14ac:dyDescent="0.25">
      <c r="A37" s="1" t="str">
        <f>Controle_Materiais!G24</f>
        <v>RT02</v>
      </c>
      <c r="B37" s="1" t="str">
        <f>Controle_Materiais!F24</f>
        <v>RUFO TESTEIRA</v>
      </c>
      <c r="C37" s="1" t="str">
        <f>Controle_Materiais!V24</f>
        <v>P2</v>
      </c>
      <c r="D37" s="1">
        <f>Controle_Materiais!AP24</f>
        <v>0</v>
      </c>
      <c r="E37" s="1">
        <f>Controle_Materiais!AS24</f>
        <v>0</v>
      </c>
      <c r="F37" s="1" t="str">
        <f>Controle_Materiais!AT24</f>
        <v>OK</v>
      </c>
      <c r="G37" s="1">
        <f>Controle_Materiais!AU24</f>
        <v>16</v>
      </c>
      <c r="H37" s="1" t="str">
        <f>Controle_Materiais!Y24</f>
        <v>Enviar se houver espaço</v>
      </c>
      <c r="I37" s="143"/>
      <c r="J37" s="143"/>
      <c r="K37" s="143"/>
      <c r="L37" s="143"/>
      <c r="M37" s="143"/>
      <c r="N37" s="143"/>
      <c r="O37" s="143"/>
      <c r="P37" s="143"/>
    </row>
    <row r="38" spans="1:16" ht="15.75" customHeight="1" x14ac:dyDescent="0.25">
      <c r="A38" s="1" t="str">
        <f>Controle_Materiais!G25</f>
        <v>RTO01</v>
      </c>
      <c r="B38" s="1" t="str">
        <f>Controle_Materiais!F25</f>
        <v>SUPORTE RUFO CUM.</v>
      </c>
      <c r="C38" s="1" t="str">
        <f>Controle_Materiais!V25</f>
        <v>P2</v>
      </c>
      <c r="D38" s="1">
        <f>Controle_Materiais!AP25</f>
        <v>0</v>
      </c>
      <c r="E38" s="1">
        <f>Controle_Materiais!AS25</f>
        <v>0</v>
      </c>
      <c r="F38" s="1" t="str">
        <f>Controle_Materiais!AT25</f>
        <v>OK</v>
      </c>
      <c r="G38" s="1">
        <f>Controle_Materiais!AU25</f>
        <v>1555</v>
      </c>
      <c r="H38" s="1" t="str">
        <f>Controle_Materiais!Y25</f>
        <v>Enviar se houver espaço</v>
      </c>
      <c r="I38" s="143"/>
      <c r="J38" s="143"/>
      <c r="K38" s="143"/>
      <c r="L38" s="143"/>
      <c r="M38" s="143"/>
      <c r="N38" s="143"/>
      <c r="O38" s="143"/>
      <c r="P38" s="143"/>
    </row>
    <row r="39" spans="1:16" ht="15.75" customHeight="1" x14ac:dyDescent="0.25">
      <c r="A39" s="1" t="str">
        <f>Controle_Materiais!G26</f>
        <v>ARR01</v>
      </c>
      <c r="B39" s="1" t="str">
        <f>Controle_Materiais!F26</f>
        <v>ARREMATE</v>
      </c>
      <c r="C39" s="1" t="str">
        <f>Controle_Materiais!V26</f>
        <v>P2</v>
      </c>
      <c r="D39" s="1">
        <f>Controle_Materiais!AP26</f>
        <v>0</v>
      </c>
      <c r="E39" s="1">
        <f>Controle_Materiais!AS26</f>
        <v>4</v>
      </c>
      <c r="F39" s="1" t="str">
        <f>Controle_Materiais!AT26</f>
        <v>OK</v>
      </c>
      <c r="G39" s="1">
        <f>Controle_Materiais!AU26</f>
        <v>0</v>
      </c>
      <c r="H39" s="1" t="str">
        <f>Controle_Materiais!Y26</f>
        <v>Monitorar</v>
      </c>
      <c r="I39" s="143"/>
      <c r="J39" s="143"/>
      <c r="K39" s="143"/>
      <c r="L39" s="143"/>
      <c r="M39" s="143"/>
      <c r="N39" s="143"/>
      <c r="O39" s="143"/>
      <c r="P39" s="143"/>
    </row>
    <row r="40" spans="1:16" ht="15.75" customHeight="1" x14ac:dyDescent="0.25">
      <c r="A40" s="1" t="str">
        <f>Controle_Materiais!G27</f>
        <v>ARR02</v>
      </c>
      <c r="B40" s="1" t="str">
        <f>Controle_Materiais!F27</f>
        <v>ARREMATE</v>
      </c>
      <c r="C40" s="1" t="str">
        <f>Controle_Materiais!V27</f>
        <v>P2</v>
      </c>
      <c r="D40" s="1">
        <f>Controle_Materiais!AP27</f>
        <v>0</v>
      </c>
      <c r="E40" s="1">
        <f>Controle_Materiais!AS27</f>
        <v>4</v>
      </c>
      <c r="F40" s="1" t="str">
        <f>Controle_Materiais!AT27</f>
        <v>OK</v>
      </c>
      <c r="G40" s="1">
        <f>Controle_Materiais!AU27</f>
        <v>0</v>
      </c>
      <c r="H40" s="1" t="str">
        <f>Controle_Materiais!Y27</f>
        <v>Monitorar</v>
      </c>
      <c r="I40" s="143"/>
      <c r="J40" s="143"/>
      <c r="K40" s="143"/>
      <c r="L40" s="143"/>
      <c r="M40" s="143"/>
      <c r="N40" s="143"/>
      <c r="O40" s="143"/>
      <c r="P40" s="143"/>
    </row>
    <row r="41" spans="1:16" ht="15.75" customHeight="1" x14ac:dyDescent="0.25">
      <c r="A41" s="1" t="str">
        <f>Controle_Materiais!G28</f>
        <v>ARR03</v>
      </c>
      <c r="B41" s="1" t="str">
        <f>Controle_Materiais!F28</f>
        <v>ARREMATE</v>
      </c>
      <c r="C41" s="1" t="str">
        <f>Controle_Materiais!V28</f>
        <v>P2</v>
      </c>
      <c r="D41" s="1">
        <f>Controle_Materiais!AP28</f>
        <v>0</v>
      </c>
      <c r="E41" s="1">
        <f>Controle_Materiais!AS28</f>
        <v>0</v>
      </c>
      <c r="F41" s="1" t="str">
        <f>Controle_Materiais!AT28</f>
        <v>OK</v>
      </c>
      <c r="G41" s="1">
        <f>Controle_Materiais!AU28</f>
        <v>132</v>
      </c>
      <c r="H41" s="1" t="str">
        <f>Controle_Materiais!Y28</f>
        <v>Enviar se houver espaço</v>
      </c>
      <c r="I41" s="143"/>
      <c r="J41" s="143"/>
      <c r="K41" s="143"/>
      <c r="L41" s="143"/>
      <c r="M41" s="143"/>
      <c r="N41" s="143"/>
      <c r="O41" s="143"/>
      <c r="P41" s="143"/>
    </row>
    <row r="42" spans="1:16" ht="15.75" customHeight="1" x14ac:dyDescent="0.25">
      <c r="A42" s="1" t="str">
        <f>Controle_Materiais!G29</f>
        <v>ARR04</v>
      </c>
      <c r="B42" s="1" t="str">
        <f>Controle_Materiais!F29</f>
        <v>ARREMATE</v>
      </c>
      <c r="C42" s="1" t="str">
        <f>Controle_Materiais!V29</f>
        <v>P2</v>
      </c>
      <c r="D42" s="1">
        <f>Controle_Materiais!AP29</f>
        <v>0</v>
      </c>
      <c r="E42" s="1">
        <f>Controle_Materiais!AS29</f>
        <v>4</v>
      </c>
      <c r="F42" s="1" t="str">
        <f>Controle_Materiais!AT29</f>
        <v>OK</v>
      </c>
      <c r="G42" s="1">
        <f>Controle_Materiais!AU29</f>
        <v>0</v>
      </c>
      <c r="H42" s="1" t="str">
        <f>Controle_Materiais!Y29</f>
        <v>Monitorar</v>
      </c>
      <c r="I42" s="143"/>
      <c r="J42" s="143"/>
      <c r="K42" s="143"/>
      <c r="L42" s="143"/>
      <c r="M42" s="143"/>
      <c r="N42" s="143"/>
      <c r="O42" s="143"/>
      <c r="P42" s="143"/>
    </row>
    <row r="43" spans="1:16" ht="15.75" customHeight="1" x14ac:dyDescent="0.25">
      <c r="A43" s="1" t="str">
        <f>Controle_Materiais!G30</f>
        <v>ARR05</v>
      </c>
      <c r="B43" s="1" t="str">
        <f>Controle_Materiais!F30</f>
        <v>ARREMATE</v>
      </c>
      <c r="C43" s="1" t="str">
        <f>Controle_Materiais!V30</f>
        <v>P2</v>
      </c>
      <c r="D43" s="1">
        <f>Controle_Materiais!AP30</f>
        <v>0</v>
      </c>
      <c r="E43" s="1">
        <f>Controle_Materiais!AS30</f>
        <v>16</v>
      </c>
      <c r="F43" s="1" t="str">
        <f>Controle_Materiais!AT30</f>
        <v>OK</v>
      </c>
      <c r="G43" s="1">
        <f>Controle_Materiais!AU30</f>
        <v>0</v>
      </c>
      <c r="H43" s="1" t="str">
        <f>Controle_Materiais!Y30</f>
        <v>Monitorar</v>
      </c>
      <c r="I43" s="143"/>
      <c r="J43" s="143"/>
      <c r="K43" s="143"/>
      <c r="L43" s="143"/>
      <c r="M43" s="143"/>
      <c r="N43" s="143"/>
      <c r="O43" s="143"/>
      <c r="P43" s="143"/>
    </row>
    <row r="44" spans="1:16" ht="15.75" customHeight="1" x14ac:dyDescent="0.25">
      <c r="A44" s="1" t="str">
        <f>Controle_Materiais!G31</f>
        <v>ARR06</v>
      </c>
      <c r="B44" s="1" t="str">
        <f>Controle_Materiais!F31</f>
        <v>ARREMATE</v>
      </c>
      <c r="C44" s="1" t="str">
        <f>Controle_Materiais!V31</f>
        <v>P2</v>
      </c>
      <c r="D44" s="1">
        <f>Controle_Materiais!AP31</f>
        <v>0</v>
      </c>
      <c r="E44" s="1">
        <f>Controle_Materiais!AS31</f>
        <v>4</v>
      </c>
      <c r="F44" s="1" t="str">
        <f>Controle_Materiais!AT31</f>
        <v>OK</v>
      </c>
      <c r="G44" s="1">
        <f>Controle_Materiais!AU31</f>
        <v>0</v>
      </c>
      <c r="H44" s="1" t="str">
        <f>Controle_Materiais!Y31</f>
        <v>Monitorar</v>
      </c>
      <c r="I44" s="143"/>
      <c r="J44" s="143"/>
      <c r="K44" s="143"/>
      <c r="L44" s="143"/>
      <c r="M44" s="143"/>
      <c r="N44" s="143"/>
      <c r="O44" s="143"/>
      <c r="P44" s="143"/>
    </row>
    <row r="45" spans="1:16" ht="15.75" customHeight="1" x14ac:dyDescent="0.25">
      <c r="A45" s="1" t="str">
        <f>Controle_Materiais!G32</f>
        <v>ARR07</v>
      </c>
      <c r="B45" s="1" t="str">
        <f>Controle_Materiais!F32</f>
        <v>ARREMATE</v>
      </c>
      <c r="C45" s="1" t="str">
        <f>Controle_Materiais!V32</f>
        <v>P2</v>
      </c>
      <c r="D45" s="1">
        <f>Controle_Materiais!AP32</f>
        <v>0</v>
      </c>
      <c r="E45" s="1">
        <f>Controle_Materiais!AS32</f>
        <v>4</v>
      </c>
      <c r="F45" s="1" t="str">
        <f>Controle_Materiais!AT32</f>
        <v>OK</v>
      </c>
      <c r="G45" s="1">
        <f>Controle_Materiais!AU32</f>
        <v>0</v>
      </c>
      <c r="H45" s="1" t="str">
        <f>Controle_Materiais!Y32</f>
        <v>Monitorar</v>
      </c>
      <c r="I45" s="143"/>
      <c r="J45" s="143"/>
      <c r="K45" s="143"/>
      <c r="L45" s="143"/>
      <c r="M45" s="143"/>
      <c r="N45" s="143"/>
      <c r="O45" s="143"/>
      <c r="P45" s="143"/>
    </row>
  </sheetData>
  <mergeCells count="3">
    <mergeCell ref="A11:H11"/>
    <mergeCell ref="A14:H14"/>
    <mergeCell ref="A1:H1"/>
  </mergeCells>
  <conditionalFormatting sqref="F16:F45">
    <cfRule type="expression" dxfId="16" priority="2">
      <formula>ISNUMBER(SEARCH("CRÍTICO",F16))</formula>
    </cfRule>
    <cfRule type="expression" dxfId="15" priority="3">
      <formula>ISNUMBER(SEARCH("ATENÇÃO",F16))</formula>
    </cfRule>
    <cfRule type="expression" dxfId="14" priority="4">
      <formula>ISNUMBER(SEARCH("OK",F16))</formula>
    </cfRule>
  </conditionalFormatting>
  <conditionalFormatting sqref="I4:I8">
    <cfRule type="expression" dxfId="13" priority="5">
      <formula>ISNUMBER(SEARCH("CRÍTICO",I4))</formula>
    </cfRule>
    <cfRule type="expression" dxfId="12" priority="6">
      <formula>ISNUMBER(SEARCH("ATENÇÃO",I4))</formula>
    </cfRule>
    <cfRule type="expression" dxfId="11" priority="7">
      <formula>ISNUMBER(SEARCH("OK",I4))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31"/>
  <dimension ref="A1:K260"/>
  <sheetViews>
    <sheetView showGridLines="0" workbookViewId="0">
      <selection sqref="A1:K1"/>
    </sheetView>
  </sheetViews>
  <sheetFormatPr defaultRowHeight="15" x14ac:dyDescent="0.25"/>
  <cols>
    <col min="1" max="1" width="36" customWidth="1"/>
    <col min="2" max="2" width="12" customWidth="1"/>
    <col min="3" max="3" width="16" customWidth="1"/>
    <col min="4" max="4" width="10" customWidth="1"/>
    <col min="5" max="5" width="32" customWidth="1"/>
    <col min="6" max="6" width="36" customWidth="1"/>
    <col min="7" max="7" width="36" hidden="1" customWidth="1"/>
    <col min="8" max="8" width="12" customWidth="1"/>
    <col min="9" max="9" width="11" customWidth="1"/>
    <col min="10" max="11" width="36" hidden="1" customWidth="1"/>
  </cols>
  <sheetData>
    <row r="1" spans="1:11" ht="27.95" customHeight="1" x14ac:dyDescent="0.25">
      <c r="A1" s="456" t="s">
        <v>1385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</row>
    <row r="4" spans="1:11" ht="32.1" customHeight="1" x14ac:dyDescent="0.25">
      <c r="A4" s="160" t="s">
        <v>44</v>
      </c>
      <c r="B4" s="160" t="s">
        <v>67</v>
      </c>
      <c r="C4" s="160" t="s">
        <v>66</v>
      </c>
      <c r="D4" s="160" t="s">
        <v>102</v>
      </c>
      <c r="E4" s="160" t="s">
        <v>1386</v>
      </c>
      <c r="F4" s="160" t="s">
        <v>1387</v>
      </c>
      <c r="G4" s="160" t="s">
        <v>1388</v>
      </c>
      <c r="H4" s="160" t="s">
        <v>1389</v>
      </c>
      <c r="I4" s="160" t="s">
        <v>1390</v>
      </c>
      <c r="J4" s="160" t="s">
        <v>1391</v>
      </c>
      <c r="K4" s="160" t="s">
        <v>53</v>
      </c>
    </row>
    <row r="5" spans="1:11" x14ac:dyDescent="0.25">
      <c r="A5" s="93" t="s">
        <v>74</v>
      </c>
      <c r="B5" s="93" t="s">
        <v>75</v>
      </c>
      <c r="C5" s="94"/>
      <c r="D5" s="94"/>
      <c r="E5" s="94" t="s">
        <v>602</v>
      </c>
      <c r="F5" s="94" t="s">
        <v>1392</v>
      </c>
      <c r="G5" s="94" t="s">
        <v>1393</v>
      </c>
      <c r="H5" s="93">
        <v>0</v>
      </c>
      <c r="I5" s="93">
        <v>0</v>
      </c>
      <c r="J5" s="93" t="s">
        <v>1394</v>
      </c>
      <c r="K5" s="94"/>
    </row>
    <row r="6" spans="1:11" x14ac:dyDescent="0.25">
      <c r="A6" s="93"/>
      <c r="B6" s="93"/>
      <c r="C6" s="94"/>
      <c r="D6" s="94"/>
      <c r="E6" s="94"/>
      <c r="F6" s="94"/>
      <c r="G6" s="94"/>
      <c r="H6" s="93"/>
      <c r="I6" s="93"/>
      <c r="J6" s="93"/>
      <c r="K6" s="94"/>
    </row>
    <row r="7" spans="1:11" x14ac:dyDescent="0.25">
      <c r="A7" s="93"/>
      <c r="B7" s="93"/>
      <c r="C7" s="94"/>
      <c r="D7" s="94"/>
      <c r="E7" s="94"/>
      <c r="F7" s="94"/>
      <c r="G7" s="94"/>
      <c r="H7" s="93"/>
      <c r="I7" s="93"/>
      <c r="J7" s="93"/>
      <c r="K7" s="94"/>
    </row>
    <row r="8" spans="1:11" x14ac:dyDescent="0.25">
      <c r="A8" s="93"/>
      <c r="B8" s="93"/>
      <c r="C8" s="94"/>
      <c r="D8" s="94"/>
      <c r="E8" s="94"/>
      <c r="F8" s="94"/>
      <c r="G8" s="94"/>
      <c r="H8" s="93"/>
      <c r="I8" s="93"/>
      <c r="J8" s="93"/>
      <c r="K8" s="94"/>
    </row>
    <row r="9" spans="1:11" x14ac:dyDescent="0.25">
      <c r="A9" s="93"/>
      <c r="B9" s="93"/>
      <c r="C9" s="94"/>
      <c r="D9" s="94"/>
      <c r="E9" s="94"/>
      <c r="F9" s="94"/>
      <c r="G9" s="94"/>
      <c r="H9" s="93"/>
      <c r="I9" s="93"/>
      <c r="J9" s="93"/>
      <c r="K9" s="94"/>
    </row>
    <row r="10" spans="1:11" x14ac:dyDescent="0.25">
      <c r="A10" s="93"/>
      <c r="B10" s="93"/>
      <c r="C10" s="94"/>
      <c r="D10" s="94"/>
      <c r="E10" s="94"/>
      <c r="F10" s="94"/>
      <c r="G10" s="94"/>
      <c r="H10" s="93"/>
      <c r="I10" s="93"/>
      <c r="J10" s="93"/>
      <c r="K10" s="94"/>
    </row>
    <row r="11" spans="1:11" x14ac:dyDescent="0.25">
      <c r="A11" s="93"/>
      <c r="B11" s="93"/>
      <c r="C11" s="94"/>
      <c r="D11" s="94"/>
      <c r="E11" s="94"/>
      <c r="F11" s="94"/>
      <c r="G11" s="94"/>
      <c r="H11" s="93"/>
      <c r="I11" s="93"/>
      <c r="J11" s="93"/>
      <c r="K11" s="94"/>
    </row>
    <row r="12" spans="1:11" x14ac:dyDescent="0.25">
      <c r="A12" s="93"/>
      <c r="B12" s="93"/>
      <c r="C12" s="94"/>
      <c r="D12" s="94"/>
      <c r="E12" s="94"/>
      <c r="F12" s="94"/>
      <c r="G12" s="94"/>
      <c r="H12" s="93"/>
      <c r="I12" s="93"/>
      <c r="J12" s="93"/>
      <c r="K12" s="94"/>
    </row>
    <row r="13" spans="1:11" x14ac:dyDescent="0.25">
      <c r="A13" s="93"/>
      <c r="B13" s="93"/>
      <c r="C13" s="94"/>
      <c r="D13" s="94"/>
      <c r="E13" s="94"/>
      <c r="F13" s="94"/>
      <c r="G13" s="94"/>
      <c r="H13" s="93"/>
      <c r="I13" s="93"/>
      <c r="J13" s="93"/>
      <c r="K13" s="94"/>
    </row>
    <row r="14" spans="1:11" x14ac:dyDescent="0.25">
      <c r="A14" s="93"/>
      <c r="B14" s="93"/>
      <c r="C14" s="94"/>
      <c r="D14" s="94"/>
      <c r="E14" s="94"/>
      <c r="F14" s="94"/>
      <c r="G14" s="94"/>
      <c r="H14" s="93"/>
      <c r="I14" s="93"/>
      <c r="J14" s="93"/>
      <c r="K14" s="94"/>
    </row>
    <row r="15" spans="1:11" x14ac:dyDescent="0.25">
      <c r="A15" s="93"/>
      <c r="B15" s="93"/>
      <c r="C15" s="94"/>
      <c r="D15" s="94"/>
      <c r="E15" s="94"/>
      <c r="F15" s="94"/>
      <c r="G15" s="94"/>
      <c r="H15" s="93"/>
      <c r="I15" s="93"/>
      <c r="J15" s="93"/>
      <c r="K15" s="94"/>
    </row>
    <row r="16" spans="1:11" x14ac:dyDescent="0.25">
      <c r="A16" s="93"/>
      <c r="B16" s="93"/>
      <c r="C16" s="94"/>
      <c r="D16" s="94"/>
      <c r="E16" s="94"/>
      <c r="F16" s="94"/>
      <c r="G16" s="94"/>
      <c r="H16" s="93"/>
      <c r="I16" s="93"/>
      <c r="J16" s="93"/>
      <c r="K16" s="94"/>
    </row>
    <row r="17" spans="1:11" x14ac:dyDescent="0.25">
      <c r="A17" s="93"/>
      <c r="B17" s="93"/>
      <c r="C17" s="94"/>
      <c r="D17" s="94"/>
      <c r="E17" s="94"/>
      <c r="F17" s="94"/>
      <c r="G17" s="94"/>
      <c r="H17" s="93"/>
      <c r="I17" s="93"/>
      <c r="J17" s="93"/>
      <c r="K17" s="94"/>
    </row>
    <row r="18" spans="1:11" x14ac:dyDescent="0.25">
      <c r="A18" s="93"/>
      <c r="B18" s="93"/>
      <c r="C18" s="94"/>
      <c r="D18" s="94"/>
      <c r="E18" s="94"/>
      <c r="F18" s="94"/>
      <c r="G18" s="94"/>
      <c r="H18" s="93"/>
      <c r="I18" s="93"/>
      <c r="J18" s="93"/>
      <c r="K18" s="94"/>
    </row>
    <row r="19" spans="1:11" x14ac:dyDescent="0.25">
      <c r="A19" s="93"/>
      <c r="B19" s="93"/>
      <c r="C19" s="94"/>
      <c r="D19" s="94"/>
      <c r="E19" s="94"/>
      <c r="F19" s="94"/>
      <c r="G19" s="94"/>
      <c r="H19" s="93"/>
      <c r="I19" s="93"/>
      <c r="J19" s="93"/>
      <c r="K19" s="94"/>
    </row>
    <row r="20" spans="1:11" x14ac:dyDescent="0.25">
      <c r="A20" s="93"/>
      <c r="B20" s="93"/>
      <c r="C20" s="94"/>
      <c r="D20" s="94"/>
      <c r="E20" s="94"/>
      <c r="F20" s="94"/>
      <c r="G20" s="94"/>
      <c r="H20" s="93"/>
      <c r="I20" s="93"/>
      <c r="J20" s="93"/>
      <c r="K20" s="94"/>
    </row>
    <row r="21" spans="1:11" x14ac:dyDescent="0.25">
      <c r="A21" s="93"/>
      <c r="B21" s="93"/>
      <c r="C21" s="94"/>
      <c r="D21" s="94"/>
      <c r="E21" s="94"/>
      <c r="F21" s="94"/>
      <c r="G21" s="94"/>
      <c r="H21" s="93"/>
      <c r="I21" s="93"/>
      <c r="J21" s="93"/>
      <c r="K21" s="94"/>
    </row>
    <row r="22" spans="1:11" x14ac:dyDescent="0.25">
      <c r="A22" s="93"/>
      <c r="B22" s="93"/>
      <c r="C22" s="94"/>
      <c r="D22" s="94"/>
      <c r="E22" s="94"/>
      <c r="F22" s="94"/>
      <c r="G22" s="94"/>
      <c r="H22" s="93"/>
      <c r="I22" s="93"/>
      <c r="J22" s="93"/>
      <c r="K22" s="94"/>
    </row>
    <row r="23" spans="1:11" x14ac:dyDescent="0.25">
      <c r="A23" s="93"/>
      <c r="B23" s="93"/>
      <c r="C23" s="94"/>
      <c r="D23" s="94"/>
      <c r="E23" s="94"/>
      <c r="F23" s="94"/>
      <c r="G23" s="94"/>
      <c r="H23" s="93"/>
      <c r="I23" s="93"/>
      <c r="J23" s="93"/>
      <c r="K23" s="94"/>
    </row>
    <row r="24" spans="1:11" x14ac:dyDescent="0.25">
      <c r="A24" s="93"/>
      <c r="B24" s="93"/>
      <c r="C24" s="94"/>
      <c r="D24" s="94"/>
      <c r="E24" s="94"/>
      <c r="F24" s="94"/>
      <c r="G24" s="94"/>
      <c r="H24" s="93"/>
      <c r="I24" s="93"/>
      <c r="J24" s="93"/>
      <c r="K24" s="94"/>
    </row>
    <row r="25" spans="1:11" x14ac:dyDescent="0.25">
      <c r="A25" s="93"/>
      <c r="B25" s="93"/>
      <c r="C25" s="94"/>
      <c r="D25" s="94"/>
      <c r="E25" s="94"/>
      <c r="F25" s="94"/>
      <c r="G25" s="94"/>
      <c r="H25" s="93"/>
      <c r="I25" s="93"/>
      <c r="J25" s="93"/>
      <c r="K25" s="94"/>
    </row>
    <row r="26" spans="1:11" x14ac:dyDescent="0.25">
      <c r="A26" s="93"/>
      <c r="B26" s="93"/>
      <c r="C26" s="94"/>
      <c r="D26" s="94"/>
      <c r="E26" s="94"/>
      <c r="F26" s="94"/>
      <c r="G26" s="94"/>
      <c r="H26" s="93"/>
      <c r="I26" s="93"/>
      <c r="J26" s="93"/>
      <c r="K26" s="94"/>
    </row>
    <row r="27" spans="1:11" x14ac:dyDescent="0.25">
      <c r="A27" s="93"/>
      <c r="B27" s="93"/>
      <c r="C27" s="94"/>
      <c r="D27" s="94"/>
      <c r="E27" s="94"/>
      <c r="F27" s="94"/>
      <c r="G27" s="94"/>
      <c r="H27" s="93"/>
      <c r="I27" s="93"/>
      <c r="J27" s="93"/>
      <c r="K27" s="94"/>
    </row>
    <row r="28" spans="1:11" x14ac:dyDescent="0.25">
      <c r="A28" s="93"/>
      <c r="B28" s="93"/>
      <c r="C28" s="94"/>
      <c r="D28" s="94"/>
      <c r="E28" s="94"/>
      <c r="F28" s="94"/>
      <c r="G28" s="94"/>
      <c r="H28" s="93"/>
      <c r="I28" s="93"/>
      <c r="J28" s="93"/>
      <c r="K28" s="94"/>
    </row>
    <row r="29" spans="1:11" x14ac:dyDescent="0.25">
      <c r="A29" s="93"/>
      <c r="B29" s="93"/>
      <c r="C29" s="94"/>
      <c r="D29" s="94"/>
      <c r="E29" s="94"/>
      <c r="F29" s="94"/>
      <c r="G29" s="94"/>
      <c r="H29" s="93"/>
      <c r="I29" s="93"/>
      <c r="J29" s="93"/>
      <c r="K29" s="94"/>
    </row>
    <row r="30" spans="1:11" x14ac:dyDescent="0.25">
      <c r="A30" s="93"/>
      <c r="B30" s="93"/>
      <c r="C30" s="94"/>
      <c r="D30" s="94"/>
      <c r="E30" s="94"/>
      <c r="F30" s="94"/>
      <c r="G30" s="94"/>
      <c r="H30" s="93"/>
      <c r="I30" s="93"/>
      <c r="J30" s="93"/>
      <c r="K30" s="94"/>
    </row>
    <row r="31" spans="1:11" x14ac:dyDescent="0.25">
      <c r="A31" s="93"/>
      <c r="B31" s="93"/>
      <c r="C31" s="94"/>
      <c r="D31" s="94"/>
      <c r="E31" s="94"/>
      <c r="F31" s="94"/>
      <c r="G31" s="94"/>
      <c r="H31" s="93"/>
      <c r="I31" s="93"/>
      <c r="J31" s="93"/>
      <c r="K31" s="94"/>
    </row>
    <row r="32" spans="1:11" x14ac:dyDescent="0.25">
      <c r="A32" s="93"/>
      <c r="B32" s="93"/>
      <c r="C32" s="94"/>
      <c r="D32" s="94"/>
      <c r="E32" s="94"/>
      <c r="F32" s="94"/>
      <c r="G32" s="94"/>
      <c r="H32" s="93"/>
      <c r="I32" s="93"/>
      <c r="J32" s="93"/>
      <c r="K32" s="94"/>
    </row>
    <row r="33" spans="1:11" x14ac:dyDescent="0.25">
      <c r="A33" s="93"/>
      <c r="B33" s="93"/>
      <c r="C33" s="94"/>
      <c r="D33" s="94"/>
      <c r="E33" s="94"/>
      <c r="F33" s="94"/>
      <c r="G33" s="94"/>
      <c r="H33" s="93"/>
      <c r="I33" s="93"/>
      <c r="J33" s="93"/>
      <c r="K33" s="94"/>
    </row>
    <row r="34" spans="1:11" x14ac:dyDescent="0.25">
      <c r="A34" s="93"/>
      <c r="B34" s="93"/>
      <c r="C34" s="94"/>
      <c r="D34" s="94"/>
      <c r="E34" s="94"/>
      <c r="F34" s="94"/>
      <c r="G34" s="94"/>
      <c r="H34" s="93"/>
      <c r="I34" s="93"/>
      <c r="J34" s="93"/>
      <c r="K34" s="94"/>
    </row>
    <row r="35" spans="1:11" x14ac:dyDescent="0.25">
      <c r="A35" s="93"/>
      <c r="B35" s="93"/>
      <c r="C35" s="94"/>
      <c r="D35" s="94"/>
      <c r="E35" s="94"/>
      <c r="F35" s="94"/>
      <c r="G35" s="94"/>
      <c r="H35" s="93"/>
      <c r="I35" s="93"/>
      <c r="J35" s="93"/>
      <c r="K35" s="94"/>
    </row>
    <row r="36" spans="1:11" x14ac:dyDescent="0.25">
      <c r="A36" s="93"/>
      <c r="B36" s="93"/>
      <c r="C36" s="94"/>
      <c r="D36" s="94"/>
      <c r="E36" s="94"/>
      <c r="F36" s="94"/>
      <c r="G36" s="94"/>
      <c r="H36" s="93"/>
      <c r="I36" s="93"/>
      <c r="J36" s="93"/>
      <c r="K36" s="94"/>
    </row>
    <row r="37" spans="1:11" x14ac:dyDescent="0.25">
      <c r="A37" s="93"/>
      <c r="B37" s="93"/>
      <c r="C37" s="94"/>
      <c r="D37" s="94"/>
      <c r="E37" s="94"/>
      <c r="F37" s="94"/>
      <c r="G37" s="94"/>
      <c r="H37" s="93"/>
      <c r="I37" s="93"/>
      <c r="J37" s="93"/>
      <c r="K37" s="94"/>
    </row>
    <row r="38" spans="1:11" x14ac:dyDescent="0.25">
      <c r="A38" s="93"/>
      <c r="B38" s="93"/>
      <c r="C38" s="94"/>
      <c r="D38" s="94"/>
      <c r="E38" s="94"/>
      <c r="F38" s="94"/>
      <c r="G38" s="94"/>
      <c r="H38" s="93"/>
      <c r="I38" s="93"/>
      <c r="J38" s="93"/>
      <c r="K38" s="94"/>
    </row>
    <row r="39" spans="1:11" x14ac:dyDescent="0.25">
      <c r="A39" s="93"/>
      <c r="B39" s="93"/>
      <c r="C39" s="94"/>
      <c r="D39" s="94"/>
      <c r="E39" s="94"/>
      <c r="F39" s="94"/>
      <c r="G39" s="94"/>
      <c r="H39" s="93"/>
      <c r="I39" s="93"/>
      <c r="J39" s="93"/>
      <c r="K39" s="94"/>
    </row>
    <row r="40" spans="1:11" x14ac:dyDescent="0.25">
      <c r="A40" s="93"/>
      <c r="B40" s="93"/>
      <c r="C40" s="94"/>
      <c r="D40" s="94"/>
      <c r="E40" s="94"/>
      <c r="F40" s="94"/>
      <c r="G40" s="94"/>
      <c r="H40" s="93"/>
      <c r="I40" s="93"/>
      <c r="J40" s="93"/>
      <c r="K40" s="94"/>
    </row>
    <row r="41" spans="1:11" x14ac:dyDescent="0.25">
      <c r="A41" s="93"/>
      <c r="B41" s="93"/>
      <c r="C41" s="94"/>
      <c r="D41" s="94"/>
      <c r="E41" s="94"/>
      <c r="F41" s="94"/>
      <c r="G41" s="94"/>
      <c r="H41" s="93"/>
      <c r="I41" s="93"/>
      <c r="J41" s="93"/>
      <c r="K41" s="94"/>
    </row>
    <row r="42" spans="1:11" x14ac:dyDescent="0.25">
      <c r="A42" s="93"/>
      <c r="B42" s="93"/>
      <c r="C42" s="94"/>
      <c r="D42" s="94"/>
      <c r="E42" s="94"/>
      <c r="F42" s="94"/>
      <c r="G42" s="94"/>
      <c r="H42" s="93"/>
      <c r="I42" s="93"/>
      <c r="J42" s="93"/>
      <c r="K42" s="94"/>
    </row>
    <row r="43" spans="1:11" hidden="1" x14ac:dyDescent="0.25">
      <c r="A43" s="93"/>
      <c r="B43" s="93"/>
      <c r="C43" s="94"/>
      <c r="D43" s="94"/>
      <c r="E43" s="94"/>
      <c r="F43" s="94"/>
      <c r="G43" s="94"/>
      <c r="H43" s="93"/>
      <c r="I43" s="93"/>
      <c r="J43" s="93"/>
      <c r="K43" s="94"/>
    </row>
    <row r="44" spans="1:11" hidden="1" x14ac:dyDescent="0.25">
      <c r="A44" s="93"/>
      <c r="B44" s="93"/>
      <c r="C44" s="94"/>
      <c r="D44" s="94"/>
      <c r="E44" s="94"/>
      <c r="F44" s="94"/>
      <c r="G44" s="94"/>
      <c r="H44" s="93"/>
      <c r="I44" s="93"/>
      <c r="J44" s="93"/>
      <c r="K44" s="94"/>
    </row>
    <row r="45" spans="1:11" hidden="1" x14ac:dyDescent="0.25">
      <c r="A45" s="93"/>
      <c r="B45" s="93"/>
      <c r="C45" s="94"/>
      <c r="D45" s="94"/>
      <c r="E45" s="94"/>
      <c r="F45" s="94"/>
      <c r="G45" s="94"/>
      <c r="H45" s="93"/>
      <c r="I45" s="93"/>
      <c r="J45" s="93"/>
      <c r="K45" s="94"/>
    </row>
    <row r="46" spans="1:11" hidden="1" x14ac:dyDescent="0.25">
      <c r="A46" s="93"/>
      <c r="B46" s="93"/>
      <c r="C46" s="94"/>
      <c r="D46" s="94"/>
      <c r="E46" s="94"/>
      <c r="F46" s="94"/>
      <c r="G46" s="94"/>
      <c r="H46" s="93"/>
      <c r="I46" s="93"/>
      <c r="J46" s="93"/>
      <c r="K46" s="94"/>
    </row>
    <row r="47" spans="1:11" hidden="1" x14ac:dyDescent="0.25">
      <c r="A47" s="93"/>
      <c r="B47" s="93"/>
      <c r="C47" s="94"/>
      <c r="D47" s="94"/>
      <c r="E47" s="94"/>
      <c r="F47" s="94"/>
      <c r="G47" s="94"/>
      <c r="H47" s="93"/>
      <c r="I47" s="93"/>
      <c r="J47" s="93"/>
      <c r="K47" s="94"/>
    </row>
    <row r="48" spans="1:11" hidden="1" x14ac:dyDescent="0.25">
      <c r="A48" s="93"/>
      <c r="B48" s="93"/>
      <c r="C48" s="94"/>
      <c r="D48" s="94"/>
      <c r="E48" s="94"/>
      <c r="F48" s="94"/>
      <c r="G48" s="94"/>
      <c r="H48" s="93"/>
      <c r="I48" s="93"/>
      <c r="J48" s="93"/>
      <c r="K48" s="94"/>
    </row>
    <row r="49" spans="1:11" hidden="1" x14ac:dyDescent="0.25">
      <c r="A49" s="93"/>
      <c r="B49" s="93"/>
      <c r="C49" s="94"/>
      <c r="D49" s="94"/>
      <c r="E49" s="94"/>
      <c r="F49" s="94"/>
      <c r="G49" s="94"/>
      <c r="H49" s="93"/>
      <c r="I49" s="93"/>
      <c r="J49" s="93"/>
      <c r="K49" s="94"/>
    </row>
    <row r="50" spans="1:11" hidden="1" x14ac:dyDescent="0.25">
      <c r="A50" s="93"/>
      <c r="B50" s="93"/>
      <c r="C50" s="94"/>
      <c r="D50" s="94"/>
      <c r="E50" s="94"/>
      <c r="F50" s="94"/>
      <c r="G50" s="94"/>
      <c r="H50" s="93"/>
      <c r="I50" s="93"/>
      <c r="J50" s="93"/>
      <c r="K50" s="94"/>
    </row>
    <row r="51" spans="1:11" hidden="1" x14ac:dyDescent="0.25">
      <c r="A51" s="93"/>
      <c r="B51" s="93"/>
      <c r="C51" s="94"/>
      <c r="D51" s="94"/>
      <c r="E51" s="94"/>
      <c r="F51" s="94"/>
      <c r="G51" s="94"/>
      <c r="H51" s="93"/>
      <c r="I51" s="93"/>
      <c r="J51" s="93"/>
      <c r="K51" s="94"/>
    </row>
    <row r="52" spans="1:11" hidden="1" x14ac:dyDescent="0.25">
      <c r="A52" s="93"/>
      <c r="B52" s="93"/>
      <c r="C52" s="94"/>
      <c r="D52" s="94"/>
      <c r="E52" s="94"/>
      <c r="F52" s="94"/>
      <c r="G52" s="94"/>
      <c r="H52" s="93"/>
      <c r="I52" s="93"/>
      <c r="J52" s="93"/>
      <c r="K52" s="94"/>
    </row>
    <row r="53" spans="1:11" hidden="1" x14ac:dyDescent="0.25">
      <c r="A53" s="93"/>
      <c r="B53" s="93"/>
      <c r="C53" s="94"/>
      <c r="D53" s="94"/>
      <c r="E53" s="94"/>
      <c r="F53" s="94"/>
      <c r="G53" s="94"/>
      <c r="H53" s="93"/>
      <c r="I53" s="93"/>
      <c r="J53" s="93"/>
      <c r="K53" s="94"/>
    </row>
    <row r="54" spans="1:11" hidden="1" x14ac:dyDescent="0.25">
      <c r="A54" s="93"/>
      <c r="B54" s="93"/>
      <c r="C54" s="94"/>
      <c r="D54" s="94"/>
      <c r="E54" s="94"/>
      <c r="F54" s="94"/>
      <c r="G54" s="94"/>
      <c r="H54" s="93"/>
      <c r="I54" s="93"/>
      <c r="J54" s="93"/>
      <c r="K54" s="94"/>
    </row>
    <row r="55" spans="1:11" hidden="1" x14ac:dyDescent="0.25">
      <c r="A55" s="93"/>
      <c r="B55" s="93"/>
      <c r="C55" s="94"/>
      <c r="D55" s="94"/>
      <c r="E55" s="94"/>
      <c r="F55" s="94"/>
      <c r="G55" s="94"/>
      <c r="H55" s="93"/>
      <c r="I55" s="93"/>
      <c r="J55" s="93"/>
      <c r="K55" s="94"/>
    </row>
    <row r="56" spans="1:11" hidden="1" x14ac:dyDescent="0.25">
      <c r="A56" s="93"/>
      <c r="B56" s="93"/>
      <c r="C56" s="94"/>
      <c r="D56" s="94"/>
      <c r="E56" s="94"/>
      <c r="F56" s="94"/>
      <c r="G56" s="94"/>
      <c r="H56" s="93"/>
      <c r="I56" s="93"/>
      <c r="J56" s="93"/>
      <c r="K56" s="94"/>
    </row>
    <row r="57" spans="1:11" hidden="1" x14ac:dyDescent="0.25">
      <c r="A57" s="93"/>
      <c r="B57" s="93"/>
      <c r="C57" s="94"/>
      <c r="D57" s="94"/>
      <c r="E57" s="94"/>
      <c r="F57" s="94"/>
      <c r="G57" s="94"/>
      <c r="H57" s="93"/>
      <c r="I57" s="93"/>
      <c r="J57" s="93"/>
      <c r="K57" s="94"/>
    </row>
    <row r="58" spans="1:11" hidden="1" x14ac:dyDescent="0.25">
      <c r="A58" s="93"/>
      <c r="B58" s="93"/>
      <c r="C58" s="94"/>
      <c r="D58" s="94"/>
      <c r="E58" s="94"/>
      <c r="F58" s="94"/>
      <c r="G58" s="94"/>
      <c r="H58" s="93"/>
      <c r="I58" s="93"/>
      <c r="J58" s="93"/>
      <c r="K58" s="94"/>
    </row>
    <row r="59" spans="1:11" hidden="1" x14ac:dyDescent="0.25">
      <c r="A59" s="93"/>
      <c r="B59" s="93"/>
      <c r="C59" s="94"/>
      <c r="D59" s="94"/>
      <c r="E59" s="94"/>
      <c r="F59" s="94"/>
      <c r="G59" s="94"/>
      <c r="H59" s="93"/>
      <c r="I59" s="93"/>
      <c r="J59" s="93"/>
      <c r="K59" s="94"/>
    </row>
    <row r="60" spans="1:11" hidden="1" x14ac:dyDescent="0.25">
      <c r="A60" s="93"/>
      <c r="B60" s="93"/>
      <c r="C60" s="94"/>
      <c r="D60" s="94"/>
      <c r="E60" s="94"/>
      <c r="F60" s="94"/>
      <c r="G60" s="94"/>
      <c r="H60" s="93"/>
      <c r="I60" s="93"/>
      <c r="J60" s="93"/>
      <c r="K60" s="94"/>
    </row>
    <row r="61" spans="1:11" hidden="1" x14ac:dyDescent="0.25">
      <c r="A61" s="93"/>
      <c r="B61" s="93"/>
      <c r="C61" s="94"/>
      <c r="D61" s="94"/>
      <c r="E61" s="94"/>
      <c r="F61" s="94"/>
      <c r="G61" s="94"/>
      <c r="H61" s="93"/>
      <c r="I61" s="93"/>
      <c r="J61" s="93"/>
      <c r="K61" s="94"/>
    </row>
    <row r="62" spans="1:11" hidden="1" x14ac:dyDescent="0.25">
      <c r="A62" s="93"/>
      <c r="B62" s="93"/>
      <c r="C62" s="94"/>
      <c r="D62" s="94"/>
      <c r="E62" s="94"/>
      <c r="F62" s="94"/>
      <c r="G62" s="94"/>
      <c r="H62" s="93"/>
      <c r="I62" s="93"/>
      <c r="J62" s="93"/>
      <c r="K62" s="94"/>
    </row>
    <row r="63" spans="1:11" hidden="1" x14ac:dyDescent="0.25">
      <c r="A63" s="93"/>
      <c r="B63" s="93"/>
      <c r="C63" s="94"/>
      <c r="D63" s="94"/>
      <c r="E63" s="94"/>
      <c r="F63" s="94"/>
      <c r="G63" s="94"/>
      <c r="H63" s="93"/>
      <c r="I63" s="93"/>
      <c r="J63" s="93"/>
      <c r="K63" s="94"/>
    </row>
    <row r="64" spans="1:11" hidden="1" x14ac:dyDescent="0.25">
      <c r="A64" s="93"/>
      <c r="B64" s="93"/>
      <c r="C64" s="94"/>
      <c r="D64" s="94"/>
      <c r="E64" s="94"/>
      <c r="F64" s="94"/>
      <c r="G64" s="94"/>
      <c r="H64" s="93"/>
      <c r="I64" s="93"/>
      <c r="J64" s="93"/>
      <c r="K64" s="94"/>
    </row>
    <row r="65" spans="1:11" hidden="1" x14ac:dyDescent="0.25">
      <c r="A65" s="93"/>
      <c r="B65" s="93"/>
      <c r="C65" s="94"/>
      <c r="D65" s="94"/>
      <c r="E65" s="94"/>
      <c r="F65" s="94"/>
      <c r="G65" s="94"/>
      <c r="H65" s="93"/>
      <c r="I65" s="93"/>
      <c r="J65" s="93"/>
      <c r="K65" s="94"/>
    </row>
    <row r="66" spans="1:11" hidden="1" x14ac:dyDescent="0.25">
      <c r="A66" s="93"/>
      <c r="B66" s="93"/>
      <c r="C66" s="94"/>
      <c r="D66" s="94"/>
      <c r="E66" s="94"/>
      <c r="F66" s="94"/>
      <c r="G66" s="94"/>
      <c r="H66" s="93"/>
      <c r="I66" s="93"/>
      <c r="J66" s="93"/>
      <c r="K66" s="94"/>
    </row>
    <row r="67" spans="1:11" hidden="1" x14ac:dyDescent="0.25">
      <c r="A67" s="93"/>
      <c r="B67" s="93"/>
      <c r="C67" s="94"/>
      <c r="D67" s="94"/>
      <c r="E67" s="94"/>
      <c r="F67" s="94"/>
      <c r="G67" s="94"/>
      <c r="H67" s="93"/>
      <c r="I67" s="93"/>
      <c r="J67" s="93"/>
      <c r="K67" s="94"/>
    </row>
    <row r="68" spans="1:11" hidden="1" x14ac:dyDescent="0.25">
      <c r="A68" s="93"/>
      <c r="B68" s="93"/>
      <c r="C68" s="94"/>
      <c r="D68" s="94"/>
      <c r="E68" s="94"/>
      <c r="F68" s="94"/>
      <c r="G68" s="94"/>
      <c r="H68" s="93"/>
      <c r="I68" s="93"/>
      <c r="J68" s="93"/>
      <c r="K68" s="94"/>
    </row>
    <row r="69" spans="1:11" hidden="1" x14ac:dyDescent="0.25">
      <c r="A69" s="93"/>
      <c r="B69" s="93"/>
      <c r="C69" s="94"/>
      <c r="D69" s="94"/>
      <c r="E69" s="94"/>
      <c r="F69" s="94"/>
      <c r="G69" s="94"/>
      <c r="H69" s="93"/>
      <c r="I69" s="93"/>
      <c r="J69" s="93"/>
      <c r="K69" s="94"/>
    </row>
    <row r="70" spans="1:11" hidden="1" x14ac:dyDescent="0.25">
      <c r="A70" s="93"/>
      <c r="B70" s="93"/>
      <c r="C70" s="94"/>
      <c r="D70" s="94"/>
      <c r="E70" s="94"/>
      <c r="F70" s="94"/>
      <c r="G70" s="94"/>
      <c r="H70" s="93"/>
      <c r="I70" s="93"/>
      <c r="J70" s="93"/>
      <c r="K70" s="94"/>
    </row>
    <row r="71" spans="1:11" x14ac:dyDescent="0.25">
      <c r="A71" s="93"/>
      <c r="B71" s="93"/>
      <c r="C71" s="94"/>
      <c r="D71" s="94"/>
      <c r="E71" s="94"/>
      <c r="F71" s="94"/>
      <c r="G71" s="94"/>
      <c r="H71" s="93"/>
      <c r="I71" s="93"/>
      <c r="J71" s="93"/>
      <c r="K71" s="94"/>
    </row>
    <row r="72" spans="1:11" x14ac:dyDescent="0.25">
      <c r="A72" s="93"/>
      <c r="B72" s="93"/>
      <c r="C72" s="94"/>
      <c r="D72" s="94"/>
      <c r="E72" s="94"/>
      <c r="F72" s="94"/>
      <c r="G72" s="94"/>
      <c r="H72" s="93"/>
      <c r="I72" s="93"/>
      <c r="J72" s="93"/>
      <c r="K72" s="94"/>
    </row>
    <row r="73" spans="1:11" x14ac:dyDescent="0.25">
      <c r="A73" s="93"/>
      <c r="B73" s="93"/>
      <c r="C73" s="94"/>
      <c r="D73" s="94"/>
      <c r="E73" s="94"/>
      <c r="F73" s="94"/>
      <c r="G73" s="94"/>
      <c r="H73" s="93"/>
      <c r="I73" s="93"/>
      <c r="J73" s="93"/>
      <c r="K73" s="94"/>
    </row>
    <row r="74" spans="1:11" x14ac:dyDescent="0.25">
      <c r="A74" s="93"/>
      <c r="B74" s="93"/>
      <c r="C74" s="94"/>
      <c r="D74" s="94"/>
      <c r="E74" s="94"/>
      <c r="F74" s="94"/>
      <c r="G74" s="94"/>
      <c r="H74" s="93"/>
      <c r="I74" s="93"/>
      <c r="J74" s="93"/>
      <c r="K74" s="94"/>
    </row>
    <row r="75" spans="1:11" x14ac:dyDescent="0.25">
      <c r="A75" s="93"/>
      <c r="B75" s="93"/>
      <c r="C75" s="94"/>
      <c r="D75" s="94"/>
      <c r="E75" s="94"/>
      <c r="F75" s="94"/>
      <c r="G75" s="94"/>
      <c r="H75" s="93"/>
      <c r="I75" s="93"/>
      <c r="J75" s="93"/>
      <c r="K75" s="94"/>
    </row>
    <row r="76" spans="1:11" x14ac:dyDescent="0.25">
      <c r="A76" s="93"/>
      <c r="B76" s="93"/>
      <c r="C76" s="94"/>
      <c r="D76" s="94"/>
      <c r="E76" s="94"/>
      <c r="F76" s="94"/>
      <c r="G76" s="94"/>
      <c r="H76" s="93"/>
      <c r="I76" s="93"/>
      <c r="J76" s="93"/>
      <c r="K76" s="94"/>
    </row>
    <row r="77" spans="1:11" x14ac:dyDescent="0.25">
      <c r="A77" s="93"/>
      <c r="B77" s="93"/>
      <c r="C77" s="94"/>
      <c r="D77" s="94"/>
      <c r="E77" s="94"/>
      <c r="F77" s="94"/>
      <c r="G77" s="94"/>
      <c r="H77" s="93"/>
      <c r="I77" s="93"/>
      <c r="J77" s="93"/>
      <c r="K77" s="94"/>
    </row>
    <row r="78" spans="1:11" x14ac:dyDescent="0.25">
      <c r="A78" s="93"/>
      <c r="B78" s="93"/>
      <c r="C78" s="94"/>
      <c r="D78" s="94"/>
      <c r="E78" s="94"/>
      <c r="F78" s="94"/>
      <c r="G78" s="94"/>
      <c r="H78" s="93"/>
      <c r="I78" s="93"/>
      <c r="J78" s="93"/>
      <c r="K78" s="94"/>
    </row>
    <row r="79" spans="1:11" x14ac:dyDescent="0.25">
      <c r="A79" s="93"/>
      <c r="B79" s="93"/>
      <c r="C79" s="94"/>
      <c r="D79" s="94"/>
      <c r="E79" s="94"/>
      <c r="F79" s="94"/>
      <c r="G79" s="94"/>
      <c r="H79" s="93"/>
      <c r="I79" s="93"/>
      <c r="J79" s="93"/>
      <c r="K79" s="94"/>
    </row>
    <row r="80" spans="1:11" x14ac:dyDescent="0.25">
      <c r="A80" s="93"/>
      <c r="B80" s="93"/>
      <c r="C80" s="94"/>
      <c r="D80" s="94"/>
      <c r="E80" s="94"/>
      <c r="F80" s="94"/>
      <c r="G80" s="94"/>
      <c r="H80" s="93"/>
      <c r="I80" s="93"/>
      <c r="J80" s="93"/>
      <c r="K80" s="94"/>
    </row>
    <row r="81" spans="1:11" x14ac:dyDescent="0.25">
      <c r="A81" s="93"/>
      <c r="B81" s="93"/>
      <c r="C81" s="94"/>
      <c r="D81" s="94"/>
      <c r="E81" s="94"/>
      <c r="F81" s="94"/>
      <c r="G81" s="94"/>
      <c r="H81" s="93"/>
      <c r="I81" s="93"/>
      <c r="J81" s="93"/>
      <c r="K81" s="94"/>
    </row>
    <row r="82" spans="1:11" x14ac:dyDescent="0.25">
      <c r="A82" s="93"/>
      <c r="B82" s="93"/>
      <c r="C82" s="94"/>
      <c r="D82" s="94"/>
      <c r="E82" s="94"/>
      <c r="F82" s="94"/>
      <c r="G82" s="94"/>
      <c r="H82" s="93"/>
      <c r="I82" s="93"/>
      <c r="J82" s="93"/>
      <c r="K82" s="94"/>
    </row>
    <row r="83" spans="1:11" x14ac:dyDescent="0.25">
      <c r="A83" s="93"/>
      <c r="B83" s="93"/>
      <c r="C83" s="94"/>
      <c r="D83" s="94"/>
      <c r="E83" s="94"/>
      <c r="F83" s="94"/>
      <c r="G83" s="94"/>
      <c r="H83" s="93"/>
      <c r="I83" s="93"/>
      <c r="J83" s="93"/>
      <c r="K83" s="94"/>
    </row>
    <row r="84" spans="1:11" x14ac:dyDescent="0.25">
      <c r="A84" s="93"/>
      <c r="B84" s="93"/>
      <c r="C84" s="94"/>
      <c r="D84" s="94"/>
      <c r="E84" s="94"/>
      <c r="F84" s="94"/>
      <c r="G84" s="94"/>
      <c r="H84" s="93"/>
      <c r="I84" s="93"/>
      <c r="J84" s="93"/>
      <c r="K84" s="94"/>
    </row>
    <row r="85" spans="1:11" x14ac:dyDescent="0.25">
      <c r="A85" s="93"/>
      <c r="B85" s="93"/>
      <c r="C85" s="94"/>
      <c r="D85" s="94"/>
      <c r="E85" s="94"/>
      <c r="F85" s="94"/>
      <c r="G85" s="94"/>
      <c r="H85" s="93"/>
      <c r="I85" s="93"/>
      <c r="J85" s="93"/>
      <c r="K85" s="94"/>
    </row>
    <row r="86" spans="1:11" hidden="1" x14ac:dyDescent="0.25">
      <c r="A86" s="93"/>
      <c r="B86" s="93"/>
      <c r="C86" s="94"/>
      <c r="D86" s="94"/>
      <c r="E86" s="94"/>
      <c r="F86" s="94"/>
      <c r="G86" s="94"/>
      <c r="H86" s="93"/>
      <c r="I86" s="93"/>
      <c r="J86" s="93"/>
      <c r="K86" s="94"/>
    </row>
    <row r="87" spans="1:11" hidden="1" x14ac:dyDescent="0.25">
      <c r="A87" s="93"/>
      <c r="B87" s="93"/>
      <c r="C87" s="94"/>
      <c r="D87" s="94"/>
      <c r="E87" s="94"/>
      <c r="F87" s="94"/>
      <c r="G87" s="94"/>
      <c r="H87" s="93"/>
      <c r="I87" s="93"/>
      <c r="J87" s="93"/>
      <c r="K87" s="94"/>
    </row>
    <row r="88" spans="1:11" hidden="1" x14ac:dyDescent="0.25">
      <c r="A88" s="93"/>
      <c r="B88" s="93"/>
      <c r="C88" s="94"/>
      <c r="D88" s="94"/>
      <c r="E88" s="94"/>
      <c r="F88" s="94"/>
      <c r="G88" s="94"/>
      <c r="H88" s="93"/>
      <c r="I88" s="93"/>
      <c r="J88" s="93"/>
      <c r="K88" s="94"/>
    </row>
    <row r="89" spans="1:11" hidden="1" x14ac:dyDescent="0.25">
      <c r="A89" s="93"/>
      <c r="B89" s="93"/>
      <c r="C89" s="94"/>
      <c r="D89" s="94"/>
      <c r="E89" s="94"/>
      <c r="F89" s="94"/>
      <c r="G89" s="94"/>
      <c r="H89" s="93"/>
      <c r="I89" s="93"/>
      <c r="J89" s="93"/>
      <c r="K89" s="94"/>
    </row>
    <row r="90" spans="1:11" hidden="1" x14ac:dyDescent="0.25">
      <c r="A90" s="93"/>
      <c r="B90" s="93"/>
      <c r="C90" s="94"/>
      <c r="D90" s="94"/>
      <c r="E90" s="94"/>
      <c r="F90" s="94"/>
      <c r="G90" s="94"/>
      <c r="H90" s="93"/>
      <c r="I90" s="93"/>
      <c r="J90" s="93"/>
      <c r="K90" s="94"/>
    </row>
    <row r="91" spans="1:11" hidden="1" x14ac:dyDescent="0.25">
      <c r="A91" s="93"/>
      <c r="B91" s="93"/>
      <c r="C91" s="94"/>
      <c r="D91" s="94"/>
      <c r="E91" s="94"/>
      <c r="F91" s="94"/>
      <c r="G91" s="94"/>
      <c r="H91" s="93"/>
      <c r="I91" s="93"/>
      <c r="J91" s="93"/>
      <c r="K91" s="94"/>
    </row>
    <row r="92" spans="1:11" hidden="1" x14ac:dyDescent="0.25">
      <c r="A92" s="93"/>
      <c r="B92" s="93"/>
      <c r="C92" s="94"/>
      <c r="D92" s="94"/>
      <c r="E92" s="94"/>
      <c r="F92" s="94"/>
      <c r="G92" s="94"/>
      <c r="H92" s="93"/>
      <c r="I92" s="93"/>
      <c r="J92" s="93"/>
      <c r="K92" s="94"/>
    </row>
    <row r="93" spans="1:11" hidden="1" x14ac:dyDescent="0.25">
      <c r="A93" s="93"/>
      <c r="B93" s="93"/>
      <c r="C93" s="94"/>
      <c r="D93" s="94"/>
      <c r="E93" s="94"/>
      <c r="F93" s="94"/>
      <c r="G93" s="94"/>
      <c r="H93" s="93"/>
      <c r="I93" s="93"/>
      <c r="J93" s="93"/>
      <c r="K93" s="94"/>
    </row>
    <row r="94" spans="1:11" hidden="1" x14ac:dyDescent="0.25">
      <c r="A94" s="93"/>
      <c r="B94" s="93"/>
      <c r="C94" s="94"/>
      <c r="D94" s="94"/>
      <c r="E94" s="94"/>
      <c r="F94" s="94"/>
      <c r="G94" s="94"/>
      <c r="H94" s="93"/>
      <c r="I94" s="93"/>
      <c r="J94" s="93"/>
      <c r="K94" s="94"/>
    </row>
    <row r="95" spans="1:11" hidden="1" x14ac:dyDescent="0.25">
      <c r="A95" s="93"/>
      <c r="B95" s="93"/>
      <c r="C95" s="94"/>
      <c r="D95" s="94"/>
      <c r="E95" s="94"/>
      <c r="F95" s="94"/>
      <c r="G95" s="94"/>
      <c r="H95" s="93"/>
      <c r="I95" s="93"/>
      <c r="J95" s="93"/>
      <c r="K95" s="94"/>
    </row>
    <row r="96" spans="1:11" hidden="1" x14ac:dyDescent="0.25">
      <c r="A96" s="93"/>
      <c r="B96" s="93"/>
      <c r="C96" s="94"/>
      <c r="D96" s="94"/>
      <c r="E96" s="94"/>
      <c r="F96" s="94"/>
      <c r="G96" s="94"/>
      <c r="H96" s="93"/>
      <c r="I96" s="93"/>
      <c r="J96" s="93"/>
      <c r="K96" s="94"/>
    </row>
    <row r="97" spans="1:11" hidden="1" x14ac:dyDescent="0.25">
      <c r="A97" s="93"/>
      <c r="B97" s="93"/>
      <c r="C97" s="94"/>
      <c r="D97" s="94"/>
      <c r="E97" s="94"/>
      <c r="F97" s="94"/>
      <c r="G97" s="94"/>
      <c r="H97" s="93"/>
      <c r="I97" s="93"/>
      <c r="J97" s="93"/>
      <c r="K97" s="94"/>
    </row>
    <row r="98" spans="1:11" hidden="1" x14ac:dyDescent="0.25">
      <c r="A98" s="93"/>
      <c r="B98" s="93"/>
      <c r="C98" s="94"/>
      <c r="D98" s="94"/>
      <c r="E98" s="94"/>
      <c r="F98" s="94"/>
      <c r="G98" s="94"/>
      <c r="H98" s="93"/>
      <c r="I98" s="93"/>
      <c r="J98" s="93"/>
      <c r="K98" s="94"/>
    </row>
    <row r="99" spans="1:11" hidden="1" x14ac:dyDescent="0.25">
      <c r="A99" s="93"/>
      <c r="B99" s="93"/>
      <c r="C99" s="94"/>
      <c r="D99" s="94"/>
      <c r="E99" s="94"/>
      <c r="F99" s="94"/>
      <c r="G99" s="94"/>
      <c r="H99" s="93"/>
      <c r="I99" s="93"/>
      <c r="J99" s="93"/>
      <c r="K99" s="94"/>
    </row>
    <row r="100" spans="1:11" hidden="1" x14ac:dyDescent="0.25">
      <c r="A100" s="93"/>
      <c r="B100" s="93"/>
      <c r="C100" s="94"/>
      <c r="D100" s="94"/>
      <c r="E100" s="94"/>
      <c r="F100" s="94"/>
      <c r="G100" s="94"/>
      <c r="H100" s="93"/>
      <c r="I100" s="93"/>
      <c r="J100" s="93"/>
      <c r="K100" s="94"/>
    </row>
    <row r="101" spans="1:11" hidden="1" x14ac:dyDescent="0.25">
      <c r="A101" s="93"/>
      <c r="B101" s="93"/>
      <c r="C101" s="94"/>
      <c r="D101" s="94"/>
      <c r="E101" s="94"/>
      <c r="F101" s="94"/>
      <c r="G101" s="94"/>
      <c r="H101" s="93"/>
      <c r="I101" s="93"/>
      <c r="J101" s="93"/>
      <c r="K101" s="94"/>
    </row>
    <row r="102" spans="1:11" hidden="1" x14ac:dyDescent="0.25">
      <c r="A102" s="93"/>
      <c r="B102" s="93"/>
      <c r="C102" s="94"/>
      <c r="D102" s="94"/>
      <c r="E102" s="94"/>
      <c r="F102" s="94"/>
      <c r="G102" s="94"/>
      <c r="H102" s="93"/>
      <c r="I102" s="93"/>
      <c r="J102" s="93"/>
      <c r="K102" s="94"/>
    </row>
    <row r="103" spans="1:11" hidden="1" x14ac:dyDescent="0.25">
      <c r="A103" s="93"/>
      <c r="B103" s="93"/>
      <c r="C103" s="94"/>
      <c r="D103" s="94"/>
      <c r="E103" s="94"/>
      <c r="F103" s="94"/>
      <c r="G103" s="94"/>
      <c r="H103" s="93"/>
      <c r="I103" s="93"/>
      <c r="J103" s="93"/>
      <c r="K103" s="94"/>
    </row>
    <row r="104" spans="1:11" hidden="1" x14ac:dyDescent="0.25">
      <c r="A104" s="93"/>
      <c r="B104" s="93"/>
      <c r="C104" s="94"/>
      <c r="D104" s="94"/>
      <c r="E104" s="94"/>
      <c r="F104" s="94"/>
      <c r="G104" s="94"/>
      <c r="H104" s="93"/>
      <c r="I104" s="93"/>
      <c r="J104" s="93"/>
      <c r="K104" s="94"/>
    </row>
    <row r="105" spans="1:11" hidden="1" x14ac:dyDescent="0.25">
      <c r="A105" s="93"/>
      <c r="B105" s="93"/>
      <c r="C105" s="94"/>
      <c r="D105" s="94"/>
      <c r="E105" s="94"/>
      <c r="F105" s="94"/>
      <c r="G105" s="94"/>
      <c r="H105" s="93"/>
      <c r="I105" s="93"/>
      <c r="J105" s="93"/>
      <c r="K105" s="94"/>
    </row>
    <row r="106" spans="1:11" hidden="1" x14ac:dyDescent="0.25">
      <c r="A106" s="93"/>
      <c r="B106" s="93"/>
      <c r="C106" s="94"/>
      <c r="D106" s="94"/>
      <c r="E106" s="94"/>
      <c r="F106" s="94"/>
      <c r="G106" s="94"/>
      <c r="H106" s="93"/>
      <c r="I106" s="93"/>
      <c r="J106" s="93"/>
      <c r="K106" s="94"/>
    </row>
    <row r="107" spans="1:11" hidden="1" x14ac:dyDescent="0.25">
      <c r="A107" s="93"/>
      <c r="B107" s="93"/>
      <c r="C107" s="94"/>
      <c r="D107" s="94"/>
      <c r="E107" s="94"/>
      <c r="F107" s="94"/>
      <c r="G107" s="94"/>
      <c r="H107" s="93"/>
      <c r="I107" s="93"/>
      <c r="J107" s="93"/>
      <c r="K107" s="94"/>
    </row>
    <row r="108" spans="1:11" x14ac:dyDescent="0.25">
      <c r="A108" s="93"/>
      <c r="B108" s="93"/>
      <c r="C108" s="94"/>
      <c r="D108" s="94"/>
      <c r="E108" s="94"/>
      <c r="F108" s="94"/>
      <c r="G108" s="94"/>
      <c r="H108" s="93"/>
      <c r="I108" s="93"/>
      <c r="J108" s="93"/>
      <c r="K108" s="94"/>
    </row>
    <row r="109" spans="1:11" x14ac:dyDescent="0.25">
      <c r="A109" s="93"/>
      <c r="B109" s="93"/>
      <c r="C109" s="94"/>
      <c r="D109" s="94"/>
      <c r="E109" s="94"/>
      <c r="F109" s="94"/>
      <c r="G109" s="94"/>
      <c r="H109" s="93"/>
      <c r="I109" s="93"/>
      <c r="J109" s="93"/>
      <c r="K109" s="94"/>
    </row>
    <row r="110" spans="1:11" x14ac:dyDescent="0.25">
      <c r="A110" s="93"/>
      <c r="B110" s="93"/>
      <c r="C110" s="94"/>
      <c r="D110" s="94"/>
      <c r="E110" s="94"/>
      <c r="F110" s="94"/>
      <c r="G110" s="94"/>
      <c r="H110" s="93"/>
      <c r="I110" s="93"/>
      <c r="J110" s="93"/>
      <c r="K110" s="94"/>
    </row>
    <row r="111" spans="1:11" x14ac:dyDescent="0.25">
      <c r="A111" s="93"/>
      <c r="B111" s="93"/>
      <c r="C111" s="94"/>
      <c r="D111" s="94"/>
      <c r="E111" s="94"/>
      <c r="F111" s="94"/>
      <c r="G111" s="94"/>
      <c r="H111" s="93"/>
      <c r="I111" s="93"/>
      <c r="J111" s="93"/>
      <c r="K111" s="94"/>
    </row>
    <row r="112" spans="1:11" x14ac:dyDescent="0.25">
      <c r="A112" s="93"/>
      <c r="B112" s="93"/>
      <c r="C112" s="94"/>
      <c r="D112" s="94"/>
      <c r="E112" s="94"/>
      <c r="F112" s="94"/>
      <c r="G112" s="94"/>
      <c r="H112" s="93"/>
      <c r="I112" s="93"/>
      <c r="J112" s="93"/>
      <c r="K112" s="94"/>
    </row>
    <row r="113" spans="1:11" x14ac:dyDescent="0.25">
      <c r="A113" s="93"/>
      <c r="B113" s="93"/>
      <c r="C113" s="94"/>
      <c r="D113" s="94"/>
      <c r="E113" s="94"/>
      <c r="F113" s="94"/>
      <c r="G113" s="94"/>
      <c r="H113" s="93"/>
      <c r="I113" s="93"/>
      <c r="J113" s="93"/>
      <c r="K113" s="94"/>
    </row>
    <row r="114" spans="1:11" x14ac:dyDescent="0.25">
      <c r="A114" s="93"/>
      <c r="B114" s="93"/>
      <c r="C114" s="94"/>
      <c r="D114" s="94"/>
      <c r="E114" s="94"/>
      <c r="F114" s="94"/>
      <c r="G114" s="94"/>
      <c r="H114" s="93"/>
      <c r="I114" s="93"/>
      <c r="J114" s="93"/>
      <c r="K114" s="94"/>
    </row>
    <row r="115" spans="1:11" x14ac:dyDescent="0.25">
      <c r="A115" s="93"/>
      <c r="B115" s="93"/>
      <c r="C115" s="94"/>
      <c r="D115" s="94"/>
      <c r="E115" s="94"/>
      <c r="F115" s="94"/>
      <c r="G115" s="94"/>
      <c r="H115" s="93"/>
      <c r="I115" s="93"/>
      <c r="J115" s="93"/>
      <c r="K115" s="94"/>
    </row>
    <row r="116" spans="1:11" x14ac:dyDescent="0.25">
      <c r="A116" s="93"/>
      <c r="B116" s="93"/>
      <c r="C116" s="94"/>
      <c r="D116" s="94"/>
      <c r="E116" s="94"/>
      <c r="F116" s="94"/>
      <c r="G116" s="94"/>
      <c r="H116" s="93"/>
      <c r="I116" s="93"/>
      <c r="J116" s="93"/>
      <c r="K116" s="94"/>
    </row>
    <row r="117" spans="1:11" x14ac:dyDescent="0.25">
      <c r="A117" s="93"/>
      <c r="B117" s="93"/>
      <c r="C117" s="94"/>
      <c r="D117" s="94"/>
      <c r="E117" s="94"/>
      <c r="F117" s="94"/>
      <c r="G117" s="94"/>
      <c r="H117" s="93"/>
      <c r="I117" s="93"/>
      <c r="J117" s="93"/>
      <c r="K117" s="94"/>
    </row>
    <row r="118" spans="1:11" x14ac:dyDescent="0.25">
      <c r="A118" s="93"/>
      <c r="B118" s="93"/>
      <c r="C118" s="94"/>
      <c r="D118" s="94"/>
      <c r="E118" s="94"/>
      <c r="F118" s="94"/>
      <c r="G118" s="94"/>
      <c r="H118" s="93"/>
      <c r="I118" s="93"/>
      <c r="J118" s="93"/>
      <c r="K118" s="94"/>
    </row>
    <row r="119" spans="1:11" x14ac:dyDescent="0.25">
      <c r="A119" s="93"/>
      <c r="B119" s="93"/>
      <c r="C119" s="94"/>
      <c r="D119" s="94"/>
      <c r="E119" s="94"/>
      <c r="F119" s="94"/>
      <c r="G119" s="94"/>
      <c r="H119" s="93"/>
      <c r="I119" s="93"/>
      <c r="J119" s="93"/>
      <c r="K119" s="94"/>
    </row>
    <row r="120" spans="1:11" x14ac:dyDescent="0.25">
      <c r="A120" s="93"/>
      <c r="B120" s="93"/>
      <c r="C120" s="94"/>
      <c r="D120" s="94"/>
      <c r="E120" s="94"/>
      <c r="F120" s="94"/>
      <c r="G120" s="94"/>
      <c r="H120" s="93"/>
      <c r="I120" s="93"/>
      <c r="J120" s="93"/>
      <c r="K120" s="94"/>
    </row>
    <row r="121" spans="1:11" x14ac:dyDescent="0.25">
      <c r="A121" s="93"/>
      <c r="B121" s="93"/>
      <c r="C121" s="94"/>
      <c r="D121" s="94"/>
      <c r="E121" s="94"/>
      <c r="F121" s="94"/>
      <c r="G121" s="94"/>
      <c r="H121" s="93"/>
      <c r="I121" s="93"/>
      <c r="J121" s="93"/>
      <c r="K121" s="94"/>
    </row>
    <row r="122" spans="1:11" x14ac:dyDescent="0.25">
      <c r="A122" s="93"/>
      <c r="B122" s="93"/>
      <c r="C122" s="94"/>
      <c r="D122" s="94"/>
      <c r="E122" s="94"/>
      <c r="F122" s="94"/>
      <c r="G122" s="94"/>
      <c r="H122" s="93"/>
      <c r="I122" s="93"/>
      <c r="J122" s="93"/>
      <c r="K122" s="94"/>
    </row>
    <row r="123" spans="1:11" x14ac:dyDescent="0.25">
      <c r="A123" s="93"/>
      <c r="B123" s="93"/>
      <c r="C123" s="94"/>
      <c r="D123" s="94"/>
      <c r="E123" s="94"/>
      <c r="F123" s="94"/>
      <c r="G123" s="94"/>
      <c r="H123" s="93"/>
      <c r="I123" s="93"/>
      <c r="J123" s="93"/>
      <c r="K123" s="94"/>
    </row>
    <row r="124" spans="1:11" x14ac:dyDescent="0.25">
      <c r="A124" s="93"/>
      <c r="B124" s="93"/>
      <c r="C124" s="94"/>
      <c r="D124" s="94"/>
      <c r="E124" s="94"/>
      <c r="F124" s="94"/>
      <c r="G124" s="94"/>
      <c r="H124" s="93"/>
      <c r="I124" s="93"/>
      <c r="J124" s="93"/>
      <c r="K124" s="94"/>
    </row>
    <row r="125" spans="1:11" x14ac:dyDescent="0.25">
      <c r="A125" s="93"/>
      <c r="B125" s="93"/>
      <c r="C125" s="94"/>
      <c r="D125" s="94"/>
      <c r="E125" s="94"/>
      <c r="F125" s="94"/>
      <c r="G125" s="94"/>
      <c r="H125" s="93"/>
      <c r="I125" s="93"/>
      <c r="J125" s="93"/>
      <c r="K125" s="94"/>
    </row>
    <row r="126" spans="1:11" hidden="1" x14ac:dyDescent="0.25">
      <c r="A126" s="93"/>
      <c r="B126" s="93"/>
      <c r="C126" s="94"/>
      <c r="D126" s="94"/>
      <c r="E126" s="94"/>
      <c r="F126" s="94"/>
      <c r="G126" s="94"/>
      <c r="H126" s="93"/>
      <c r="I126" s="93"/>
      <c r="J126" s="93"/>
      <c r="K126" s="94"/>
    </row>
    <row r="127" spans="1:11" hidden="1" x14ac:dyDescent="0.25">
      <c r="A127" s="93"/>
      <c r="B127" s="93"/>
      <c r="C127" s="94"/>
      <c r="D127" s="94"/>
      <c r="E127" s="94"/>
      <c r="F127" s="94"/>
      <c r="G127" s="94"/>
      <c r="H127" s="93"/>
      <c r="I127" s="93"/>
      <c r="J127" s="93"/>
      <c r="K127" s="94"/>
    </row>
    <row r="128" spans="1:11" hidden="1" x14ac:dyDescent="0.25">
      <c r="A128" s="93"/>
      <c r="B128" s="93"/>
      <c r="C128" s="94"/>
      <c r="D128" s="94"/>
      <c r="E128" s="94"/>
      <c r="F128" s="94"/>
      <c r="G128" s="94"/>
      <c r="H128" s="93"/>
      <c r="I128" s="93"/>
      <c r="J128" s="93"/>
      <c r="K128" s="94"/>
    </row>
    <row r="129" spans="1:11" hidden="1" x14ac:dyDescent="0.25">
      <c r="A129" s="93"/>
      <c r="B129" s="93"/>
      <c r="C129" s="94"/>
      <c r="D129" s="94"/>
      <c r="E129" s="94"/>
      <c r="F129" s="94"/>
      <c r="G129" s="94"/>
      <c r="H129" s="93"/>
      <c r="I129" s="93"/>
      <c r="J129" s="93"/>
      <c r="K129" s="94"/>
    </row>
    <row r="130" spans="1:11" hidden="1" x14ac:dyDescent="0.25">
      <c r="A130" s="93"/>
      <c r="B130" s="93"/>
      <c r="C130" s="94"/>
      <c r="D130" s="94"/>
      <c r="E130" s="94"/>
      <c r="F130" s="94"/>
      <c r="G130" s="94"/>
      <c r="H130" s="93"/>
      <c r="I130" s="93"/>
      <c r="J130" s="93"/>
      <c r="K130" s="94"/>
    </row>
    <row r="131" spans="1:11" hidden="1" x14ac:dyDescent="0.25">
      <c r="A131" s="93"/>
      <c r="B131" s="93"/>
      <c r="C131" s="94"/>
      <c r="D131" s="94"/>
      <c r="E131" s="94"/>
      <c r="F131" s="94"/>
      <c r="G131" s="94"/>
      <c r="H131" s="93"/>
      <c r="I131" s="93"/>
      <c r="J131" s="93"/>
      <c r="K131" s="94"/>
    </row>
    <row r="132" spans="1:11" hidden="1" x14ac:dyDescent="0.25">
      <c r="A132" s="93"/>
      <c r="B132" s="93"/>
      <c r="C132" s="94"/>
      <c r="D132" s="94"/>
      <c r="E132" s="94"/>
      <c r="F132" s="94"/>
      <c r="G132" s="94"/>
      <c r="H132" s="93"/>
      <c r="I132" s="93"/>
      <c r="J132" s="93"/>
      <c r="K132" s="94"/>
    </row>
    <row r="133" spans="1:11" hidden="1" x14ac:dyDescent="0.25">
      <c r="A133" s="93"/>
      <c r="B133" s="93"/>
      <c r="C133" s="94"/>
      <c r="D133" s="94"/>
      <c r="E133" s="94"/>
      <c r="F133" s="94"/>
      <c r="G133" s="94"/>
      <c r="H133" s="93"/>
      <c r="I133" s="93"/>
      <c r="J133" s="93"/>
      <c r="K133" s="94"/>
    </row>
    <row r="134" spans="1:11" hidden="1" x14ac:dyDescent="0.25">
      <c r="A134" s="93"/>
      <c r="B134" s="93"/>
      <c r="C134" s="94"/>
      <c r="D134" s="94"/>
      <c r="E134" s="94"/>
      <c r="F134" s="94"/>
      <c r="G134" s="94"/>
      <c r="H134" s="93"/>
      <c r="I134" s="93"/>
      <c r="J134" s="93"/>
      <c r="K134" s="94"/>
    </row>
    <row r="135" spans="1:11" hidden="1" x14ac:dyDescent="0.25">
      <c r="A135" s="93"/>
      <c r="B135" s="93"/>
      <c r="C135" s="94"/>
      <c r="D135" s="94"/>
      <c r="E135" s="94"/>
      <c r="F135" s="94"/>
      <c r="G135" s="94"/>
      <c r="H135" s="93"/>
      <c r="I135" s="93"/>
      <c r="J135" s="93"/>
      <c r="K135" s="94"/>
    </row>
    <row r="136" spans="1:11" hidden="1" x14ac:dyDescent="0.25">
      <c r="A136" s="93"/>
      <c r="B136" s="93"/>
      <c r="C136" s="94"/>
      <c r="D136" s="94"/>
      <c r="E136" s="94"/>
      <c r="F136" s="94"/>
      <c r="G136" s="94"/>
      <c r="H136" s="93"/>
      <c r="I136" s="93"/>
      <c r="J136" s="93"/>
      <c r="K136" s="94"/>
    </row>
    <row r="137" spans="1:11" hidden="1" x14ac:dyDescent="0.25">
      <c r="A137" s="93"/>
      <c r="B137" s="93"/>
      <c r="C137" s="94"/>
      <c r="D137" s="94"/>
      <c r="E137" s="94"/>
      <c r="F137" s="94"/>
      <c r="G137" s="94"/>
      <c r="H137" s="93"/>
      <c r="I137" s="93"/>
      <c r="J137" s="93"/>
      <c r="K137" s="94"/>
    </row>
    <row r="138" spans="1:11" hidden="1" x14ac:dyDescent="0.25">
      <c r="A138" s="93"/>
      <c r="B138" s="93"/>
      <c r="C138" s="94"/>
      <c r="D138" s="94"/>
      <c r="E138" s="94"/>
      <c r="F138" s="94"/>
      <c r="G138" s="94"/>
      <c r="H138" s="93"/>
      <c r="I138" s="93"/>
      <c r="J138" s="93"/>
      <c r="K138" s="94"/>
    </row>
    <row r="139" spans="1:11" hidden="1" x14ac:dyDescent="0.25">
      <c r="A139" s="93"/>
      <c r="B139" s="93"/>
      <c r="C139" s="94"/>
      <c r="D139" s="94"/>
      <c r="E139" s="94"/>
      <c r="F139" s="94"/>
      <c r="G139" s="94"/>
      <c r="H139" s="93"/>
      <c r="I139" s="93"/>
      <c r="J139" s="93"/>
      <c r="K139" s="94"/>
    </row>
    <row r="140" spans="1:11" hidden="1" x14ac:dyDescent="0.25">
      <c r="A140" s="93"/>
      <c r="B140" s="93"/>
      <c r="C140" s="94"/>
      <c r="D140" s="94"/>
      <c r="E140" s="94"/>
      <c r="F140" s="94"/>
      <c r="G140" s="94"/>
      <c r="H140" s="93"/>
      <c r="I140" s="93"/>
      <c r="J140" s="93"/>
      <c r="K140" s="94"/>
    </row>
    <row r="141" spans="1:11" hidden="1" x14ac:dyDescent="0.25">
      <c r="A141" s="93"/>
      <c r="B141" s="93"/>
      <c r="C141" s="94"/>
      <c r="D141" s="94"/>
      <c r="E141" s="94"/>
      <c r="F141" s="94"/>
      <c r="G141" s="94"/>
      <c r="H141" s="93"/>
      <c r="I141" s="93"/>
      <c r="J141" s="93"/>
      <c r="K141" s="94"/>
    </row>
    <row r="142" spans="1:11" hidden="1" x14ac:dyDescent="0.25">
      <c r="A142" s="93"/>
      <c r="B142" s="93"/>
      <c r="C142" s="94"/>
      <c r="D142" s="94"/>
      <c r="E142" s="94"/>
      <c r="F142" s="94"/>
      <c r="G142" s="94"/>
      <c r="H142" s="93"/>
      <c r="I142" s="93"/>
      <c r="J142" s="93"/>
      <c r="K142" s="94"/>
    </row>
    <row r="143" spans="1:11" hidden="1" x14ac:dyDescent="0.25">
      <c r="A143" s="93"/>
      <c r="B143" s="93"/>
      <c r="C143" s="94"/>
      <c r="D143" s="94"/>
      <c r="E143" s="94"/>
      <c r="F143" s="94"/>
      <c r="G143" s="94"/>
      <c r="H143" s="93"/>
      <c r="I143" s="93"/>
      <c r="J143" s="93"/>
      <c r="K143" s="94"/>
    </row>
    <row r="144" spans="1:11" hidden="1" x14ac:dyDescent="0.25">
      <c r="A144" s="93"/>
      <c r="B144" s="93"/>
      <c r="C144" s="94"/>
      <c r="D144" s="94"/>
      <c r="E144" s="94"/>
      <c r="F144" s="94"/>
      <c r="G144" s="94"/>
      <c r="H144" s="93"/>
      <c r="I144" s="93"/>
      <c r="J144" s="93"/>
      <c r="K144" s="94"/>
    </row>
    <row r="145" spans="1:11" hidden="1" x14ac:dyDescent="0.25">
      <c r="A145" s="93"/>
      <c r="B145" s="93"/>
      <c r="C145" s="94"/>
      <c r="D145" s="94"/>
      <c r="E145" s="94"/>
      <c r="F145" s="94"/>
      <c r="G145" s="94"/>
      <c r="H145" s="93"/>
      <c r="I145" s="93"/>
      <c r="J145" s="93"/>
      <c r="K145" s="94"/>
    </row>
    <row r="146" spans="1:11" hidden="1" x14ac:dyDescent="0.25">
      <c r="A146" s="93"/>
      <c r="B146" s="93"/>
      <c r="C146" s="94"/>
      <c r="D146" s="94"/>
      <c r="E146" s="94"/>
      <c r="F146" s="94"/>
      <c r="G146" s="94"/>
      <c r="H146" s="93"/>
      <c r="I146" s="93"/>
      <c r="J146" s="93"/>
      <c r="K146" s="94"/>
    </row>
    <row r="147" spans="1:11" hidden="1" x14ac:dyDescent="0.25">
      <c r="A147" s="93"/>
      <c r="B147" s="93"/>
      <c r="C147" s="94"/>
      <c r="D147" s="94"/>
      <c r="E147" s="94"/>
      <c r="F147" s="94"/>
      <c r="G147" s="94"/>
      <c r="H147" s="93"/>
      <c r="I147" s="93"/>
      <c r="J147" s="93"/>
      <c r="K147" s="94"/>
    </row>
    <row r="148" spans="1:11" hidden="1" x14ac:dyDescent="0.25">
      <c r="A148" s="93"/>
      <c r="B148" s="93"/>
      <c r="C148" s="94"/>
      <c r="D148" s="94"/>
      <c r="E148" s="94"/>
      <c r="F148" s="94"/>
      <c r="G148" s="94"/>
      <c r="H148" s="93"/>
      <c r="I148" s="93"/>
      <c r="J148" s="93"/>
      <c r="K148" s="94"/>
    </row>
    <row r="149" spans="1:11" hidden="1" x14ac:dyDescent="0.25">
      <c r="A149" s="93"/>
      <c r="B149" s="93"/>
      <c r="C149" s="94"/>
      <c r="D149" s="94"/>
      <c r="E149" s="94"/>
      <c r="F149" s="94"/>
      <c r="G149" s="94"/>
      <c r="H149" s="93"/>
      <c r="I149" s="93"/>
      <c r="J149" s="93"/>
      <c r="K149" s="94"/>
    </row>
    <row r="150" spans="1:11" hidden="1" x14ac:dyDescent="0.25">
      <c r="A150" s="93"/>
      <c r="B150" s="93"/>
      <c r="C150" s="94"/>
      <c r="D150" s="94"/>
      <c r="E150" s="94"/>
      <c r="F150" s="94"/>
      <c r="G150" s="94"/>
      <c r="H150" s="93"/>
      <c r="I150" s="93"/>
      <c r="J150" s="93"/>
      <c r="K150" s="94"/>
    </row>
    <row r="151" spans="1:11" hidden="1" x14ac:dyDescent="0.25">
      <c r="A151" s="93"/>
      <c r="B151" s="93"/>
      <c r="C151" s="94"/>
      <c r="D151" s="94"/>
      <c r="E151" s="94"/>
      <c r="F151" s="94"/>
      <c r="G151" s="94"/>
      <c r="H151" s="93"/>
      <c r="I151" s="93"/>
      <c r="J151" s="93"/>
      <c r="K151" s="94"/>
    </row>
    <row r="152" spans="1:11" hidden="1" x14ac:dyDescent="0.25">
      <c r="A152" s="93"/>
      <c r="B152" s="93"/>
      <c r="C152" s="94"/>
      <c r="D152" s="94"/>
      <c r="E152" s="94"/>
      <c r="F152" s="94"/>
      <c r="G152" s="94"/>
      <c r="H152" s="93"/>
      <c r="I152" s="93"/>
      <c r="J152" s="93"/>
      <c r="K152" s="94"/>
    </row>
    <row r="153" spans="1:11" hidden="1" x14ac:dyDescent="0.25">
      <c r="A153" s="93"/>
      <c r="B153" s="93"/>
      <c r="C153" s="94"/>
      <c r="D153" s="94"/>
      <c r="E153" s="94"/>
      <c r="F153" s="94"/>
      <c r="G153" s="94"/>
      <c r="H153" s="93"/>
      <c r="I153" s="93"/>
      <c r="J153" s="93"/>
      <c r="K153" s="94"/>
    </row>
    <row r="154" spans="1:11" hidden="1" x14ac:dyDescent="0.25">
      <c r="A154" s="93"/>
      <c r="B154" s="93"/>
      <c r="C154" s="94"/>
      <c r="D154" s="94"/>
      <c r="E154" s="94"/>
      <c r="F154" s="94"/>
      <c r="G154" s="94"/>
      <c r="H154" s="93"/>
      <c r="I154" s="93"/>
      <c r="J154" s="93"/>
      <c r="K154" s="94"/>
    </row>
    <row r="155" spans="1:11" hidden="1" x14ac:dyDescent="0.25">
      <c r="A155" s="93"/>
      <c r="B155" s="93"/>
      <c r="C155" s="94"/>
      <c r="D155" s="94"/>
      <c r="E155" s="94"/>
      <c r="F155" s="94"/>
      <c r="G155" s="94"/>
      <c r="H155" s="93"/>
      <c r="I155" s="93"/>
      <c r="J155" s="93"/>
      <c r="K155" s="94"/>
    </row>
    <row r="156" spans="1:11" hidden="1" x14ac:dyDescent="0.25">
      <c r="A156" s="93"/>
      <c r="B156" s="93"/>
      <c r="C156" s="94"/>
      <c r="D156" s="94"/>
      <c r="E156" s="94"/>
      <c r="F156" s="94"/>
      <c r="G156" s="94"/>
      <c r="H156" s="93"/>
      <c r="I156" s="93"/>
      <c r="J156" s="93"/>
      <c r="K156" s="94"/>
    </row>
    <row r="157" spans="1:11" hidden="1" x14ac:dyDescent="0.25">
      <c r="A157" s="93"/>
      <c r="B157" s="93"/>
      <c r="C157" s="94"/>
      <c r="D157" s="94"/>
      <c r="E157" s="94"/>
      <c r="F157" s="94"/>
      <c r="G157" s="94"/>
      <c r="H157" s="93"/>
      <c r="I157" s="93"/>
      <c r="J157" s="93"/>
      <c r="K157" s="94"/>
    </row>
    <row r="158" spans="1:11" hidden="1" x14ac:dyDescent="0.25">
      <c r="A158" s="93"/>
      <c r="B158" s="93"/>
      <c r="C158" s="94"/>
      <c r="D158" s="94"/>
      <c r="E158" s="94"/>
      <c r="F158" s="94"/>
      <c r="G158" s="94"/>
      <c r="H158" s="93"/>
      <c r="I158" s="93"/>
      <c r="J158" s="93"/>
      <c r="K158" s="94"/>
    </row>
    <row r="159" spans="1:11" hidden="1" x14ac:dyDescent="0.25">
      <c r="A159" s="93"/>
      <c r="B159" s="93"/>
      <c r="C159" s="94"/>
      <c r="D159" s="94"/>
      <c r="E159" s="94"/>
      <c r="F159" s="94"/>
      <c r="G159" s="94"/>
      <c r="H159" s="93"/>
      <c r="I159" s="93"/>
      <c r="J159" s="93"/>
      <c r="K159" s="94"/>
    </row>
    <row r="160" spans="1:11" hidden="1" x14ac:dyDescent="0.25">
      <c r="A160" s="93"/>
      <c r="B160" s="93"/>
      <c r="C160" s="94"/>
      <c r="D160" s="94"/>
      <c r="E160" s="94"/>
      <c r="F160" s="94"/>
      <c r="G160" s="94"/>
      <c r="H160" s="93"/>
      <c r="I160" s="93"/>
      <c r="J160" s="93"/>
      <c r="K160" s="94"/>
    </row>
    <row r="161" spans="1:11" hidden="1" x14ac:dyDescent="0.25">
      <c r="A161" s="93"/>
      <c r="B161" s="93"/>
      <c r="C161" s="94"/>
      <c r="D161" s="94"/>
      <c r="E161" s="94"/>
      <c r="F161" s="94"/>
      <c r="G161" s="94"/>
      <c r="H161" s="93"/>
      <c r="I161" s="93"/>
      <c r="J161" s="93"/>
      <c r="K161" s="94"/>
    </row>
    <row r="162" spans="1:11" hidden="1" x14ac:dyDescent="0.25">
      <c r="A162" s="93"/>
      <c r="B162" s="93"/>
      <c r="C162" s="94"/>
      <c r="D162" s="94"/>
      <c r="E162" s="94"/>
      <c r="F162" s="94"/>
      <c r="G162" s="94"/>
      <c r="H162" s="93"/>
      <c r="I162" s="93"/>
      <c r="J162" s="93"/>
      <c r="K162" s="94"/>
    </row>
    <row r="163" spans="1:11" hidden="1" x14ac:dyDescent="0.25">
      <c r="A163" s="93"/>
      <c r="B163" s="93"/>
      <c r="C163" s="94"/>
      <c r="D163" s="94"/>
      <c r="E163" s="94"/>
      <c r="F163" s="94"/>
      <c r="G163" s="94"/>
      <c r="H163" s="93"/>
      <c r="I163" s="93"/>
      <c r="J163" s="93"/>
      <c r="K163" s="94"/>
    </row>
    <row r="164" spans="1:11" hidden="1" x14ac:dyDescent="0.25">
      <c r="A164" s="93"/>
      <c r="B164" s="93"/>
      <c r="C164" s="94"/>
      <c r="D164" s="94"/>
      <c r="E164" s="94"/>
      <c r="F164" s="94"/>
      <c r="G164" s="94"/>
      <c r="H164" s="93"/>
      <c r="I164" s="93"/>
      <c r="J164" s="93"/>
      <c r="K164" s="94"/>
    </row>
    <row r="165" spans="1:11" hidden="1" x14ac:dyDescent="0.25">
      <c r="A165" s="93"/>
      <c r="B165" s="93"/>
      <c r="C165" s="94"/>
      <c r="D165" s="94"/>
      <c r="E165" s="94"/>
      <c r="F165" s="94"/>
      <c r="G165" s="94"/>
      <c r="H165" s="93"/>
      <c r="I165" s="93"/>
      <c r="J165" s="93"/>
      <c r="K165" s="94"/>
    </row>
    <row r="166" spans="1:11" hidden="1" x14ac:dyDescent="0.25">
      <c r="A166" s="93"/>
      <c r="B166" s="93"/>
      <c r="C166" s="94"/>
      <c r="D166" s="94"/>
      <c r="E166" s="94"/>
      <c r="F166" s="94"/>
      <c r="G166" s="94"/>
      <c r="H166" s="93"/>
      <c r="I166" s="93"/>
      <c r="J166" s="93"/>
      <c r="K166" s="94"/>
    </row>
    <row r="167" spans="1:11" hidden="1" x14ac:dyDescent="0.25">
      <c r="A167" s="93"/>
      <c r="B167" s="93"/>
      <c r="C167" s="94"/>
      <c r="D167" s="94"/>
      <c r="E167" s="94"/>
      <c r="F167" s="94"/>
      <c r="G167" s="94"/>
      <c r="H167" s="93"/>
      <c r="I167" s="93"/>
      <c r="J167" s="93"/>
      <c r="K167" s="94"/>
    </row>
    <row r="168" spans="1:11" hidden="1" x14ac:dyDescent="0.25">
      <c r="A168" s="93"/>
      <c r="B168" s="93"/>
      <c r="C168" s="94"/>
      <c r="D168" s="94"/>
      <c r="E168" s="94"/>
      <c r="F168" s="94"/>
      <c r="G168" s="94"/>
      <c r="H168" s="93"/>
      <c r="I168" s="93"/>
      <c r="J168" s="93"/>
      <c r="K168" s="94"/>
    </row>
    <row r="169" spans="1:11" hidden="1" x14ac:dyDescent="0.25">
      <c r="A169" s="93"/>
      <c r="B169" s="93"/>
      <c r="C169" s="94"/>
      <c r="D169" s="94"/>
      <c r="E169" s="94"/>
      <c r="F169" s="94"/>
      <c r="G169" s="94"/>
      <c r="H169" s="93"/>
      <c r="I169" s="93"/>
      <c r="J169" s="93"/>
      <c r="K169" s="94"/>
    </row>
    <row r="170" spans="1:11" hidden="1" x14ac:dyDescent="0.25">
      <c r="A170" s="93"/>
      <c r="B170" s="93"/>
      <c r="C170" s="94"/>
      <c r="D170" s="94"/>
      <c r="E170" s="94"/>
      <c r="F170" s="94"/>
      <c r="G170" s="94"/>
      <c r="H170" s="93"/>
      <c r="I170" s="93"/>
      <c r="J170" s="93"/>
      <c r="K170" s="94"/>
    </row>
    <row r="171" spans="1:11" hidden="1" x14ac:dyDescent="0.25">
      <c r="A171" s="93"/>
      <c r="B171" s="93"/>
      <c r="C171" s="94"/>
      <c r="D171" s="94"/>
      <c r="E171" s="94"/>
      <c r="F171" s="94"/>
      <c r="G171" s="94"/>
      <c r="H171" s="93"/>
      <c r="I171" s="93"/>
      <c r="J171" s="93"/>
      <c r="K171" s="94"/>
    </row>
    <row r="172" spans="1:11" hidden="1" x14ac:dyDescent="0.25">
      <c r="A172" s="93"/>
      <c r="B172" s="93"/>
      <c r="C172" s="94"/>
      <c r="D172" s="94"/>
      <c r="E172" s="94"/>
      <c r="F172" s="94"/>
      <c r="G172" s="94"/>
      <c r="H172" s="93"/>
      <c r="I172" s="93"/>
      <c r="J172" s="93"/>
      <c r="K172" s="94"/>
    </row>
    <row r="173" spans="1:11" hidden="1" x14ac:dyDescent="0.25">
      <c r="A173" s="93"/>
      <c r="B173" s="93"/>
      <c r="C173" s="94"/>
      <c r="D173" s="94"/>
      <c r="E173" s="94"/>
      <c r="F173" s="94"/>
      <c r="G173" s="94"/>
      <c r="H173" s="93"/>
      <c r="I173" s="93"/>
      <c r="J173" s="93"/>
      <c r="K173" s="94"/>
    </row>
    <row r="174" spans="1:11" hidden="1" x14ac:dyDescent="0.25">
      <c r="A174" s="93"/>
      <c r="B174" s="93"/>
      <c r="C174" s="94"/>
      <c r="D174" s="94"/>
      <c r="E174" s="94"/>
      <c r="F174" s="94"/>
      <c r="G174" s="94"/>
      <c r="H174" s="93"/>
      <c r="I174" s="93"/>
      <c r="J174" s="93"/>
      <c r="K174" s="94"/>
    </row>
    <row r="175" spans="1:11" hidden="1" x14ac:dyDescent="0.25">
      <c r="A175" s="93"/>
      <c r="B175" s="93"/>
      <c r="C175" s="94"/>
      <c r="D175" s="94"/>
      <c r="E175" s="94"/>
      <c r="F175" s="94"/>
      <c r="G175" s="94"/>
      <c r="H175" s="93"/>
      <c r="I175" s="93"/>
      <c r="J175" s="93"/>
      <c r="K175" s="94"/>
    </row>
    <row r="176" spans="1:11" hidden="1" x14ac:dyDescent="0.25">
      <c r="A176" s="93"/>
      <c r="B176" s="93"/>
      <c r="C176" s="94"/>
      <c r="D176" s="94"/>
      <c r="E176" s="94"/>
      <c r="F176" s="94"/>
      <c r="G176" s="94"/>
      <c r="H176" s="93"/>
      <c r="I176" s="93"/>
      <c r="J176" s="93"/>
      <c r="K176" s="94"/>
    </row>
    <row r="177" spans="1:11" hidden="1" x14ac:dyDescent="0.25">
      <c r="A177" s="93"/>
      <c r="B177" s="93"/>
      <c r="C177" s="94"/>
      <c r="D177" s="94"/>
      <c r="E177" s="94"/>
      <c r="F177" s="94"/>
      <c r="G177" s="94"/>
      <c r="H177" s="93"/>
      <c r="I177" s="93"/>
      <c r="J177" s="93"/>
      <c r="K177" s="94"/>
    </row>
    <row r="178" spans="1:11" hidden="1" x14ac:dyDescent="0.25">
      <c r="A178" s="93"/>
      <c r="B178" s="93"/>
      <c r="C178" s="94"/>
      <c r="D178" s="94"/>
      <c r="E178" s="94"/>
      <c r="F178" s="94"/>
      <c r="G178" s="94"/>
      <c r="H178" s="93"/>
      <c r="I178" s="93"/>
      <c r="J178" s="93"/>
      <c r="K178" s="94"/>
    </row>
    <row r="179" spans="1:11" hidden="1" x14ac:dyDescent="0.25">
      <c r="A179" s="93"/>
      <c r="B179" s="93"/>
      <c r="C179" s="94"/>
      <c r="D179" s="94"/>
      <c r="E179" s="94"/>
      <c r="F179" s="94"/>
      <c r="G179" s="94"/>
      <c r="H179" s="93"/>
      <c r="I179" s="93"/>
      <c r="J179" s="93"/>
      <c r="K179" s="94"/>
    </row>
    <row r="180" spans="1:11" hidden="1" x14ac:dyDescent="0.25">
      <c r="A180" s="93"/>
      <c r="B180" s="93"/>
      <c r="C180" s="94"/>
      <c r="D180" s="94"/>
      <c r="E180" s="94"/>
      <c r="F180" s="94"/>
      <c r="G180" s="94"/>
      <c r="H180" s="93"/>
      <c r="I180" s="93"/>
      <c r="J180" s="93"/>
      <c r="K180" s="94"/>
    </row>
    <row r="181" spans="1:11" hidden="1" x14ac:dyDescent="0.25">
      <c r="A181" s="93"/>
      <c r="B181" s="93"/>
      <c r="C181" s="94"/>
      <c r="D181" s="94"/>
      <c r="E181" s="94"/>
      <c r="F181" s="94"/>
      <c r="G181" s="94"/>
      <c r="H181" s="93"/>
      <c r="I181" s="93"/>
      <c r="J181" s="93"/>
      <c r="K181" s="94"/>
    </row>
    <row r="182" spans="1:11" hidden="1" x14ac:dyDescent="0.25">
      <c r="A182" s="93"/>
      <c r="B182" s="93"/>
      <c r="C182" s="94"/>
      <c r="D182" s="94"/>
      <c r="E182" s="94"/>
      <c r="F182" s="94"/>
      <c r="G182" s="94"/>
      <c r="H182" s="93"/>
      <c r="I182" s="93"/>
      <c r="J182" s="93"/>
      <c r="K182" s="94"/>
    </row>
    <row r="183" spans="1:11" hidden="1" x14ac:dyDescent="0.25">
      <c r="A183" s="93"/>
      <c r="B183" s="93"/>
      <c r="C183" s="94"/>
      <c r="D183" s="94"/>
      <c r="E183" s="94"/>
      <c r="F183" s="94"/>
      <c r="G183" s="94"/>
      <c r="H183" s="93"/>
      <c r="I183" s="93"/>
      <c r="J183" s="93"/>
      <c r="K183" s="94"/>
    </row>
    <row r="184" spans="1:11" hidden="1" x14ac:dyDescent="0.25">
      <c r="A184" s="93"/>
      <c r="B184" s="93"/>
      <c r="C184" s="94"/>
      <c r="D184" s="94"/>
      <c r="E184" s="94"/>
      <c r="F184" s="94"/>
      <c r="G184" s="94"/>
      <c r="H184" s="93"/>
      <c r="I184" s="93"/>
      <c r="J184" s="93"/>
      <c r="K184" s="94"/>
    </row>
    <row r="185" spans="1:11" hidden="1" x14ac:dyDescent="0.25">
      <c r="A185" s="93"/>
      <c r="B185" s="93"/>
      <c r="C185" s="94"/>
      <c r="D185" s="94"/>
      <c r="E185" s="94"/>
      <c r="F185" s="94"/>
      <c r="G185" s="94"/>
      <c r="H185" s="93"/>
      <c r="I185" s="93"/>
      <c r="J185" s="93"/>
      <c r="K185" s="94"/>
    </row>
    <row r="186" spans="1:11" hidden="1" x14ac:dyDescent="0.25">
      <c r="A186" s="93"/>
      <c r="B186" s="93"/>
      <c r="C186" s="94"/>
      <c r="D186" s="94"/>
      <c r="E186" s="94"/>
      <c r="F186" s="94"/>
      <c r="G186" s="94"/>
      <c r="H186" s="93"/>
      <c r="I186" s="93"/>
      <c r="J186" s="93"/>
      <c r="K186" s="94"/>
    </row>
    <row r="187" spans="1:11" hidden="1" x14ac:dyDescent="0.25">
      <c r="A187" s="93"/>
      <c r="B187" s="93"/>
      <c r="C187" s="94"/>
      <c r="D187" s="94"/>
      <c r="E187" s="94"/>
      <c r="F187" s="94"/>
      <c r="G187" s="94"/>
      <c r="H187" s="93"/>
      <c r="I187" s="93"/>
      <c r="J187" s="93"/>
      <c r="K187" s="94"/>
    </row>
    <row r="188" spans="1:11" hidden="1" x14ac:dyDescent="0.25">
      <c r="A188" s="93"/>
      <c r="B188" s="93"/>
      <c r="C188" s="94"/>
      <c r="D188" s="94"/>
      <c r="E188" s="94"/>
      <c r="F188" s="94"/>
      <c r="G188" s="94"/>
      <c r="H188" s="93"/>
      <c r="I188" s="93"/>
      <c r="J188" s="93"/>
      <c r="K188" s="94"/>
    </row>
    <row r="189" spans="1:11" hidden="1" x14ac:dyDescent="0.25">
      <c r="A189" s="93"/>
      <c r="B189" s="93"/>
      <c r="C189" s="94"/>
      <c r="D189" s="94"/>
      <c r="E189" s="94"/>
      <c r="F189" s="94"/>
      <c r="G189" s="94"/>
      <c r="H189" s="93"/>
      <c r="I189" s="93"/>
      <c r="J189" s="93"/>
      <c r="K189" s="94"/>
    </row>
    <row r="190" spans="1:11" hidden="1" x14ac:dyDescent="0.25">
      <c r="A190" s="93"/>
      <c r="B190" s="93"/>
      <c r="C190" s="94"/>
      <c r="D190" s="94"/>
      <c r="E190" s="94"/>
      <c r="F190" s="94"/>
      <c r="G190" s="94"/>
      <c r="H190" s="93"/>
      <c r="I190" s="93"/>
      <c r="J190" s="93"/>
      <c r="K190" s="94"/>
    </row>
    <row r="191" spans="1:11" hidden="1" x14ac:dyDescent="0.25">
      <c r="A191" s="93"/>
      <c r="B191" s="93"/>
      <c r="C191" s="94"/>
      <c r="D191" s="94"/>
      <c r="E191" s="94"/>
      <c r="F191" s="94"/>
      <c r="G191" s="94"/>
      <c r="H191" s="93"/>
      <c r="I191" s="93"/>
      <c r="J191" s="93"/>
      <c r="K191" s="94"/>
    </row>
    <row r="192" spans="1:11" hidden="1" x14ac:dyDescent="0.25">
      <c r="A192" s="93"/>
      <c r="B192" s="93"/>
      <c r="C192" s="94"/>
      <c r="D192" s="94"/>
      <c r="E192" s="94"/>
      <c r="F192" s="94"/>
      <c r="G192" s="94"/>
      <c r="H192" s="93"/>
      <c r="I192" s="93"/>
      <c r="J192" s="93"/>
      <c r="K192" s="94"/>
    </row>
    <row r="193" spans="1:11" hidden="1" x14ac:dyDescent="0.25">
      <c r="A193" s="93"/>
      <c r="B193" s="93"/>
      <c r="C193" s="94"/>
      <c r="D193" s="94"/>
      <c r="E193" s="94"/>
      <c r="F193" s="94"/>
      <c r="G193" s="94"/>
      <c r="H193" s="93"/>
      <c r="I193" s="93"/>
      <c r="J193" s="93"/>
      <c r="K193" s="94"/>
    </row>
    <row r="194" spans="1:11" hidden="1" x14ac:dyDescent="0.25">
      <c r="A194" s="93"/>
      <c r="B194" s="93"/>
      <c r="C194" s="94"/>
      <c r="D194" s="94"/>
      <c r="E194" s="94"/>
      <c r="F194" s="94"/>
      <c r="G194" s="94"/>
      <c r="H194" s="93"/>
      <c r="I194" s="93"/>
      <c r="J194" s="93"/>
      <c r="K194" s="94"/>
    </row>
    <row r="195" spans="1:11" hidden="1" x14ac:dyDescent="0.25">
      <c r="A195" s="93"/>
      <c r="B195" s="93"/>
      <c r="C195" s="94"/>
      <c r="D195" s="94"/>
      <c r="E195" s="94"/>
      <c r="F195" s="94"/>
      <c r="G195" s="94"/>
      <c r="H195" s="93"/>
      <c r="I195" s="93"/>
      <c r="J195" s="93"/>
      <c r="K195" s="94"/>
    </row>
    <row r="196" spans="1:11" hidden="1" x14ac:dyDescent="0.25">
      <c r="A196" s="93"/>
      <c r="B196" s="93"/>
      <c r="C196" s="94"/>
      <c r="D196" s="94"/>
      <c r="E196" s="94"/>
      <c r="F196" s="94"/>
      <c r="G196" s="94"/>
      <c r="H196" s="93"/>
      <c r="I196" s="93"/>
      <c r="J196" s="93"/>
      <c r="K196" s="94"/>
    </row>
    <row r="197" spans="1:11" hidden="1" x14ac:dyDescent="0.25">
      <c r="A197" s="93"/>
      <c r="B197" s="93"/>
      <c r="C197" s="94"/>
      <c r="D197" s="94"/>
      <c r="E197" s="94"/>
      <c r="F197" s="94"/>
      <c r="G197" s="94"/>
      <c r="H197" s="93"/>
      <c r="I197" s="93"/>
      <c r="J197" s="93"/>
      <c r="K197" s="94"/>
    </row>
    <row r="198" spans="1:11" hidden="1" x14ac:dyDescent="0.25">
      <c r="A198" s="93"/>
      <c r="B198" s="93"/>
      <c r="C198" s="94"/>
      <c r="D198" s="94"/>
      <c r="E198" s="94"/>
      <c r="F198" s="94"/>
      <c r="G198" s="94"/>
      <c r="H198" s="93"/>
      <c r="I198" s="93"/>
      <c r="J198" s="93"/>
      <c r="K198" s="94"/>
    </row>
    <row r="199" spans="1:11" hidden="1" x14ac:dyDescent="0.25">
      <c r="A199" s="93"/>
      <c r="B199" s="93"/>
      <c r="C199" s="94"/>
      <c r="D199" s="94"/>
      <c r="E199" s="94"/>
      <c r="F199" s="94"/>
      <c r="G199" s="94"/>
      <c r="H199" s="93"/>
      <c r="I199" s="93"/>
      <c r="J199" s="93"/>
      <c r="K199" s="94"/>
    </row>
    <row r="200" spans="1:11" hidden="1" x14ac:dyDescent="0.25">
      <c r="A200" s="93"/>
      <c r="B200" s="93"/>
      <c r="C200" s="94"/>
      <c r="D200" s="94"/>
      <c r="E200" s="94"/>
      <c r="F200" s="94"/>
      <c r="G200" s="94"/>
      <c r="H200" s="93"/>
      <c r="I200" s="93"/>
      <c r="J200" s="93"/>
      <c r="K200" s="94"/>
    </row>
    <row r="201" spans="1:11" hidden="1" x14ac:dyDescent="0.25">
      <c r="A201" s="93"/>
      <c r="B201" s="93"/>
      <c r="C201" s="94"/>
      <c r="D201" s="94"/>
      <c r="E201" s="94"/>
      <c r="F201" s="94"/>
      <c r="G201" s="94"/>
      <c r="H201" s="93"/>
      <c r="I201" s="93"/>
      <c r="J201" s="93"/>
      <c r="K201" s="94"/>
    </row>
    <row r="202" spans="1:11" hidden="1" x14ac:dyDescent="0.25">
      <c r="A202" s="93"/>
      <c r="B202" s="93"/>
      <c r="C202" s="94"/>
      <c r="D202" s="94"/>
      <c r="E202" s="94"/>
      <c r="F202" s="94"/>
      <c r="G202" s="94"/>
      <c r="H202" s="93"/>
      <c r="I202" s="93"/>
      <c r="J202" s="93"/>
      <c r="K202" s="94"/>
    </row>
    <row r="203" spans="1:11" hidden="1" x14ac:dyDescent="0.25">
      <c r="A203" s="93"/>
      <c r="B203" s="93"/>
      <c r="C203" s="94"/>
      <c r="D203" s="94"/>
      <c r="E203" s="94"/>
      <c r="F203" s="94"/>
      <c r="G203" s="94"/>
      <c r="H203" s="93"/>
      <c r="I203" s="93"/>
      <c r="J203" s="93"/>
      <c r="K203" s="94"/>
    </row>
    <row r="204" spans="1:11" hidden="1" x14ac:dyDescent="0.25">
      <c r="A204" s="93"/>
      <c r="B204" s="93"/>
      <c r="C204" s="94"/>
      <c r="D204" s="94"/>
      <c r="E204" s="94"/>
      <c r="F204" s="94"/>
      <c r="G204" s="94"/>
      <c r="H204" s="93"/>
      <c r="I204" s="93"/>
      <c r="J204" s="93"/>
      <c r="K204" s="94"/>
    </row>
    <row r="205" spans="1:11" hidden="1" x14ac:dyDescent="0.25">
      <c r="A205" s="93"/>
      <c r="B205" s="93"/>
      <c r="C205" s="94"/>
      <c r="D205" s="94"/>
      <c r="E205" s="94"/>
      <c r="F205" s="94"/>
      <c r="G205" s="94"/>
      <c r="H205" s="93"/>
      <c r="I205" s="93"/>
      <c r="J205" s="93"/>
      <c r="K205" s="94"/>
    </row>
    <row r="206" spans="1:11" hidden="1" x14ac:dyDescent="0.25">
      <c r="A206" s="93"/>
      <c r="B206" s="93"/>
      <c r="C206" s="94"/>
      <c r="D206" s="94"/>
      <c r="E206" s="94"/>
      <c r="F206" s="94"/>
      <c r="G206" s="94"/>
      <c r="H206" s="93"/>
      <c r="I206" s="93"/>
      <c r="J206" s="93"/>
      <c r="K206" s="94"/>
    </row>
    <row r="207" spans="1:11" hidden="1" x14ac:dyDescent="0.25">
      <c r="A207" s="93"/>
      <c r="B207" s="93"/>
      <c r="C207" s="94"/>
      <c r="D207" s="94"/>
      <c r="E207" s="94"/>
      <c r="F207" s="94"/>
      <c r="G207" s="94"/>
      <c r="H207" s="93"/>
      <c r="I207" s="93"/>
      <c r="J207" s="93"/>
      <c r="K207" s="94"/>
    </row>
    <row r="208" spans="1:11" hidden="1" x14ac:dyDescent="0.25">
      <c r="A208" s="93"/>
      <c r="B208" s="93"/>
      <c r="C208" s="94"/>
      <c r="D208" s="94"/>
      <c r="E208" s="94"/>
      <c r="F208" s="94"/>
      <c r="G208" s="94"/>
      <c r="H208" s="93"/>
      <c r="I208" s="93"/>
      <c r="J208" s="93"/>
      <c r="K208" s="94"/>
    </row>
    <row r="209" spans="1:11" hidden="1" x14ac:dyDescent="0.25">
      <c r="A209" s="93"/>
      <c r="B209" s="93"/>
      <c r="C209" s="94"/>
      <c r="D209" s="94"/>
      <c r="E209" s="94"/>
      <c r="F209" s="94"/>
      <c r="G209" s="94"/>
      <c r="H209" s="93"/>
      <c r="I209" s="93"/>
      <c r="J209" s="93"/>
      <c r="K209" s="94"/>
    </row>
    <row r="210" spans="1:11" hidden="1" x14ac:dyDescent="0.25">
      <c r="A210" s="93"/>
      <c r="B210" s="93"/>
      <c r="C210" s="94"/>
      <c r="D210" s="94"/>
      <c r="E210" s="94"/>
      <c r="F210" s="94"/>
      <c r="G210" s="94"/>
      <c r="H210" s="93"/>
      <c r="I210" s="93"/>
      <c r="J210" s="93"/>
      <c r="K210" s="94"/>
    </row>
    <row r="211" spans="1:11" hidden="1" x14ac:dyDescent="0.25">
      <c r="A211" s="93"/>
      <c r="B211" s="93"/>
      <c r="C211" s="94"/>
      <c r="D211" s="94"/>
      <c r="E211" s="94"/>
      <c r="F211" s="94"/>
      <c r="G211" s="94"/>
      <c r="H211" s="93"/>
      <c r="I211" s="93"/>
      <c r="J211" s="93"/>
      <c r="K211" s="94"/>
    </row>
    <row r="212" spans="1:11" hidden="1" x14ac:dyDescent="0.25">
      <c r="A212" s="95"/>
      <c r="B212" s="95"/>
      <c r="C212" s="94"/>
      <c r="D212" s="94"/>
      <c r="E212" s="94"/>
      <c r="F212" s="94"/>
      <c r="G212" s="94"/>
      <c r="H212" s="93"/>
      <c r="I212" s="93"/>
      <c r="J212" s="93"/>
      <c r="K212" s="94"/>
    </row>
    <row r="213" spans="1:11" hidden="1" x14ac:dyDescent="0.25">
      <c r="A213" s="95"/>
      <c r="B213" s="95"/>
      <c r="C213" s="94"/>
      <c r="D213" s="94"/>
      <c r="E213" s="94"/>
      <c r="F213" s="94"/>
      <c r="G213" s="94"/>
      <c r="H213" s="95"/>
      <c r="I213" s="95"/>
      <c r="J213" s="95"/>
      <c r="K213" s="94"/>
    </row>
    <row r="214" spans="1:11" hidden="1" x14ac:dyDescent="0.25">
      <c r="A214" s="95"/>
      <c r="B214" s="95"/>
      <c r="C214" s="94"/>
      <c r="D214" s="94"/>
      <c r="E214" s="94"/>
      <c r="F214" s="94"/>
      <c r="G214" s="94"/>
      <c r="H214" s="95"/>
      <c r="I214" s="95"/>
      <c r="J214" s="95"/>
      <c r="K214" s="94"/>
    </row>
    <row r="215" spans="1:11" hidden="1" x14ac:dyDescent="0.25">
      <c r="A215" s="95"/>
      <c r="B215" s="95"/>
      <c r="C215" s="94"/>
      <c r="D215" s="94"/>
      <c r="E215" s="94"/>
      <c r="F215" s="94"/>
      <c r="G215" s="94"/>
      <c r="H215" s="95"/>
      <c r="I215" s="95"/>
      <c r="J215" s="95"/>
      <c r="K215" s="94"/>
    </row>
    <row r="216" spans="1:11" hidden="1" x14ac:dyDescent="0.25">
      <c r="A216" s="95"/>
      <c r="B216" s="95"/>
      <c r="C216" s="94"/>
      <c r="D216" s="94"/>
      <c r="E216" s="94"/>
      <c r="F216" s="94"/>
      <c r="G216" s="94"/>
      <c r="H216" s="95"/>
      <c r="I216" s="95"/>
      <c r="J216" s="95"/>
      <c r="K216" s="94"/>
    </row>
    <row r="217" spans="1:11" hidden="1" x14ac:dyDescent="0.25">
      <c r="A217" s="95"/>
      <c r="B217" s="95"/>
      <c r="C217" s="94"/>
      <c r="D217" s="94"/>
      <c r="E217" s="94"/>
      <c r="F217" s="94"/>
      <c r="G217" s="94"/>
      <c r="H217" s="95"/>
      <c r="I217" s="95"/>
      <c r="J217" s="95"/>
      <c r="K217" s="94"/>
    </row>
    <row r="218" spans="1:11" hidden="1" x14ac:dyDescent="0.25">
      <c r="A218" s="95"/>
      <c r="B218" s="95"/>
      <c r="C218" s="94"/>
      <c r="D218" s="94"/>
      <c r="E218" s="94"/>
      <c r="F218" s="94"/>
      <c r="G218" s="94"/>
      <c r="H218" s="95"/>
      <c r="I218" s="95"/>
      <c r="J218" s="95"/>
      <c r="K218" s="94"/>
    </row>
    <row r="219" spans="1:11" hidden="1" x14ac:dyDescent="0.25">
      <c r="A219" s="95"/>
      <c r="B219" s="95"/>
      <c r="C219" s="94"/>
      <c r="D219" s="94"/>
      <c r="E219" s="94"/>
      <c r="F219" s="94"/>
      <c r="G219" s="94"/>
      <c r="H219" s="95"/>
      <c r="I219" s="95"/>
      <c r="J219" s="95"/>
      <c r="K219" s="94"/>
    </row>
    <row r="220" spans="1:11" hidden="1" x14ac:dyDescent="0.25">
      <c r="A220" s="95"/>
      <c r="B220" s="95"/>
      <c r="C220" s="94"/>
      <c r="D220" s="94"/>
      <c r="E220" s="94"/>
      <c r="F220" s="94"/>
      <c r="G220" s="94"/>
      <c r="H220" s="95"/>
      <c r="I220" s="95"/>
      <c r="J220" s="95"/>
      <c r="K220" s="94"/>
    </row>
    <row r="221" spans="1:11" hidden="1" x14ac:dyDescent="0.25">
      <c r="A221" s="95"/>
      <c r="B221" s="95"/>
      <c r="C221" s="94"/>
      <c r="D221" s="94"/>
      <c r="E221" s="94"/>
      <c r="F221" s="94"/>
      <c r="G221" s="94"/>
      <c r="H221" s="95"/>
      <c r="I221" s="95"/>
      <c r="J221" s="95"/>
      <c r="K221" s="94"/>
    </row>
    <row r="222" spans="1:11" hidden="1" x14ac:dyDescent="0.25">
      <c r="A222" s="95"/>
      <c r="B222" s="95"/>
      <c r="C222" s="94"/>
      <c r="D222" s="94"/>
      <c r="E222" s="94"/>
      <c r="F222" s="94"/>
      <c r="G222" s="94"/>
      <c r="H222" s="95"/>
      <c r="I222" s="95"/>
      <c r="J222" s="95"/>
      <c r="K222" s="94"/>
    </row>
    <row r="223" spans="1:11" hidden="1" x14ac:dyDescent="0.25">
      <c r="A223" s="95"/>
      <c r="B223" s="95"/>
      <c r="C223" s="94"/>
      <c r="D223" s="94"/>
      <c r="E223" s="94"/>
      <c r="F223" s="94"/>
      <c r="G223" s="94"/>
      <c r="H223" s="93"/>
      <c r="I223" s="93"/>
      <c r="J223" s="93"/>
      <c r="K223" s="94"/>
    </row>
    <row r="224" spans="1:11" hidden="1" x14ac:dyDescent="0.25">
      <c r="A224" s="95"/>
      <c r="B224" s="95"/>
      <c r="C224" s="94"/>
      <c r="D224" s="94"/>
      <c r="E224" s="94"/>
      <c r="F224" s="94"/>
      <c r="G224" s="94"/>
      <c r="H224" s="93"/>
      <c r="I224" s="93"/>
      <c r="J224" s="93"/>
      <c r="K224" s="94"/>
    </row>
    <row r="225" spans="1:11" hidden="1" x14ac:dyDescent="0.25">
      <c r="A225" s="95"/>
      <c r="B225" s="95"/>
      <c r="C225" s="94"/>
      <c r="D225" s="94"/>
      <c r="E225" s="94"/>
      <c r="F225" s="94"/>
      <c r="G225" s="94"/>
      <c r="H225" s="93"/>
      <c r="I225" s="93"/>
      <c r="J225" s="93"/>
      <c r="K225" s="94"/>
    </row>
    <row r="226" spans="1:11" hidden="1" x14ac:dyDescent="0.25">
      <c r="A226" s="95"/>
      <c r="B226" s="95"/>
      <c r="C226" s="94"/>
      <c r="D226" s="94"/>
      <c r="E226" s="94"/>
      <c r="F226" s="94"/>
      <c r="G226" s="94"/>
      <c r="H226" s="93"/>
      <c r="I226" s="93"/>
      <c r="J226" s="93"/>
      <c r="K226" s="94"/>
    </row>
    <row r="227" spans="1:11" hidden="1" x14ac:dyDescent="0.25">
      <c r="A227" s="95"/>
      <c r="B227" s="95"/>
      <c r="C227" s="94"/>
      <c r="D227" s="94"/>
      <c r="E227" s="94"/>
      <c r="F227" s="94"/>
      <c r="G227" s="94"/>
      <c r="H227" s="93"/>
      <c r="I227" s="93"/>
      <c r="J227" s="93"/>
      <c r="K227" s="94"/>
    </row>
    <row r="228" spans="1:11" hidden="1" x14ac:dyDescent="0.25">
      <c r="A228" s="93"/>
      <c r="B228" s="93"/>
      <c r="C228" s="94"/>
      <c r="D228" s="94"/>
      <c r="E228" s="94"/>
      <c r="F228" s="94"/>
      <c r="G228" s="94"/>
      <c r="H228" s="93"/>
      <c r="I228" s="93"/>
      <c r="J228" s="93"/>
      <c r="K228" s="94"/>
    </row>
    <row r="229" spans="1:11" hidden="1" x14ac:dyDescent="0.25">
      <c r="A229" s="93"/>
      <c r="B229" s="93"/>
      <c r="C229" s="94"/>
      <c r="D229" s="94"/>
      <c r="E229" s="94"/>
      <c r="F229" s="94"/>
      <c r="G229" s="94"/>
      <c r="H229" s="93"/>
      <c r="I229" s="93"/>
      <c r="J229" s="93"/>
      <c r="K229" s="94"/>
    </row>
    <row r="230" spans="1:11" hidden="1" x14ac:dyDescent="0.25">
      <c r="A230" s="93"/>
      <c r="B230" s="93"/>
      <c r="C230" s="94"/>
      <c r="D230" s="94"/>
      <c r="E230" s="94"/>
      <c r="F230" s="94"/>
      <c r="G230" s="94"/>
      <c r="H230" s="93"/>
      <c r="I230" s="93"/>
      <c r="J230" s="93"/>
      <c r="K230" s="94"/>
    </row>
    <row r="231" spans="1:11" hidden="1" x14ac:dyDescent="0.25">
      <c r="A231" s="93"/>
      <c r="B231" s="93"/>
      <c r="C231" s="94"/>
      <c r="D231" s="94"/>
      <c r="E231" s="94"/>
      <c r="F231" s="94"/>
      <c r="G231" s="94"/>
      <c r="H231" s="93"/>
      <c r="I231" s="93"/>
      <c r="J231" s="93"/>
      <c r="K231" s="94"/>
    </row>
    <row r="232" spans="1:11" hidden="1" x14ac:dyDescent="0.25">
      <c r="A232" s="93"/>
      <c r="B232" s="93"/>
      <c r="C232" s="94"/>
      <c r="D232" s="94"/>
      <c r="E232" s="94"/>
      <c r="F232" s="94"/>
      <c r="G232" s="94"/>
      <c r="H232" s="93"/>
      <c r="I232" s="93"/>
      <c r="J232" s="93"/>
      <c r="K232" s="94"/>
    </row>
    <row r="233" spans="1:11" hidden="1" x14ac:dyDescent="0.25">
      <c r="A233" s="93"/>
      <c r="B233" s="93"/>
      <c r="C233" s="94"/>
      <c r="D233" s="94"/>
      <c r="E233" s="94"/>
      <c r="F233" s="94"/>
      <c r="G233" s="94"/>
      <c r="H233" s="95"/>
      <c r="I233" s="95"/>
      <c r="J233" s="95"/>
      <c r="K233" s="94"/>
    </row>
    <row r="234" spans="1:11" hidden="1" x14ac:dyDescent="0.25">
      <c r="A234" s="93"/>
      <c r="B234" s="93"/>
      <c r="C234" s="94"/>
      <c r="D234" s="94"/>
      <c r="E234" s="94"/>
      <c r="F234" s="94"/>
      <c r="G234" s="94"/>
      <c r="H234" s="95"/>
      <c r="I234" s="95"/>
      <c r="J234" s="95"/>
      <c r="K234" s="94"/>
    </row>
    <row r="235" spans="1:11" hidden="1" x14ac:dyDescent="0.25">
      <c r="A235" s="93"/>
      <c r="B235" s="93"/>
      <c r="C235" s="94"/>
      <c r="D235" s="94"/>
      <c r="E235" s="94"/>
      <c r="F235" s="94"/>
      <c r="G235" s="94"/>
      <c r="H235" s="95"/>
      <c r="I235" s="95"/>
      <c r="J235" s="95"/>
      <c r="K235" s="94"/>
    </row>
    <row r="236" spans="1:11" hidden="1" x14ac:dyDescent="0.25">
      <c r="A236" s="93"/>
      <c r="B236" s="93"/>
      <c r="C236" s="94"/>
      <c r="D236" s="94"/>
      <c r="E236" s="94"/>
      <c r="F236" s="94"/>
      <c r="G236" s="94"/>
      <c r="H236" s="95"/>
      <c r="I236" s="95"/>
      <c r="J236" s="95"/>
      <c r="K236" s="94"/>
    </row>
    <row r="237" spans="1:11" hidden="1" x14ac:dyDescent="0.25">
      <c r="A237" s="93"/>
      <c r="B237" s="93"/>
      <c r="C237" s="94"/>
      <c r="D237" s="94"/>
      <c r="E237" s="94"/>
      <c r="F237" s="94"/>
      <c r="G237" s="94"/>
      <c r="H237" s="93"/>
      <c r="I237" s="93"/>
      <c r="J237" s="93"/>
      <c r="K237" s="94"/>
    </row>
    <row r="238" spans="1:11" hidden="1" x14ac:dyDescent="0.25">
      <c r="A238" s="93"/>
      <c r="B238" s="93"/>
      <c r="C238" s="94"/>
      <c r="D238" s="94"/>
      <c r="E238" s="94"/>
      <c r="F238" s="94"/>
      <c r="G238" s="94"/>
      <c r="H238" s="95"/>
      <c r="I238" s="95"/>
      <c r="J238" s="95"/>
      <c r="K238" s="94"/>
    </row>
    <row r="239" spans="1:11" hidden="1" x14ac:dyDescent="0.25">
      <c r="A239" s="93"/>
      <c r="B239" s="93"/>
      <c r="C239" s="94"/>
      <c r="D239" s="94"/>
      <c r="E239" s="94"/>
      <c r="F239" s="94"/>
      <c r="G239" s="94"/>
      <c r="H239" s="95"/>
      <c r="I239" s="95"/>
      <c r="J239" s="95"/>
      <c r="K239" s="94"/>
    </row>
    <row r="240" spans="1:11" hidden="1" x14ac:dyDescent="0.25">
      <c r="A240" s="93"/>
      <c r="B240" s="93"/>
      <c r="C240" s="94"/>
      <c r="D240" s="94"/>
      <c r="E240" s="94"/>
      <c r="F240" s="94"/>
      <c r="G240" s="94"/>
      <c r="H240" s="95"/>
      <c r="I240" s="95"/>
      <c r="J240" s="95"/>
      <c r="K240" s="94"/>
    </row>
    <row r="241" spans="1:11" hidden="1" x14ac:dyDescent="0.25">
      <c r="A241" s="93"/>
      <c r="B241" s="93"/>
      <c r="C241" s="94"/>
      <c r="D241" s="94"/>
      <c r="E241" s="94"/>
      <c r="F241" s="94"/>
      <c r="G241" s="94"/>
      <c r="H241" s="95"/>
      <c r="I241" s="95"/>
      <c r="J241" s="95"/>
      <c r="K241" s="94"/>
    </row>
    <row r="242" spans="1:11" hidden="1" x14ac:dyDescent="0.25">
      <c r="A242" s="93"/>
      <c r="B242" s="93"/>
      <c r="C242" s="94"/>
      <c r="D242" s="94"/>
      <c r="E242" s="94"/>
      <c r="F242" s="94"/>
      <c r="G242" s="94"/>
      <c r="H242" s="93"/>
      <c r="I242" s="93"/>
      <c r="J242" s="93"/>
      <c r="K242" s="94"/>
    </row>
    <row r="243" spans="1:11" hidden="1" x14ac:dyDescent="0.25">
      <c r="A243" s="93"/>
      <c r="B243" s="93"/>
      <c r="C243" s="94"/>
      <c r="D243" s="94"/>
      <c r="E243" s="94"/>
      <c r="F243" s="94"/>
      <c r="G243" s="94"/>
      <c r="H243" s="93"/>
      <c r="I243" s="93"/>
      <c r="J243" s="93"/>
      <c r="K243" s="94"/>
    </row>
    <row r="244" spans="1:11" hidden="1" x14ac:dyDescent="0.25">
      <c r="A244" s="93"/>
      <c r="B244" s="93"/>
      <c r="C244" s="94"/>
      <c r="D244" s="94"/>
      <c r="E244" s="94"/>
      <c r="F244" s="94"/>
      <c r="G244" s="94"/>
      <c r="H244" s="93"/>
      <c r="I244" s="93"/>
      <c r="J244" s="93"/>
      <c r="K244" s="94"/>
    </row>
    <row r="245" spans="1:11" hidden="1" x14ac:dyDescent="0.25">
      <c r="A245" s="93"/>
      <c r="B245" s="93"/>
      <c r="C245" s="94"/>
      <c r="D245" s="94"/>
      <c r="E245" s="94"/>
      <c r="F245" s="94"/>
      <c r="G245" s="94"/>
      <c r="H245" s="93"/>
      <c r="I245" s="93"/>
      <c r="J245" s="93"/>
      <c r="K245" s="94"/>
    </row>
    <row r="246" spans="1:11" hidden="1" x14ac:dyDescent="0.25">
      <c r="A246" s="93"/>
      <c r="B246" s="93"/>
      <c r="C246" s="94"/>
      <c r="D246" s="94"/>
      <c r="E246" s="94"/>
      <c r="F246" s="94"/>
      <c r="G246" s="94"/>
      <c r="H246" s="93"/>
      <c r="I246" s="93"/>
      <c r="J246" s="93"/>
      <c r="K246" s="94"/>
    </row>
    <row r="247" spans="1:11" hidden="1" x14ac:dyDescent="0.25">
      <c r="A247" s="93"/>
      <c r="B247" s="93"/>
      <c r="C247" s="94"/>
      <c r="D247" s="94"/>
      <c r="E247" s="94"/>
      <c r="F247" s="94"/>
      <c r="G247" s="94"/>
      <c r="H247" s="93"/>
      <c r="I247" s="93"/>
      <c r="J247" s="93"/>
      <c r="K247" s="94"/>
    </row>
    <row r="248" spans="1:11" hidden="1" x14ac:dyDescent="0.25">
      <c r="A248" s="93"/>
      <c r="B248" s="93"/>
      <c r="C248" s="94"/>
      <c r="D248" s="94"/>
      <c r="E248" s="94"/>
      <c r="F248" s="94"/>
      <c r="G248" s="94"/>
      <c r="H248" s="93"/>
      <c r="I248" s="93"/>
      <c r="J248" s="93"/>
      <c r="K248" s="94"/>
    </row>
    <row r="249" spans="1:11" hidden="1" x14ac:dyDescent="0.25">
      <c r="A249" s="93"/>
      <c r="B249" s="93"/>
      <c r="C249" s="94"/>
      <c r="D249" s="94"/>
      <c r="E249" s="94"/>
      <c r="F249" s="94"/>
      <c r="G249" s="94"/>
      <c r="H249" s="95"/>
      <c r="I249" s="95"/>
      <c r="J249" s="95"/>
      <c r="K249" s="94"/>
    </row>
    <row r="250" spans="1:11" hidden="1" x14ac:dyDescent="0.25">
      <c r="A250" s="93"/>
      <c r="B250" s="93"/>
      <c r="C250" s="94"/>
      <c r="D250" s="94"/>
      <c r="E250" s="94"/>
      <c r="F250" s="94"/>
      <c r="G250" s="94"/>
      <c r="H250" s="95"/>
      <c r="I250" s="95"/>
      <c r="J250" s="95"/>
      <c r="K250" s="94"/>
    </row>
    <row r="251" spans="1:11" hidden="1" x14ac:dyDescent="0.25">
      <c r="A251" s="93"/>
      <c r="B251" s="93"/>
      <c r="C251" s="94"/>
      <c r="D251" s="94"/>
      <c r="E251" s="94"/>
      <c r="F251" s="94"/>
      <c r="G251" s="94"/>
      <c r="H251" s="95"/>
      <c r="I251" s="95"/>
      <c r="J251" s="95"/>
      <c r="K251" s="94"/>
    </row>
    <row r="252" spans="1:11" hidden="1" x14ac:dyDescent="0.25">
      <c r="A252" s="93"/>
      <c r="B252" s="93"/>
      <c r="C252" s="94"/>
      <c r="D252" s="94"/>
      <c r="E252" s="94"/>
      <c r="F252" s="94"/>
      <c r="G252" s="94"/>
      <c r="H252" s="95"/>
      <c r="I252" s="95"/>
      <c r="J252" s="95"/>
      <c r="K252" s="94"/>
    </row>
    <row r="253" spans="1:11" hidden="1" x14ac:dyDescent="0.25">
      <c r="A253" s="93"/>
      <c r="B253" s="93"/>
      <c r="C253" s="94"/>
      <c r="D253" s="94"/>
      <c r="E253" s="94"/>
      <c r="F253" s="94"/>
      <c r="G253" s="94"/>
      <c r="H253" s="95"/>
      <c r="I253" s="95"/>
      <c r="J253" s="95"/>
      <c r="K253" s="94"/>
    </row>
    <row r="254" spans="1:11" hidden="1" x14ac:dyDescent="0.25">
      <c r="A254" s="93"/>
      <c r="B254" s="93"/>
      <c r="C254" s="94"/>
      <c r="D254" s="94"/>
      <c r="E254" s="94"/>
      <c r="F254" s="94"/>
      <c r="G254" s="94"/>
      <c r="H254" s="95"/>
      <c r="I254" s="95"/>
      <c r="J254" s="95"/>
      <c r="K254" s="94"/>
    </row>
    <row r="255" spans="1:11" hidden="1" x14ac:dyDescent="0.25">
      <c r="A255" s="93"/>
      <c r="B255" s="93"/>
      <c r="C255" s="94"/>
      <c r="D255" s="94"/>
      <c r="E255" s="94"/>
      <c r="F255" s="94"/>
      <c r="G255" s="94"/>
      <c r="H255" s="95"/>
      <c r="I255" s="95"/>
      <c r="J255" s="95"/>
      <c r="K255" s="94"/>
    </row>
    <row r="256" spans="1:11" hidden="1" x14ac:dyDescent="0.25">
      <c r="A256" s="93"/>
      <c r="B256" s="93"/>
      <c r="C256" s="94"/>
      <c r="D256" s="94"/>
      <c r="E256" s="94"/>
      <c r="F256" s="94"/>
      <c r="G256" s="94"/>
      <c r="H256" s="95"/>
      <c r="I256" s="95"/>
      <c r="J256" s="95"/>
      <c r="K256" s="94"/>
    </row>
    <row r="257" spans="1:11" hidden="1" x14ac:dyDescent="0.25">
      <c r="A257" s="93"/>
      <c r="B257" s="93"/>
      <c r="C257" s="94"/>
      <c r="D257" s="94"/>
      <c r="E257" s="94"/>
      <c r="F257" s="94"/>
      <c r="G257" s="94"/>
      <c r="H257" s="95"/>
      <c r="I257" s="95"/>
      <c r="J257" s="95"/>
      <c r="K257" s="94"/>
    </row>
    <row r="258" spans="1:11" hidden="1" x14ac:dyDescent="0.25">
      <c r="A258" s="93"/>
      <c r="B258" s="93"/>
      <c r="C258" s="94"/>
      <c r="D258" s="94"/>
      <c r="E258" s="94"/>
      <c r="F258" s="94"/>
      <c r="G258" s="94"/>
      <c r="H258" s="95"/>
      <c r="I258" s="95"/>
      <c r="J258" s="95"/>
      <c r="K258" s="94"/>
    </row>
    <row r="259" spans="1:11" hidden="1" x14ac:dyDescent="0.25">
      <c r="A259" s="93"/>
      <c r="B259" s="93"/>
      <c r="C259" s="94"/>
      <c r="D259" s="94"/>
      <c r="E259" s="94"/>
      <c r="F259" s="94"/>
      <c r="G259" s="94"/>
      <c r="H259" s="95"/>
      <c r="I259" s="95"/>
      <c r="J259" s="95"/>
      <c r="K259" s="94"/>
    </row>
    <row r="260" spans="1:11" hidden="1" x14ac:dyDescent="0.25">
      <c r="A260" s="93"/>
      <c r="B260" s="93"/>
      <c r="C260" s="94"/>
      <c r="D260" s="94"/>
      <c r="E260" s="94"/>
      <c r="F260" s="94"/>
      <c r="G260" s="94"/>
      <c r="H260" s="95"/>
      <c r="I260" s="95"/>
      <c r="J260" s="95"/>
      <c r="K260" s="94"/>
    </row>
  </sheetData>
  <mergeCells count="1">
    <mergeCell ref="A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32"/>
  <dimension ref="A1:K53"/>
  <sheetViews>
    <sheetView showGridLines="0" workbookViewId="0">
      <selection sqref="A1:K1"/>
    </sheetView>
  </sheetViews>
  <sheetFormatPr defaultRowHeight="15" x14ac:dyDescent="0.25"/>
  <cols>
    <col min="1" max="1" width="32" customWidth="1"/>
    <col min="2" max="2" width="12" customWidth="1"/>
    <col min="3" max="3" width="10" customWidth="1"/>
    <col min="4" max="4" width="11" customWidth="1"/>
    <col min="5" max="7" width="32" customWidth="1"/>
    <col min="8" max="8" width="24.85546875" customWidth="1"/>
    <col min="9" max="9" width="20.140625" customWidth="1"/>
    <col min="10" max="11" width="32" customWidth="1"/>
  </cols>
  <sheetData>
    <row r="1" spans="1:11" ht="27.95" customHeight="1" x14ac:dyDescent="0.25">
      <c r="A1" s="456" t="s">
        <v>1395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</row>
    <row r="2" spans="1:11" x14ac:dyDescent="0.25">
      <c r="A2" s="393"/>
      <c r="B2" s="393"/>
      <c r="C2" s="393"/>
      <c r="D2" s="393"/>
      <c r="E2" s="393"/>
      <c r="F2" s="393"/>
      <c r="G2" s="393"/>
      <c r="H2" s="393"/>
    </row>
    <row r="4" spans="1:11" ht="32.1" customHeight="1" x14ac:dyDescent="0.25">
      <c r="A4" s="160" t="s">
        <v>44</v>
      </c>
      <c r="B4" s="160" t="s">
        <v>67</v>
      </c>
      <c r="C4" s="160" t="s">
        <v>66</v>
      </c>
      <c r="D4" s="160" t="s">
        <v>1396</v>
      </c>
      <c r="E4" s="160" t="s">
        <v>1386</v>
      </c>
      <c r="F4" s="160" t="s">
        <v>1387</v>
      </c>
      <c r="G4" s="160" t="s">
        <v>1397</v>
      </c>
      <c r="H4" s="160" t="s">
        <v>1389</v>
      </c>
      <c r="I4" s="160" t="s">
        <v>1390</v>
      </c>
      <c r="J4" s="160" t="s">
        <v>1391</v>
      </c>
      <c r="K4" s="160" t="s">
        <v>53</v>
      </c>
    </row>
    <row r="5" spans="1:11" x14ac:dyDescent="0.25">
      <c r="A5" s="96" t="s">
        <v>74</v>
      </c>
      <c r="B5" s="96" t="s">
        <v>75</v>
      </c>
      <c r="C5" s="96"/>
      <c r="D5" s="96"/>
      <c r="E5" s="96" t="s">
        <v>1398</v>
      </c>
      <c r="F5" s="96" t="s">
        <v>1392</v>
      </c>
      <c r="G5" s="96" t="s">
        <v>1393</v>
      </c>
      <c r="H5" s="96">
        <v>0</v>
      </c>
      <c r="I5" s="96">
        <v>0</v>
      </c>
      <c r="J5" s="96" t="s">
        <v>1394</v>
      </c>
      <c r="K5" s="96"/>
    </row>
    <row r="6" spans="1:11" x14ac:dyDescent="0.25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</row>
    <row r="7" spans="1:11" x14ac:dyDescent="0.25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</row>
    <row r="8" spans="1:11" x14ac:dyDescent="0.25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</row>
    <row r="9" spans="1:11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</row>
    <row r="10" spans="1:11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</row>
    <row r="11" spans="1:11" x14ac:dyDescent="0.25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</row>
    <row r="12" spans="1:11" x14ac:dyDescent="0.25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</row>
    <row r="13" spans="1:11" x14ac:dyDescent="0.25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</row>
    <row r="14" spans="1:11" x14ac:dyDescent="0.25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</row>
    <row r="15" spans="1:11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</row>
    <row r="16" spans="1:11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</row>
    <row r="17" spans="1:11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5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5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5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5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5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5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5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5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5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</row>
    <row r="27" spans="1:11" x14ac:dyDescent="0.25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</row>
    <row r="28" spans="1:11" x14ac:dyDescent="0.25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</row>
    <row r="29" spans="1:11" x14ac:dyDescent="0.25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</row>
    <row r="30" spans="1:11" x14ac:dyDescent="0.25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</row>
    <row r="32" spans="1:11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</row>
    <row r="33" spans="1:11" x14ac:dyDescent="0.25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</row>
    <row r="34" spans="1:11" x14ac:dyDescent="0.25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</row>
    <row r="35" spans="1:11" x14ac:dyDescent="0.25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5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5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5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5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  <row r="41" spans="1:11" x14ac:dyDescent="0.25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96"/>
    </row>
    <row r="42" spans="1:11" x14ac:dyDescent="0.25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</row>
    <row r="43" spans="1:11" x14ac:dyDescent="0.25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</row>
    <row r="44" spans="1:11" x14ac:dyDescent="0.25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</row>
    <row r="45" spans="1:11" x14ac:dyDescent="0.25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</row>
    <row r="46" spans="1:11" x14ac:dyDescent="0.25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</row>
    <row r="47" spans="1:11" x14ac:dyDescent="0.25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</row>
    <row r="48" spans="1:11" x14ac:dyDescent="0.25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</row>
    <row r="49" spans="1:11" x14ac:dyDescent="0.25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</row>
    <row r="50" spans="1:11" x14ac:dyDescent="0.25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</row>
    <row r="51" spans="1:11" x14ac:dyDescent="0.25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</row>
    <row r="52" spans="1:11" x14ac:dyDescent="0.25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</row>
    <row r="53" spans="1:11" x14ac:dyDescent="0.25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</row>
  </sheetData>
  <mergeCells count="2">
    <mergeCell ref="A1:K1"/>
    <mergeCell ref="A2:H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33"/>
  <dimension ref="A1:E28"/>
  <sheetViews>
    <sheetView showGridLines="0" workbookViewId="0">
      <selection sqref="A1:E1"/>
    </sheetView>
  </sheetViews>
  <sheetFormatPr defaultRowHeight="15" x14ac:dyDescent="0.25"/>
  <cols>
    <col min="1" max="1" width="14" customWidth="1"/>
    <col min="2" max="2" width="10" customWidth="1"/>
    <col min="3" max="3" width="25" customWidth="1"/>
    <col min="4" max="4" width="50" customWidth="1"/>
    <col min="5" max="5" width="80" customWidth="1"/>
  </cols>
  <sheetData>
    <row r="1" spans="1:5" x14ac:dyDescent="0.25">
      <c r="A1" s="457" t="s">
        <v>1399</v>
      </c>
      <c r="B1" s="458"/>
      <c r="C1" s="458"/>
      <c r="D1" s="458"/>
      <c r="E1" s="459"/>
    </row>
    <row r="2" spans="1:5" x14ac:dyDescent="0.25">
      <c r="A2" s="73"/>
      <c r="B2" s="73"/>
      <c r="C2" s="73"/>
      <c r="D2" s="73"/>
      <c r="E2" s="73"/>
    </row>
    <row r="3" spans="1:5" x14ac:dyDescent="0.25">
      <c r="A3" s="148" t="s">
        <v>1400</v>
      </c>
      <c r="B3" s="148" t="s">
        <v>1401</v>
      </c>
      <c r="C3" s="148" t="s">
        <v>1402</v>
      </c>
      <c r="D3" s="148" t="s">
        <v>1403</v>
      </c>
      <c r="E3" s="148" t="s">
        <v>517</v>
      </c>
    </row>
    <row r="4" spans="1:5" ht="135" x14ac:dyDescent="0.25">
      <c r="A4" s="73">
        <v>1</v>
      </c>
      <c r="B4" s="73" t="s">
        <v>1404</v>
      </c>
      <c r="C4" s="73" t="s">
        <v>1405</v>
      </c>
      <c r="D4" s="73" t="s">
        <v>1406</v>
      </c>
      <c r="E4" s="73" t="s">
        <v>1407</v>
      </c>
    </row>
    <row r="5" spans="1:5" ht="135" x14ac:dyDescent="0.25">
      <c r="A5" s="73">
        <v>2</v>
      </c>
      <c r="B5" s="73" t="s">
        <v>1408</v>
      </c>
      <c r="C5" s="73" t="s">
        <v>1409</v>
      </c>
      <c r="D5" s="73" t="s">
        <v>1410</v>
      </c>
      <c r="E5" s="73" t="s">
        <v>1411</v>
      </c>
    </row>
    <row r="6" spans="1:5" ht="210" x14ac:dyDescent="0.25">
      <c r="A6" s="73">
        <v>3</v>
      </c>
      <c r="B6" s="73" t="s">
        <v>1412</v>
      </c>
      <c r="C6" s="73" t="s">
        <v>1409</v>
      </c>
      <c r="D6" s="73" t="s">
        <v>1413</v>
      </c>
      <c r="E6" s="73" t="s">
        <v>1414</v>
      </c>
    </row>
    <row r="7" spans="1:5" ht="180" x14ac:dyDescent="0.25">
      <c r="A7" s="73">
        <v>4</v>
      </c>
      <c r="B7" s="73" t="s">
        <v>1415</v>
      </c>
      <c r="C7" s="73" t="s">
        <v>1416</v>
      </c>
      <c r="D7" s="73" t="s">
        <v>1417</v>
      </c>
      <c r="E7" s="73" t="s">
        <v>1418</v>
      </c>
    </row>
    <row r="8" spans="1:5" ht="165" x14ac:dyDescent="0.25">
      <c r="A8" s="73">
        <v>5</v>
      </c>
      <c r="B8" s="73" t="s">
        <v>1419</v>
      </c>
      <c r="C8" s="73" t="s">
        <v>1420</v>
      </c>
      <c r="D8" s="73" t="s">
        <v>1421</v>
      </c>
      <c r="E8" s="73" t="s">
        <v>1422</v>
      </c>
    </row>
    <row r="9" spans="1:5" ht="105" x14ac:dyDescent="0.25">
      <c r="A9" s="73">
        <v>6</v>
      </c>
      <c r="B9" s="73" t="s">
        <v>1423</v>
      </c>
      <c r="C9" s="73" t="s">
        <v>1424</v>
      </c>
      <c r="D9" s="73" t="s">
        <v>1425</v>
      </c>
      <c r="E9" s="73" t="s">
        <v>1426</v>
      </c>
    </row>
    <row r="10" spans="1:5" ht="60" x14ac:dyDescent="0.25">
      <c r="A10" s="73" t="s">
        <v>1427</v>
      </c>
      <c r="B10" s="73" t="s">
        <v>1409</v>
      </c>
      <c r="C10" s="73" t="s">
        <v>1428</v>
      </c>
      <c r="D10" s="73"/>
      <c r="E10" s="73"/>
    </row>
    <row r="11" spans="1:5" ht="75" x14ac:dyDescent="0.25">
      <c r="A11" s="73" t="s">
        <v>1427</v>
      </c>
      <c r="B11" s="73" t="s">
        <v>1429</v>
      </c>
      <c r="C11" s="73" t="s">
        <v>1430</v>
      </c>
      <c r="D11" s="73"/>
      <c r="E11" s="73"/>
    </row>
    <row r="12" spans="1:5" ht="90" x14ac:dyDescent="0.25">
      <c r="A12" s="73" t="s">
        <v>1427</v>
      </c>
      <c r="B12" s="73" t="s">
        <v>1431</v>
      </c>
      <c r="C12" s="73" t="s">
        <v>1432</v>
      </c>
      <c r="D12" s="73"/>
      <c r="E12" s="73"/>
    </row>
    <row r="13" spans="1:5" ht="60" x14ac:dyDescent="0.25">
      <c r="A13" s="73" t="s">
        <v>1427</v>
      </c>
      <c r="B13" s="73" t="s">
        <v>1433</v>
      </c>
      <c r="C13" s="73" t="s">
        <v>1434</v>
      </c>
      <c r="D13" s="73"/>
      <c r="E13" s="73"/>
    </row>
    <row r="14" spans="1:5" ht="30" x14ac:dyDescent="0.25">
      <c r="A14" s="73" t="s">
        <v>1435</v>
      </c>
      <c r="B14" s="73" t="s">
        <v>1436</v>
      </c>
      <c r="C14" s="73" t="s">
        <v>1405</v>
      </c>
      <c r="D14" s="73" t="s">
        <v>1437</v>
      </c>
      <c r="E14" s="73" t="s">
        <v>1438</v>
      </c>
    </row>
    <row r="15" spans="1:5" ht="30" x14ac:dyDescent="0.25">
      <c r="A15" s="73" t="s">
        <v>1435</v>
      </c>
      <c r="B15" s="73" t="s">
        <v>1436</v>
      </c>
      <c r="C15" s="73" t="s">
        <v>1439</v>
      </c>
      <c r="D15" s="73" t="s">
        <v>1440</v>
      </c>
      <c r="E15" s="73" t="s">
        <v>1441</v>
      </c>
    </row>
    <row r="16" spans="1:5" ht="30" x14ac:dyDescent="0.25">
      <c r="A16" s="73" t="s">
        <v>1435</v>
      </c>
      <c r="B16" s="73" t="s">
        <v>1436</v>
      </c>
      <c r="C16" s="73" t="s">
        <v>1409</v>
      </c>
      <c r="D16" s="73" t="s">
        <v>1442</v>
      </c>
      <c r="E16" s="73" t="s">
        <v>1443</v>
      </c>
    </row>
    <row r="17" spans="1:5" x14ac:dyDescent="0.25">
      <c r="A17" s="73" t="s">
        <v>1435</v>
      </c>
      <c r="B17" s="73" t="s">
        <v>1436</v>
      </c>
      <c r="C17" s="73" t="s">
        <v>1424</v>
      </c>
      <c r="D17" s="73" t="s">
        <v>1444</v>
      </c>
      <c r="E17" s="73" t="s">
        <v>1445</v>
      </c>
    </row>
    <row r="18" spans="1:5" x14ac:dyDescent="0.25">
      <c r="A18" t="s">
        <v>1446</v>
      </c>
      <c r="B18" t="s">
        <v>1405</v>
      </c>
      <c r="C18" t="s">
        <v>1447</v>
      </c>
    </row>
    <row r="19" spans="1:5" x14ac:dyDescent="0.25">
      <c r="A19" t="s">
        <v>1446</v>
      </c>
      <c r="B19" t="s">
        <v>1439</v>
      </c>
      <c r="C19" t="s">
        <v>1448</v>
      </c>
    </row>
    <row r="20" spans="1:5" x14ac:dyDescent="0.25">
      <c r="A20" t="s">
        <v>1446</v>
      </c>
      <c r="B20" t="s">
        <v>1409</v>
      </c>
      <c r="C20" t="s">
        <v>1449</v>
      </c>
    </row>
    <row r="21" spans="1:5" x14ac:dyDescent="0.25">
      <c r="A21" t="s">
        <v>1446</v>
      </c>
      <c r="B21" t="s">
        <v>1450</v>
      </c>
      <c r="C21" t="s">
        <v>1451</v>
      </c>
    </row>
    <row r="22" spans="1:5" x14ac:dyDescent="0.25">
      <c r="A22" t="s">
        <v>2173</v>
      </c>
      <c r="B22" t="s">
        <v>2174</v>
      </c>
      <c r="C22" t="s">
        <v>2175</v>
      </c>
    </row>
    <row r="23" spans="1:5" x14ac:dyDescent="0.25">
      <c r="A23" t="s">
        <v>2173</v>
      </c>
      <c r="B23" t="s">
        <v>2174</v>
      </c>
      <c r="C23" t="s">
        <v>2176</v>
      </c>
    </row>
    <row r="24" spans="1:5" x14ac:dyDescent="0.25">
      <c r="A24" t="s">
        <v>2173</v>
      </c>
      <c r="B24" t="s">
        <v>2174</v>
      </c>
      <c r="C24" t="s">
        <v>2177</v>
      </c>
    </row>
    <row r="25" spans="1:5" x14ac:dyDescent="0.25">
      <c r="A25" t="s">
        <v>2173</v>
      </c>
      <c r="B25" t="s">
        <v>2174</v>
      </c>
      <c r="C25" t="s">
        <v>2178</v>
      </c>
    </row>
    <row r="27" spans="1:5" x14ac:dyDescent="0.25">
      <c r="A27" t="s">
        <v>2173</v>
      </c>
      <c r="B27" t="s">
        <v>2174</v>
      </c>
      <c r="C27" t="s">
        <v>2183</v>
      </c>
    </row>
    <row r="28" spans="1:5" x14ac:dyDescent="0.25">
      <c r="A28" t="s">
        <v>2173</v>
      </c>
      <c r="B28" t="s">
        <v>2174</v>
      </c>
      <c r="C28" t="s">
        <v>2184</v>
      </c>
    </row>
  </sheetData>
  <mergeCells count="1">
    <mergeCell ref="A1:E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34"/>
  <dimension ref="A1:A288"/>
  <sheetViews>
    <sheetView workbookViewId="0"/>
  </sheetViews>
  <sheetFormatPr defaultRowHeight="15" x14ac:dyDescent="0.25"/>
  <cols>
    <col min="1" max="1" width="120" customWidth="1"/>
  </cols>
  <sheetData>
    <row r="1" spans="1:1" ht="18.75" x14ac:dyDescent="0.3">
      <c r="A1" s="104" t="s">
        <v>1452</v>
      </c>
    </row>
    <row r="2" spans="1:1" ht="30" x14ac:dyDescent="0.25">
      <c r="A2" s="146" t="s">
        <v>1453</v>
      </c>
    </row>
    <row r="4" spans="1:1" x14ac:dyDescent="0.25">
      <c r="A4" s="105" t="s">
        <v>1454</v>
      </c>
    </row>
    <row r="5" spans="1:1" x14ac:dyDescent="0.25">
      <c r="A5" s="105"/>
    </row>
    <row r="6" spans="1:1" x14ac:dyDescent="0.25">
      <c r="A6" s="105" t="s">
        <v>1455</v>
      </c>
    </row>
    <row r="7" spans="1:1" x14ac:dyDescent="0.25">
      <c r="A7" s="105" t="s">
        <v>1456</v>
      </c>
    </row>
    <row r="8" spans="1:1" x14ac:dyDescent="0.25">
      <c r="A8" s="105" t="s">
        <v>1457</v>
      </c>
    </row>
    <row r="9" spans="1:1" x14ac:dyDescent="0.25">
      <c r="A9" s="105" t="s">
        <v>1458</v>
      </c>
    </row>
    <row r="10" spans="1:1" x14ac:dyDescent="0.25">
      <c r="A10" s="105" t="s">
        <v>1459</v>
      </c>
    </row>
    <row r="11" spans="1:1" x14ac:dyDescent="0.25">
      <c r="A11" s="105" t="s">
        <v>1460</v>
      </c>
    </row>
    <row r="12" spans="1:1" x14ac:dyDescent="0.25">
      <c r="A12" s="105" t="s">
        <v>1461</v>
      </c>
    </row>
    <row r="13" spans="1:1" x14ac:dyDescent="0.25">
      <c r="A13" s="105" t="s">
        <v>1462</v>
      </c>
    </row>
    <row r="14" spans="1:1" x14ac:dyDescent="0.25">
      <c r="A14" s="105" t="s">
        <v>1463</v>
      </c>
    </row>
    <row r="15" spans="1:1" x14ac:dyDescent="0.25">
      <c r="A15" s="105" t="s">
        <v>1464</v>
      </c>
    </row>
    <row r="16" spans="1:1" x14ac:dyDescent="0.25">
      <c r="A16" s="105" t="s">
        <v>1465</v>
      </c>
    </row>
    <row r="17" spans="1:1" x14ac:dyDescent="0.25">
      <c r="A17" s="105" t="s">
        <v>1466</v>
      </c>
    </row>
    <row r="18" spans="1:1" x14ac:dyDescent="0.25">
      <c r="A18" s="105" t="s">
        <v>1467</v>
      </c>
    </row>
    <row r="19" spans="1:1" x14ac:dyDescent="0.25">
      <c r="A19" s="105" t="s">
        <v>1468</v>
      </c>
    </row>
    <row r="20" spans="1:1" x14ac:dyDescent="0.25">
      <c r="A20" s="105" t="s">
        <v>1469</v>
      </c>
    </row>
    <row r="21" spans="1:1" x14ac:dyDescent="0.25">
      <c r="A21" s="105" t="s">
        <v>1470</v>
      </c>
    </row>
    <row r="22" spans="1:1" x14ac:dyDescent="0.25">
      <c r="A22" s="105" t="s">
        <v>1471</v>
      </c>
    </row>
    <row r="23" spans="1:1" x14ac:dyDescent="0.25">
      <c r="A23" s="105" t="s">
        <v>1472</v>
      </c>
    </row>
    <row r="24" spans="1:1" x14ac:dyDescent="0.25">
      <c r="A24" s="105" t="s">
        <v>1455</v>
      </c>
    </row>
    <row r="25" spans="1:1" x14ac:dyDescent="0.25">
      <c r="A25" s="105"/>
    </row>
    <row r="26" spans="1:1" x14ac:dyDescent="0.25">
      <c r="A26" s="105" t="s">
        <v>1473</v>
      </c>
    </row>
    <row r="27" spans="1:1" x14ac:dyDescent="0.25">
      <c r="A27" s="105" t="s">
        <v>1474</v>
      </c>
    </row>
    <row r="28" spans="1:1" x14ac:dyDescent="0.25">
      <c r="A28" s="105" t="s">
        <v>1475</v>
      </c>
    </row>
    <row r="29" spans="1:1" x14ac:dyDescent="0.25">
      <c r="A29" s="105" t="s">
        <v>1476</v>
      </c>
    </row>
    <row r="30" spans="1:1" x14ac:dyDescent="0.25">
      <c r="A30" s="105" t="s">
        <v>1477</v>
      </c>
    </row>
    <row r="31" spans="1:1" x14ac:dyDescent="0.25">
      <c r="A31" s="105" t="s">
        <v>1478</v>
      </c>
    </row>
    <row r="32" spans="1:1" x14ac:dyDescent="0.25">
      <c r="A32" s="105" t="s">
        <v>1479</v>
      </c>
    </row>
    <row r="33" spans="1:1" x14ac:dyDescent="0.25">
      <c r="A33" s="105" t="s">
        <v>1480</v>
      </c>
    </row>
    <row r="34" spans="1:1" x14ac:dyDescent="0.25">
      <c r="A34" s="105" t="s">
        <v>1481</v>
      </c>
    </row>
    <row r="35" spans="1:1" x14ac:dyDescent="0.25">
      <c r="A35" s="105"/>
    </row>
    <row r="36" spans="1:1" x14ac:dyDescent="0.25">
      <c r="A36" s="105" t="s">
        <v>1482</v>
      </c>
    </row>
    <row r="37" spans="1:1" x14ac:dyDescent="0.25">
      <c r="A37" s="105" t="s">
        <v>1483</v>
      </c>
    </row>
    <row r="38" spans="1:1" x14ac:dyDescent="0.25">
      <c r="A38" s="105" t="s">
        <v>1484</v>
      </c>
    </row>
    <row r="39" spans="1:1" x14ac:dyDescent="0.25">
      <c r="A39" s="105" t="s">
        <v>1485</v>
      </c>
    </row>
    <row r="40" spans="1:1" x14ac:dyDescent="0.25">
      <c r="A40" s="105" t="s">
        <v>1486</v>
      </c>
    </row>
    <row r="41" spans="1:1" x14ac:dyDescent="0.25">
      <c r="A41" s="105" t="s">
        <v>1487</v>
      </c>
    </row>
    <row r="42" spans="1:1" x14ac:dyDescent="0.25">
      <c r="A42" s="105" t="s">
        <v>1488</v>
      </c>
    </row>
    <row r="43" spans="1:1" x14ac:dyDescent="0.25">
      <c r="A43" s="105" t="s">
        <v>1489</v>
      </c>
    </row>
    <row r="44" spans="1:1" x14ac:dyDescent="0.25">
      <c r="A44" s="105" t="s">
        <v>1490</v>
      </c>
    </row>
    <row r="45" spans="1:1" x14ac:dyDescent="0.25">
      <c r="A45" s="105" t="s">
        <v>1491</v>
      </c>
    </row>
    <row r="46" spans="1:1" x14ac:dyDescent="0.25">
      <c r="A46" s="105" t="s">
        <v>1492</v>
      </c>
    </row>
    <row r="47" spans="1:1" x14ac:dyDescent="0.25">
      <c r="A47" s="105" t="s">
        <v>1493</v>
      </c>
    </row>
    <row r="48" spans="1:1" x14ac:dyDescent="0.25">
      <c r="A48" s="105" t="s">
        <v>1494</v>
      </c>
    </row>
    <row r="49" spans="1:1" x14ac:dyDescent="0.25">
      <c r="A49" s="105" t="s">
        <v>1481</v>
      </c>
    </row>
    <row r="50" spans="1:1" x14ac:dyDescent="0.25">
      <c r="A50" s="105"/>
    </row>
    <row r="51" spans="1:1" x14ac:dyDescent="0.25">
      <c r="A51" s="105" t="s">
        <v>1495</v>
      </c>
    </row>
    <row r="52" spans="1:1" x14ac:dyDescent="0.25">
      <c r="A52" s="105" t="s">
        <v>1483</v>
      </c>
    </row>
    <row r="53" spans="1:1" x14ac:dyDescent="0.25">
      <c r="A53" s="105" t="s">
        <v>1484</v>
      </c>
    </row>
    <row r="54" spans="1:1" x14ac:dyDescent="0.25">
      <c r="A54" s="105" t="s">
        <v>1485</v>
      </c>
    </row>
    <row r="55" spans="1:1" x14ac:dyDescent="0.25">
      <c r="A55" s="105" t="s">
        <v>1486</v>
      </c>
    </row>
    <row r="56" spans="1:1" x14ac:dyDescent="0.25">
      <c r="A56" s="105" t="s">
        <v>1487</v>
      </c>
    </row>
    <row r="57" spans="1:1" x14ac:dyDescent="0.25">
      <c r="A57" s="105" t="s">
        <v>1488</v>
      </c>
    </row>
    <row r="58" spans="1:1" x14ac:dyDescent="0.25">
      <c r="A58" s="105" t="s">
        <v>1489</v>
      </c>
    </row>
    <row r="59" spans="1:1" x14ac:dyDescent="0.25">
      <c r="A59" s="105" t="s">
        <v>1496</v>
      </c>
    </row>
    <row r="60" spans="1:1" x14ac:dyDescent="0.25">
      <c r="A60" s="105" t="s">
        <v>1497</v>
      </c>
    </row>
    <row r="61" spans="1:1" x14ac:dyDescent="0.25">
      <c r="A61" s="105" t="s">
        <v>1498</v>
      </c>
    </row>
    <row r="62" spans="1:1" x14ac:dyDescent="0.25">
      <c r="A62" s="105" t="s">
        <v>1497</v>
      </c>
    </row>
    <row r="63" spans="1:1" x14ac:dyDescent="0.25">
      <c r="A63" s="105" t="s">
        <v>1492</v>
      </c>
    </row>
    <row r="64" spans="1:1" x14ac:dyDescent="0.25">
      <c r="A64" s="105" t="s">
        <v>1499</v>
      </c>
    </row>
    <row r="65" spans="1:1" x14ac:dyDescent="0.25">
      <c r="A65" s="105" t="s">
        <v>1494</v>
      </c>
    </row>
    <row r="66" spans="1:1" x14ac:dyDescent="0.25">
      <c r="A66" s="105" t="s">
        <v>1481</v>
      </c>
    </row>
    <row r="67" spans="1:1" x14ac:dyDescent="0.25">
      <c r="A67" s="105"/>
    </row>
    <row r="68" spans="1:1" x14ac:dyDescent="0.25">
      <c r="A68" s="105" t="s">
        <v>1500</v>
      </c>
    </row>
    <row r="69" spans="1:1" x14ac:dyDescent="0.25">
      <c r="A69" s="105" t="s">
        <v>1501</v>
      </c>
    </row>
    <row r="70" spans="1:1" x14ac:dyDescent="0.25">
      <c r="A70" s="105" t="s">
        <v>1502</v>
      </c>
    </row>
    <row r="71" spans="1:1" x14ac:dyDescent="0.25">
      <c r="A71" s="105" t="s">
        <v>1503</v>
      </c>
    </row>
    <row r="72" spans="1:1" x14ac:dyDescent="0.25">
      <c r="A72" s="105" t="s">
        <v>1492</v>
      </c>
    </row>
    <row r="73" spans="1:1" x14ac:dyDescent="0.25">
      <c r="A73" s="105" t="s">
        <v>1504</v>
      </c>
    </row>
    <row r="74" spans="1:1" x14ac:dyDescent="0.25">
      <c r="A74" s="105" t="s">
        <v>1494</v>
      </c>
    </row>
    <row r="75" spans="1:1" x14ac:dyDescent="0.25">
      <c r="A75" s="105" t="s">
        <v>1505</v>
      </c>
    </row>
    <row r="76" spans="1:1" x14ac:dyDescent="0.25">
      <c r="A76" s="105" t="s">
        <v>1506</v>
      </c>
    </row>
    <row r="77" spans="1:1" x14ac:dyDescent="0.25">
      <c r="A77" s="105" t="s">
        <v>1504</v>
      </c>
    </row>
    <row r="78" spans="1:1" x14ac:dyDescent="0.25">
      <c r="A78" s="105" t="s">
        <v>1481</v>
      </c>
    </row>
    <row r="79" spans="1:1" x14ac:dyDescent="0.25">
      <c r="A79" s="105"/>
    </row>
    <row r="80" spans="1:1" x14ac:dyDescent="0.25">
      <c r="A80" s="105" t="s">
        <v>1507</v>
      </c>
    </row>
    <row r="81" spans="1:1" x14ac:dyDescent="0.25">
      <c r="A81" s="105" t="s">
        <v>1474</v>
      </c>
    </row>
    <row r="82" spans="1:1" x14ac:dyDescent="0.25">
      <c r="A82" s="105" t="s">
        <v>1484</v>
      </c>
    </row>
    <row r="83" spans="1:1" x14ac:dyDescent="0.25">
      <c r="A83" s="105" t="s">
        <v>1508</v>
      </c>
    </row>
    <row r="84" spans="1:1" x14ac:dyDescent="0.25">
      <c r="A84" s="105" t="s">
        <v>1481</v>
      </c>
    </row>
    <row r="85" spans="1:1" x14ac:dyDescent="0.25">
      <c r="A85" s="105"/>
    </row>
    <row r="86" spans="1:1" x14ac:dyDescent="0.25">
      <c r="A86" s="105" t="s">
        <v>1509</v>
      </c>
    </row>
    <row r="87" spans="1:1" x14ac:dyDescent="0.25">
      <c r="A87" s="105" t="s">
        <v>1510</v>
      </c>
    </row>
    <row r="88" spans="1:1" x14ac:dyDescent="0.25">
      <c r="A88" s="105" t="s">
        <v>1511</v>
      </c>
    </row>
    <row r="89" spans="1:1" x14ac:dyDescent="0.25">
      <c r="A89" s="105" t="s">
        <v>1512</v>
      </c>
    </row>
    <row r="90" spans="1:1" x14ac:dyDescent="0.25">
      <c r="A90" s="105" t="s">
        <v>1513</v>
      </c>
    </row>
    <row r="91" spans="1:1" x14ac:dyDescent="0.25">
      <c r="A91" s="105" t="s">
        <v>1514</v>
      </c>
    </row>
    <row r="92" spans="1:1" x14ac:dyDescent="0.25">
      <c r="A92" s="105" t="s">
        <v>1515</v>
      </c>
    </row>
    <row r="93" spans="1:1" x14ac:dyDescent="0.25">
      <c r="A93" s="105" t="s">
        <v>1481</v>
      </c>
    </row>
    <row r="94" spans="1:1" x14ac:dyDescent="0.25">
      <c r="A94" s="105"/>
    </row>
    <row r="95" spans="1:1" x14ac:dyDescent="0.25">
      <c r="A95" s="105" t="s">
        <v>1516</v>
      </c>
    </row>
    <row r="96" spans="1:1" x14ac:dyDescent="0.25">
      <c r="A96" s="105" t="s">
        <v>1510</v>
      </c>
    </row>
    <row r="97" spans="1:1" x14ac:dyDescent="0.25">
      <c r="A97" s="105" t="s">
        <v>1517</v>
      </c>
    </row>
    <row r="98" spans="1:1" x14ac:dyDescent="0.25">
      <c r="A98" s="105" t="s">
        <v>1481</v>
      </c>
    </row>
    <row r="99" spans="1:1" x14ac:dyDescent="0.25">
      <c r="A99" s="105"/>
    </row>
    <row r="100" spans="1:1" x14ac:dyDescent="0.25">
      <c r="A100" s="105" t="s">
        <v>1518</v>
      </c>
    </row>
    <row r="101" spans="1:1" x14ac:dyDescent="0.25">
      <c r="A101" s="105" t="s">
        <v>1519</v>
      </c>
    </row>
    <row r="102" spans="1:1" x14ac:dyDescent="0.25">
      <c r="A102" s="105" t="s">
        <v>1520</v>
      </c>
    </row>
    <row r="103" spans="1:1" x14ac:dyDescent="0.25">
      <c r="A103" s="105" t="s">
        <v>1521</v>
      </c>
    </row>
    <row r="104" spans="1:1" x14ac:dyDescent="0.25">
      <c r="A104" s="105" t="s">
        <v>1522</v>
      </c>
    </row>
    <row r="105" spans="1:1" x14ac:dyDescent="0.25">
      <c r="A105" s="105" t="s">
        <v>1523</v>
      </c>
    </row>
    <row r="106" spans="1:1" x14ac:dyDescent="0.25">
      <c r="A106" s="105"/>
    </row>
    <row r="107" spans="1:1" x14ac:dyDescent="0.25">
      <c r="A107" s="105" t="s">
        <v>1524</v>
      </c>
    </row>
    <row r="108" spans="1:1" x14ac:dyDescent="0.25">
      <c r="A108" s="105" t="s">
        <v>1525</v>
      </c>
    </row>
    <row r="109" spans="1:1" x14ac:dyDescent="0.25">
      <c r="A109" s="105" t="s">
        <v>1526</v>
      </c>
    </row>
    <row r="110" spans="1:1" x14ac:dyDescent="0.25">
      <c r="A110" s="105" t="s">
        <v>1527</v>
      </c>
    </row>
    <row r="111" spans="1:1" x14ac:dyDescent="0.25">
      <c r="A111" s="105" t="s">
        <v>1528</v>
      </c>
    </row>
    <row r="112" spans="1:1" x14ac:dyDescent="0.25">
      <c r="A112" s="105" t="s">
        <v>1529</v>
      </c>
    </row>
    <row r="113" spans="1:1" x14ac:dyDescent="0.25">
      <c r="A113" s="105" t="s">
        <v>1530</v>
      </c>
    </row>
    <row r="114" spans="1:1" x14ac:dyDescent="0.25">
      <c r="A114" s="105" t="s">
        <v>1531</v>
      </c>
    </row>
    <row r="115" spans="1:1" x14ac:dyDescent="0.25">
      <c r="A115" s="105" t="s">
        <v>1532</v>
      </c>
    </row>
    <row r="116" spans="1:1" x14ac:dyDescent="0.25">
      <c r="A116" s="105"/>
    </row>
    <row r="117" spans="1:1" x14ac:dyDescent="0.25">
      <c r="A117" s="105" t="s">
        <v>1533</v>
      </c>
    </row>
    <row r="118" spans="1:1" x14ac:dyDescent="0.25">
      <c r="A118" s="105"/>
    </row>
    <row r="119" spans="1:1" x14ac:dyDescent="0.25">
      <c r="A119" s="105" t="s">
        <v>1534</v>
      </c>
    </row>
    <row r="120" spans="1:1" x14ac:dyDescent="0.25">
      <c r="A120" s="105" t="s">
        <v>1535</v>
      </c>
    </row>
    <row r="121" spans="1:1" x14ac:dyDescent="0.25">
      <c r="A121" s="105" t="s">
        <v>1536</v>
      </c>
    </row>
    <row r="122" spans="1:1" x14ac:dyDescent="0.25">
      <c r="A122" s="105"/>
    </row>
    <row r="123" spans="1:1" x14ac:dyDescent="0.25">
      <c r="A123" s="105" t="s">
        <v>1537</v>
      </c>
    </row>
    <row r="124" spans="1:1" x14ac:dyDescent="0.25">
      <c r="A124" s="105" t="s">
        <v>1538</v>
      </c>
    </row>
    <row r="125" spans="1:1" x14ac:dyDescent="0.25">
      <c r="A125" s="105" t="s">
        <v>1539</v>
      </c>
    </row>
    <row r="126" spans="1:1" x14ac:dyDescent="0.25">
      <c r="A126" s="105" t="s">
        <v>1540</v>
      </c>
    </row>
    <row r="127" spans="1:1" x14ac:dyDescent="0.25">
      <c r="A127" s="105" t="s">
        <v>1541</v>
      </c>
    </row>
    <row r="128" spans="1:1" x14ac:dyDescent="0.25">
      <c r="A128" s="105"/>
    </row>
    <row r="129" spans="1:1" x14ac:dyDescent="0.25">
      <c r="A129" s="105" t="s">
        <v>1542</v>
      </c>
    </row>
    <row r="130" spans="1:1" x14ac:dyDescent="0.25">
      <c r="A130" s="105" t="s">
        <v>1543</v>
      </c>
    </row>
    <row r="131" spans="1:1" x14ac:dyDescent="0.25">
      <c r="A131" s="105" t="s">
        <v>1544</v>
      </c>
    </row>
    <row r="132" spans="1:1" x14ac:dyDescent="0.25">
      <c r="A132" s="105" t="s">
        <v>1545</v>
      </c>
    </row>
    <row r="133" spans="1:1" x14ac:dyDescent="0.25">
      <c r="A133" s="105" t="s">
        <v>1546</v>
      </c>
    </row>
    <row r="134" spans="1:1" x14ac:dyDescent="0.25">
      <c r="A134" s="105"/>
    </row>
    <row r="135" spans="1:1" x14ac:dyDescent="0.25">
      <c r="A135" s="105" t="s">
        <v>1547</v>
      </c>
    </row>
    <row r="136" spans="1:1" x14ac:dyDescent="0.25">
      <c r="A136" s="105"/>
    </row>
    <row r="137" spans="1:1" x14ac:dyDescent="0.25">
      <c r="A137" s="105" t="s">
        <v>1548</v>
      </c>
    </row>
    <row r="138" spans="1:1" x14ac:dyDescent="0.25">
      <c r="A138" s="105" t="s">
        <v>1549</v>
      </c>
    </row>
    <row r="139" spans="1:1" x14ac:dyDescent="0.25">
      <c r="A139" s="105" t="s">
        <v>1550</v>
      </c>
    </row>
    <row r="140" spans="1:1" x14ac:dyDescent="0.25">
      <c r="A140" s="105" t="s">
        <v>1551</v>
      </c>
    </row>
    <row r="141" spans="1:1" x14ac:dyDescent="0.25">
      <c r="A141" s="105" t="s">
        <v>1548</v>
      </c>
    </row>
    <row r="142" spans="1:1" x14ac:dyDescent="0.25">
      <c r="A142" s="105" t="s">
        <v>1552</v>
      </c>
    </row>
    <row r="143" spans="1:1" x14ac:dyDescent="0.25">
      <c r="A143" s="105" t="s">
        <v>1553</v>
      </c>
    </row>
    <row r="144" spans="1:1" x14ac:dyDescent="0.25">
      <c r="A144" s="105" t="s">
        <v>1554</v>
      </c>
    </row>
    <row r="145" spans="1:1" x14ac:dyDescent="0.25">
      <c r="A145" s="105" t="s">
        <v>1555</v>
      </c>
    </row>
    <row r="146" spans="1:1" x14ac:dyDescent="0.25">
      <c r="A146" s="105" t="s">
        <v>1556</v>
      </c>
    </row>
    <row r="147" spans="1:1" x14ac:dyDescent="0.25">
      <c r="A147" s="105" t="s">
        <v>1494</v>
      </c>
    </row>
    <row r="148" spans="1:1" x14ac:dyDescent="0.25">
      <c r="A148" s="105"/>
    </row>
    <row r="149" spans="1:1" x14ac:dyDescent="0.25">
      <c r="A149" s="105" t="s">
        <v>1557</v>
      </c>
    </row>
    <row r="150" spans="1:1" x14ac:dyDescent="0.25">
      <c r="A150" s="105" t="s">
        <v>1558</v>
      </c>
    </row>
    <row r="151" spans="1:1" x14ac:dyDescent="0.25">
      <c r="A151" s="105" t="s">
        <v>1559</v>
      </c>
    </row>
    <row r="152" spans="1:1" x14ac:dyDescent="0.25">
      <c r="A152" s="105" t="s">
        <v>1494</v>
      </c>
    </row>
    <row r="153" spans="1:1" x14ac:dyDescent="0.25">
      <c r="A153" s="105" t="s">
        <v>1560</v>
      </c>
    </row>
    <row r="154" spans="1:1" x14ac:dyDescent="0.25">
      <c r="A154" s="105"/>
    </row>
    <row r="155" spans="1:1" x14ac:dyDescent="0.25">
      <c r="A155" s="105" t="s">
        <v>1548</v>
      </c>
    </row>
    <row r="156" spans="1:1" x14ac:dyDescent="0.25">
      <c r="A156" s="105" t="s">
        <v>1561</v>
      </c>
    </row>
    <row r="157" spans="1:1" x14ac:dyDescent="0.25">
      <c r="A157" s="105" t="s">
        <v>1562</v>
      </c>
    </row>
    <row r="158" spans="1:1" x14ac:dyDescent="0.25">
      <c r="A158" s="105" t="s">
        <v>1563</v>
      </c>
    </row>
    <row r="159" spans="1:1" x14ac:dyDescent="0.25">
      <c r="A159" s="105" t="s">
        <v>1564</v>
      </c>
    </row>
    <row r="160" spans="1:1" x14ac:dyDescent="0.25">
      <c r="A160" s="105" t="s">
        <v>1565</v>
      </c>
    </row>
    <row r="161" spans="1:1" x14ac:dyDescent="0.25">
      <c r="A161" s="105" t="s">
        <v>1548</v>
      </c>
    </row>
    <row r="162" spans="1:1" x14ac:dyDescent="0.25">
      <c r="A162" s="105" t="s">
        <v>1566</v>
      </c>
    </row>
    <row r="163" spans="1:1" x14ac:dyDescent="0.25">
      <c r="A163" s="105" t="s">
        <v>1567</v>
      </c>
    </row>
    <row r="164" spans="1:1" x14ac:dyDescent="0.25">
      <c r="A164" s="105" t="s">
        <v>1568</v>
      </c>
    </row>
    <row r="165" spans="1:1" x14ac:dyDescent="0.25">
      <c r="A165" s="105" t="s">
        <v>1569</v>
      </c>
    </row>
    <row r="166" spans="1:1" x14ac:dyDescent="0.25">
      <c r="A166" s="105" t="s">
        <v>1570</v>
      </c>
    </row>
    <row r="167" spans="1:1" x14ac:dyDescent="0.25">
      <c r="A167" s="105" t="s">
        <v>1571</v>
      </c>
    </row>
    <row r="168" spans="1:1" x14ac:dyDescent="0.25">
      <c r="A168" s="105" t="s">
        <v>1572</v>
      </c>
    </row>
    <row r="169" spans="1:1" x14ac:dyDescent="0.25">
      <c r="A169" s="105" t="s">
        <v>1573</v>
      </c>
    </row>
    <row r="170" spans="1:1" x14ac:dyDescent="0.25">
      <c r="A170" s="105" t="s">
        <v>1574</v>
      </c>
    </row>
    <row r="171" spans="1:1" x14ac:dyDescent="0.25">
      <c r="A171" s="105" t="s">
        <v>1494</v>
      </c>
    </row>
    <row r="172" spans="1:1" x14ac:dyDescent="0.25">
      <c r="A172" s="105" t="s">
        <v>1575</v>
      </c>
    </row>
    <row r="173" spans="1:1" x14ac:dyDescent="0.25">
      <c r="A173" s="105"/>
    </row>
    <row r="174" spans="1:1" x14ac:dyDescent="0.25">
      <c r="A174" s="105" t="s">
        <v>1576</v>
      </c>
    </row>
    <row r="175" spans="1:1" x14ac:dyDescent="0.25">
      <c r="A175" s="105" t="s">
        <v>1577</v>
      </c>
    </row>
    <row r="176" spans="1:1" x14ac:dyDescent="0.25">
      <c r="A176" s="105" t="s">
        <v>1578</v>
      </c>
    </row>
    <row r="177" spans="1:1" x14ac:dyDescent="0.25">
      <c r="A177" s="105" t="s">
        <v>1579</v>
      </c>
    </row>
    <row r="178" spans="1:1" x14ac:dyDescent="0.25">
      <c r="A178" s="105" t="s">
        <v>1580</v>
      </c>
    </row>
    <row r="179" spans="1:1" x14ac:dyDescent="0.25">
      <c r="A179" s="105" t="s">
        <v>1494</v>
      </c>
    </row>
    <row r="180" spans="1:1" x14ac:dyDescent="0.25">
      <c r="A180" s="105" t="s">
        <v>1581</v>
      </c>
    </row>
    <row r="181" spans="1:1" x14ac:dyDescent="0.25">
      <c r="A181" s="105" t="s">
        <v>1494</v>
      </c>
    </row>
    <row r="182" spans="1:1" x14ac:dyDescent="0.25">
      <c r="A182" s="105" t="s">
        <v>1494</v>
      </c>
    </row>
    <row r="183" spans="1:1" x14ac:dyDescent="0.25">
      <c r="A183" s="105" t="s">
        <v>1560</v>
      </c>
    </row>
    <row r="184" spans="1:1" x14ac:dyDescent="0.25">
      <c r="A184" s="105"/>
    </row>
    <row r="185" spans="1:1" x14ac:dyDescent="0.25">
      <c r="A185" s="105" t="s">
        <v>1548</v>
      </c>
    </row>
    <row r="186" spans="1:1" x14ac:dyDescent="0.25">
      <c r="A186" s="105" t="s">
        <v>1582</v>
      </c>
    </row>
    <row r="187" spans="1:1" x14ac:dyDescent="0.25">
      <c r="A187" s="105" t="s">
        <v>1583</v>
      </c>
    </row>
    <row r="188" spans="1:1" x14ac:dyDescent="0.25">
      <c r="A188" s="105" t="s">
        <v>1584</v>
      </c>
    </row>
    <row r="189" spans="1:1" x14ac:dyDescent="0.25">
      <c r="A189" s="105" t="s">
        <v>1585</v>
      </c>
    </row>
    <row r="190" spans="1:1" x14ac:dyDescent="0.25">
      <c r="A190" s="105" t="s">
        <v>1586</v>
      </c>
    </row>
    <row r="191" spans="1:1" x14ac:dyDescent="0.25">
      <c r="A191" s="105" t="s">
        <v>1587</v>
      </c>
    </row>
    <row r="192" spans="1:1" x14ac:dyDescent="0.25">
      <c r="A192" s="105" t="s">
        <v>1588</v>
      </c>
    </row>
    <row r="193" spans="1:1" x14ac:dyDescent="0.25">
      <c r="A193" s="105" t="s">
        <v>1589</v>
      </c>
    </row>
    <row r="194" spans="1:1" x14ac:dyDescent="0.25">
      <c r="A194" s="105" t="s">
        <v>1548</v>
      </c>
    </row>
    <row r="195" spans="1:1" x14ac:dyDescent="0.25">
      <c r="A195" s="105" t="s">
        <v>1590</v>
      </c>
    </row>
    <row r="196" spans="1:1" x14ac:dyDescent="0.25">
      <c r="A196" s="105" t="s">
        <v>1591</v>
      </c>
    </row>
    <row r="197" spans="1:1" x14ac:dyDescent="0.25">
      <c r="A197" s="105" t="s">
        <v>1592</v>
      </c>
    </row>
    <row r="198" spans="1:1" x14ac:dyDescent="0.25">
      <c r="A198" s="105" t="s">
        <v>1593</v>
      </c>
    </row>
    <row r="199" spans="1:1" x14ac:dyDescent="0.25">
      <c r="A199" s="105" t="s">
        <v>1594</v>
      </c>
    </row>
    <row r="200" spans="1:1" x14ac:dyDescent="0.25">
      <c r="A200" s="105" t="s">
        <v>1595</v>
      </c>
    </row>
    <row r="201" spans="1:1" x14ac:dyDescent="0.25">
      <c r="A201" s="105"/>
    </row>
    <row r="202" spans="1:1" x14ac:dyDescent="0.25">
      <c r="A202" s="105" t="s">
        <v>1596</v>
      </c>
    </row>
    <row r="203" spans="1:1" x14ac:dyDescent="0.25">
      <c r="A203" s="105" t="s">
        <v>1597</v>
      </c>
    </row>
    <row r="204" spans="1:1" x14ac:dyDescent="0.25">
      <c r="A204" s="105" t="s">
        <v>1598</v>
      </c>
    </row>
    <row r="205" spans="1:1" x14ac:dyDescent="0.25">
      <c r="A205" s="105" t="s">
        <v>1599</v>
      </c>
    </row>
    <row r="206" spans="1:1" x14ac:dyDescent="0.25">
      <c r="A206" s="105" t="s">
        <v>1494</v>
      </c>
    </row>
    <row r="207" spans="1:1" x14ac:dyDescent="0.25">
      <c r="A207" s="105" t="s">
        <v>1494</v>
      </c>
    </row>
    <row r="208" spans="1:1" x14ac:dyDescent="0.25">
      <c r="A208" s="105" t="s">
        <v>1494</v>
      </c>
    </row>
    <row r="209" spans="1:1" x14ac:dyDescent="0.25">
      <c r="A209" s="105" t="s">
        <v>1560</v>
      </c>
    </row>
    <row r="210" spans="1:1" x14ac:dyDescent="0.25">
      <c r="A210" s="105"/>
    </row>
    <row r="211" spans="1:1" x14ac:dyDescent="0.25">
      <c r="A211" s="105" t="s">
        <v>1548</v>
      </c>
    </row>
    <row r="212" spans="1:1" x14ac:dyDescent="0.25">
      <c r="A212" s="105" t="s">
        <v>1600</v>
      </c>
    </row>
    <row r="213" spans="1:1" x14ac:dyDescent="0.25">
      <c r="A213" s="105" t="s">
        <v>1601</v>
      </c>
    </row>
    <row r="214" spans="1:1" x14ac:dyDescent="0.25">
      <c r="A214" s="105" t="s">
        <v>1584</v>
      </c>
    </row>
    <row r="215" spans="1:1" x14ac:dyDescent="0.25">
      <c r="A215" s="105" t="s">
        <v>1602</v>
      </c>
    </row>
    <row r="216" spans="1:1" x14ac:dyDescent="0.25">
      <c r="A216" s="105" t="s">
        <v>1587</v>
      </c>
    </row>
    <row r="217" spans="1:1" x14ac:dyDescent="0.25">
      <c r="A217" s="105" t="s">
        <v>1548</v>
      </c>
    </row>
    <row r="218" spans="1:1" x14ac:dyDescent="0.25">
      <c r="A218" s="105" t="s">
        <v>1603</v>
      </c>
    </row>
    <row r="219" spans="1:1" x14ac:dyDescent="0.25">
      <c r="A219" s="105" t="s">
        <v>1604</v>
      </c>
    </row>
    <row r="220" spans="1:1" x14ac:dyDescent="0.25">
      <c r="A220" s="105" t="s">
        <v>1605</v>
      </c>
    </row>
    <row r="221" spans="1:1" x14ac:dyDescent="0.25">
      <c r="A221" s="105" t="s">
        <v>1606</v>
      </c>
    </row>
    <row r="222" spans="1:1" x14ac:dyDescent="0.25">
      <c r="A222" s="105" t="s">
        <v>1607</v>
      </c>
    </row>
    <row r="223" spans="1:1" x14ac:dyDescent="0.25">
      <c r="A223" s="105"/>
    </row>
    <row r="224" spans="1:1" x14ac:dyDescent="0.25">
      <c r="A224" s="105" t="s">
        <v>1596</v>
      </c>
    </row>
    <row r="225" spans="1:1" x14ac:dyDescent="0.25">
      <c r="A225" s="105" t="s">
        <v>1608</v>
      </c>
    </row>
    <row r="226" spans="1:1" x14ac:dyDescent="0.25">
      <c r="A226" s="105" t="s">
        <v>1494</v>
      </c>
    </row>
    <row r="227" spans="1:1" x14ac:dyDescent="0.25">
      <c r="A227" s="105" t="s">
        <v>1560</v>
      </c>
    </row>
    <row r="228" spans="1:1" x14ac:dyDescent="0.25">
      <c r="A228" s="105"/>
    </row>
    <row r="229" spans="1:1" x14ac:dyDescent="0.25">
      <c r="A229" s="105" t="s">
        <v>1548</v>
      </c>
    </row>
    <row r="230" spans="1:1" x14ac:dyDescent="0.25">
      <c r="A230" s="105" t="s">
        <v>1609</v>
      </c>
    </row>
    <row r="231" spans="1:1" x14ac:dyDescent="0.25">
      <c r="A231" s="105" t="s">
        <v>1610</v>
      </c>
    </row>
    <row r="232" spans="1:1" x14ac:dyDescent="0.25">
      <c r="A232" s="105" t="s">
        <v>1548</v>
      </c>
    </row>
    <row r="233" spans="1:1" x14ac:dyDescent="0.25">
      <c r="A233" s="105" t="s">
        <v>1611</v>
      </c>
    </row>
    <row r="234" spans="1:1" x14ac:dyDescent="0.25">
      <c r="A234" s="105"/>
    </row>
    <row r="235" spans="1:1" x14ac:dyDescent="0.25">
      <c r="A235" s="105" t="s">
        <v>1612</v>
      </c>
    </row>
    <row r="236" spans="1:1" x14ac:dyDescent="0.25">
      <c r="A236" s="105" t="s">
        <v>1613</v>
      </c>
    </row>
    <row r="237" spans="1:1" x14ac:dyDescent="0.25">
      <c r="A237" s="105" t="s">
        <v>1614</v>
      </c>
    </row>
    <row r="238" spans="1:1" x14ac:dyDescent="0.25">
      <c r="A238" s="105" t="s">
        <v>1615</v>
      </c>
    </row>
    <row r="239" spans="1:1" x14ac:dyDescent="0.25">
      <c r="A239" s="105"/>
    </row>
    <row r="240" spans="1:1" x14ac:dyDescent="0.25">
      <c r="A240" s="105" t="s">
        <v>1616</v>
      </c>
    </row>
    <row r="241" spans="1:1" x14ac:dyDescent="0.25">
      <c r="A241" s="105" t="s">
        <v>1617</v>
      </c>
    </row>
    <row r="242" spans="1:1" x14ac:dyDescent="0.25">
      <c r="A242" s="105" t="s">
        <v>1569</v>
      </c>
    </row>
    <row r="243" spans="1:1" x14ac:dyDescent="0.25">
      <c r="A243" s="105" t="s">
        <v>1618</v>
      </c>
    </row>
    <row r="244" spans="1:1" x14ac:dyDescent="0.25">
      <c r="A244" s="105" t="s">
        <v>1619</v>
      </c>
    </row>
    <row r="245" spans="1:1" x14ac:dyDescent="0.25">
      <c r="A245" s="105"/>
    </row>
    <row r="246" spans="1:1" x14ac:dyDescent="0.25">
      <c r="A246" s="105" t="s">
        <v>1620</v>
      </c>
    </row>
    <row r="247" spans="1:1" x14ac:dyDescent="0.25">
      <c r="A247" s="105" t="s">
        <v>1621</v>
      </c>
    </row>
    <row r="248" spans="1:1" x14ac:dyDescent="0.25">
      <c r="A248" s="105" t="s">
        <v>1622</v>
      </c>
    </row>
    <row r="249" spans="1:1" x14ac:dyDescent="0.25">
      <c r="A249" s="105"/>
    </row>
    <row r="250" spans="1:1" x14ac:dyDescent="0.25">
      <c r="A250" s="105" t="s">
        <v>1623</v>
      </c>
    </row>
    <row r="251" spans="1:1" x14ac:dyDescent="0.25">
      <c r="A251" s="105"/>
    </row>
    <row r="252" spans="1:1" x14ac:dyDescent="0.25">
      <c r="A252" s="105" t="s">
        <v>1624</v>
      </c>
    </row>
    <row r="253" spans="1:1" x14ac:dyDescent="0.25">
      <c r="A253" s="105" t="s">
        <v>1625</v>
      </c>
    </row>
    <row r="254" spans="1:1" x14ac:dyDescent="0.25">
      <c r="A254" s="105" t="s">
        <v>1626</v>
      </c>
    </row>
    <row r="255" spans="1:1" x14ac:dyDescent="0.25">
      <c r="A255" s="105" t="s">
        <v>1627</v>
      </c>
    </row>
    <row r="256" spans="1:1" x14ac:dyDescent="0.25">
      <c r="A256" s="105"/>
    </row>
    <row r="257" spans="1:1" x14ac:dyDescent="0.25">
      <c r="A257" s="105" t="s">
        <v>1628</v>
      </c>
    </row>
    <row r="258" spans="1:1" x14ac:dyDescent="0.25">
      <c r="A258" s="105" t="s">
        <v>1629</v>
      </c>
    </row>
    <row r="259" spans="1:1" x14ac:dyDescent="0.25">
      <c r="A259" s="105" t="s">
        <v>1630</v>
      </c>
    </row>
    <row r="260" spans="1:1" x14ac:dyDescent="0.25">
      <c r="A260" s="105" t="s">
        <v>1631</v>
      </c>
    </row>
    <row r="261" spans="1:1" x14ac:dyDescent="0.25">
      <c r="A261" s="105" t="s">
        <v>1632</v>
      </c>
    </row>
    <row r="262" spans="1:1" x14ac:dyDescent="0.25">
      <c r="A262" s="105" t="s">
        <v>1494</v>
      </c>
    </row>
    <row r="263" spans="1:1" x14ac:dyDescent="0.25">
      <c r="A263" s="105" t="s">
        <v>1560</v>
      </c>
    </row>
    <row r="264" spans="1:1" x14ac:dyDescent="0.25">
      <c r="A264" s="105"/>
    </row>
    <row r="265" spans="1:1" x14ac:dyDescent="0.25">
      <c r="A265" s="105" t="s">
        <v>1633</v>
      </c>
    </row>
    <row r="266" spans="1:1" x14ac:dyDescent="0.25">
      <c r="A266" s="105" t="s">
        <v>1634</v>
      </c>
    </row>
    <row r="267" spans="1:1" x14ac:dyDescent="0.25">
      <c r="A267" s="105" t="s">
        <v>1635</v>
      </c>
    </row>
    <row r="268" spans="1:1" x14ac:dyDescent="0.25">
      <c r="A268" s="105" t="s">
        <v>1636</v>
      </c>
    </row>
    <row r="269" spans="1:1" x14ac:dyDescent="0.25">
      <c r="A269" s="105" t="s">
        <v>1637</v>
      </c>
    </row>
    <row r="270" spans="1:1" x14ac:dyDescent="0.25">
      <c r="A270" s="105" t="s">
        <v>1638</v>
      </c>
    </row>
    <row r="271" spans="1:1" x14ac:dyDescent="0.25">
      <c r="A271" s="105" t="s">
        <v>1639</v>
      </c>
    </row>
    <row r="272" spans="1:1" x14ac:dyDescent="0.25">
      <c r="A272" s="105"/>
    </row>
    <row r="273" spans="1:1" x14ac:dyDescent="0.25">
      <c r="A273" s="105" t="s">
        <v>1640</v>
      </c>
    </row>
    <row r="274" spans="1:1" x14ac:dyDescent="0.25">
      <c r="A274" s="105" t="s">
        <v>1641</v>
      </c>
    </row>
    <row r="275" spans="1:1" x14ac:dyDescent="0.25">
      <c r="A275" s="105"/>
    </row>
    <row r="276" spans="1:1" x14ac:dyDescent="0.25">
      <c r="A276" s="105" t="s">
        <v>1642</v>
      </c>
    </row>
    <row r="277" spans="1:1" x14ac:dyDescent="0.25">
      <c r="A277" s="105" t="s">
        <v>1643</v>
      </c>
    </row>
    <row r="278" spans="1:1" x14ac:dyDescent="0.25">
      <c r="A278" s="105"/>
    </row>
    <row r="279" spans="1:1" x14ac:dyDescent="0.25">
      <c r="A279" s="105" t="s">
        <v>1644</v>
      </c>
    </row>
    <row r="280" spans="1:1" x14ac:dyDescent="0.25">
      <c r="A280" s="105" t="s">
        <v>1645</v>
      </c>
    </row>
    <row r="281" spans="1:1" x14ac:dyDescent="0.25">
      <c r="A281" s="105" t="s">
        <v>1646</v>
      </c>
    </row>
    <row r="282" spans="1:1" x14ac:dyDescent="0.25">
      <c r="A282" s="105" t="s">
        <v>1647</v>
      </c>
    </row>
    <row r="283" spans="1:1" x14ac:dyDescent="0.25">
      <c r="A283" s="105"/>
    </row>
    <row r="284" spans="1:1" x14ac:dyDescent="0.25">
      <c r="A284" s="105" t="s">
        <v>1648</v>
      </c>
    </row>
    <row r="285" spans="1:1" x14ac:dyDescent="0.25">
      <c r="A285" s="105" t="s">
        <v>1640</v>
      </c>
    </row>
    <row r="286" spans="1:1" x14ac:dyDescent="0.25">
      <c r="A286" s="105" t="s">
        <v>1649</v>
      </c>
    </row>
    <row r="287" spans="1:1" x14ac:dyDescent="0.25">
      <c r="A287" s="105" t="s">
        <v>1650</v>
      </c>
    </row>
    <row r="288" spans="1:1" x14ac:dyDescent="0.25">
      <c r="A288" s="105" t="s">
        <v>1523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35"/>
  <dimension ref="A1:N42"/>
  <sheetViews>
    <sheetView workbookViewId="0">
      <selection sqref="A1:H1"/>
    </sheetView>
  </sheetViews>
  <sheetFormatPr defaultRowHeight="15" x14ac:dyDescent="0.25"/>
  <cols>
    <col min="1" max="1" width="20" customWidth="1"/>
    <col min="2" max="2" width="13" customWidth="1"/>
    <col min="3" max="3" width="32" customWidth="1"/>
    <col min="4" max="4" width="12" customWidth="1"/>
    <col min="5" max="5" width="21" customWidth="1"/>
    <col min="6" max="6" width="37" customWidth="1"/>
    <col min="7" max="7" width="30" customWidth="1"/>
    <col min="8" max="8" width="12" customWidth="1"/>
    <col min="9" max="9" width="14" customWidth="1"/>
    <col min="10" max="10" width="16" customWidth="1"/>
    <col min="11" max="11" width="34" customWidth="1"/>
    <col min="12" max="12" width="40" customWidth="1"/>
    <col min="13" max="14" width="28" customWidth="1"/>
  </cols>
  <sheetData>
    <row r="1" spans="1:14" ht="18.75" x14ac:dyDescent="0.25">
      <c r="A1" s="386" t="s">
        <v>1703</v>
      </c>
      <c r="B1" s="386"/>
      <c r="C1" s="386"/>
      <c r="D1" s="386"/>
      <c r="E1" s="386"/>
      <c r="F1" s="386"/>
      <c r="G1" s="386"/>
      <c r="H1" s="386"/>
      <c r="I1" s="277"/>
      <c r="J1" s="277"/>
      <c r="K1" s="277"/>
      <c r="L1" s="277"/>
      <c r="M1" s="269"/>
      <c r="N1" s="269"/>
    </row>
    <row r="2" spans="1:14" x14ac:dyDescent="0.25">
      <c r="A2" s="460" t="s">
        <v>1704</v>
      </c>
      <c r="B2" s="460"/>
      <c r="C2" s="460"/>
      <c r="D2" s="460"/>
      <c r="E2" s="460"/>
      <c r="F2" s="460"/>
      <c r="G2" s="460"/>
      <c r="H2" s="460"/>
      <c r="I2" s="278"/>
      <c r="J2" s="278"/>
      <c r="K2" s="278"/>
      <c r="L2" s="278"/>
      <c r="M2" s="270"/>
      <c r="N2" s="270"/>
    </row>
    <row r="4" spans="1:14" x14ac:dyDescent="0.25">
      <c r="A4" s="461" t="s">
        <v>1705</v>
      </c>
      <c r="B4" s="461" t="s">
        <v>1706</v>
      </c>
      <c r="C4" s="461" t="s">
        <v>1707</v>
      </c>
      <c r="D4" s="461" t="s">
        <v>1386</v>
      </c>
      <c r="E4" s="461" t="s">
        <v>1708</v>
      </c>
      <c r="F4" s="461" t="s">
        <v>1709</v>
      </c>
      <c r="G4" s="461" t="s">
        <v>567</v>
      </c>
      <c r="H4" s="461" t="s">
        <v>510</v>
      </c>
      <c r="I4" s="461" t="s">
        <v>1710</v>
      </c>
      <c r="J4" s="461" t="s">
        <v>1711</v>
      </c>
      <c r="K4" s="461" t="s">
        <v>1712</v>
      </c>
      <c r="L4" s="461" t="s">
        <v>1713</v>
      </c>
      <c r="M4" s="272" t="s">
        <v>1714</v>
      </c>
      <c r="N4" s="272" t="s">
        <v>53</v>
      </c>
    </row>
    <row r="5" spans="1:14" x14ac:dyDescent="0.25">
      <c r="A5" s="263">
        <v>1</v>
      </c>
      <c r="B5" s="263" t="s">
        <v>1715</v>
      </c>
      <c r="C5" s="263" t="s">
        <v>238</v>
      </c>
      <c r="D5" s="263" t="s">
        <v>1716</v>
      </c>
      <c r="E5" s="263">
        <v>3</v>
      </c>
      <c r="F5" s="263" t="s">
        <v>1717</v>
      </c>
      <c r="G5" s="263" t="s">
        <v>1718</v>
      </c>
      <c r="H5" s="263" t="s">
        <v>401</v>
      </c>
      <c r="I5" s="263">
        <v>4</v>
      </c>
      <c r="J5" s="263">
        <v>8</v>
      </c>
      <c r="K5" s="263" t="s">
        <v>1719</v>
      </c>
      <c r="L5" s="263" t="s">
        <v>1720</v>
      </c>
      <c r="M5" t="s">
        <v>1721</v>
      </c>
      <c r="N5" t="s">
        <v>1722</v>
      </c>
    </row>
    <row r="6" spans="1:14" x14ac:dyDescent="0.25">
      <c r="A6">
        <v>2</v>
      </c>
      <c r="B6" t="s">
        <v>1723</v>
      </c>
      <c r="C6" t="s">
        <v>247</v>
      </c>
      <c r="D6" t="s">
        <v>1716</v>
      </c>
      <c r="E6">
        <v>3</v>
      </c>
      <c r="F6" t="s">
        <v>1717</v>
      </c>
      <c r="G6" t="s">
        <v>1724</v>
      </c>
      <c r="H6" t="s">
        <v>399</v>
      </c>
      <c r="I6">
        <v>4</v>
      </c>
      <c r="J6">
        <v>8</v>
      </c>
      <c r="K6" t="s">
        <v>1719</v>
      </c>
      <c r="L6" t="s">
        <v>1720</v>
      </c>
      <c r="M6" t="s">
        <v>1721</v>
      </c>
      <c r="N6" t="s">
        <v>1722</v>
      </c>
    </row>
    <row r="7" spans="1:14" x14ac:dyDescent="0.25">
      <c r="A7">
        <v>3</v>
      </c>
      <c r="B7" t="s">
        <v>1725</v>
      </c>
      <c r="C7" t="s">
        <v>248</v>
      </c>
      <c r="D7" t="s">
        <v>1726</v>
      </c>
      <c r="E7">
        <v>3</v>
      </c>
      <c r="F7" t="s">
        <v>1717</v>
      </c>
      <c r="G7" t="s">
        <v>1727</v>
      </c>
      <c r="H7" t="s">
        <v>397</v>
      </c>
      <c r="I7">
        <v>4</v>
      </c>
      <c r="J7">
        <v>8</v>
      </c>
      <c r="K7" t="s">
        <v>1719</v>
      </c>
      <c r="L7" t="s">
        <v>1728</v>
      </c>
      <c r="M7" t="s">
        <v>1721</v>
      </c>
      <c r="N7" t="s">
        <v>1722</v>
      </c>
    </row>
    <row r="8" spans="1:14" x14ac:dyDescent="0.25">
      <c r="A8">
        <v>4</v>
      </c>
      <c r="B8" t="s">
        <v>1729</v>
      </c>
      <c r="C8" t="s">
        <v>241</v>
      </c>
      <c r="D8" t="s">
        <v>1716</v>
      </c>
      <c r="E8">
        <v>3</v>
      </c>
      <c r="F8" t="s">
        <v>1717</v>
      </c>
      <c r="G8" t="s">
        <v>1718</v>
      </c>
      <c r="H8" t="s">
        <v>401</v>
      </c>
      <c r="I8">
        <v>4</v>
      </c>
      <c r="J8">
        <v>8</v>
      </c>
      <c r="K8" t="s">
        <v>1719</v>
      </c>
      <c r="L8" t="s">
        <v>1720</v>
      </c>
      <c r="M8" t="s">
        <v>1721</v>
      </c>
      <c r="N8" t="s">
        <v>1722</v>
      </c>
    </row>
    <row r="9" spans="1:14" x14ac:dyDescent="0.25">
      <c r="A9">
        <v>5</v>
      </c>
      <c r="B9" t="s">
        <v>1730</v>
      </c>
      <c r="C9" t="s">
        <v>243</v>
      </c>
      <c r="D9" t="s">
        <v>1726</v>
      </c>
      <c r="E9">
        <v>3</v>
      </c>
      <c r="F9" t="s">
        <v>1717</v>
      </c>
      <c r="G9" t="s">
        <v>1727</v>
      </c>
      <c r="H9" t="s">
        <v>397</v>
      </c>
      <c r="I9">
        <v>4</v>
      </c>
      <c r="J9">
        <v>8</v>
      </c>
      <c r="K9" t="s">
        <v>1719</v>
      </c>
      <c r="L9" t="s">
        <v>1728</v>
      </c>
      <c r="M9" t="s">
        <v>1721</v>
      </c>
      <c r="N9" t="s">
        <v>1722</v>
      </c>
    </row>
    <row r="10" spans="1:14" x14ac:dyDescent="0.25">
      <c r="A10" s="240">
        <v>6</v>
      </c>
      <c r="B10" s="240" t="s">
        <v>1731</v>
      </c>
      <c r="C10" s="240" t="s">
        <v>244</v>
      </c>
      <c r="D10" s="240" t="s">
        <v>1716</v>
      </c>
      <c r="E10" s="240">
        <v>3</v>
      </c>
      <c r="F10" s="240" t="s">
        <v>1717</v>
      </c>
      <c r="G10" s="240" t="s">
        <v>1718</v>
      </c>
      <c r="H10" s="240" t="s">
        <v>401</v>
      </c>
      <c r="I10" s="240">
        <v>4</v>
      </c>
      <c r="J10" s="240">
        <v>8</v>
      </c>
      <c r="K10" s="240" t="s">
        <v>1719</v>
      </c>
      <c r="L10" s="240" t="s">
        <v>1720</v>
      </c>
      <c r="M10" t="s">
        <v>1721</v>
      </c>
      <c r="N10" t="s">
        <v>1722</v>
      </c>
    </row>
    <row r="11" spans="1:14" x14ac:dyDescent="0.25">
      <c r="A11">
        <v>7</v>
      </c>
      <c r="B11" t="s">
        <v>1732</v>
      </c>
      <c r="C11" t="s">
        <v>245</v>
      </c>
      <c r="D11" t="s">
        <v>1726</v>
      </c>
      <c r="E11">
        <v>3</v>
      </c>
      <c r="F11" t="s">
        <v>1717</v>
      </c>
      <c r="G11" t="s">
        <v>1727</v>
      </c>
      <c r="H11" t="s">
        <v>397</v>
      </c>
      <c r="I11">
        <v>4</v>
      </c>
      <c r="J11">
        <v>8</v>
      </c>
      <c r="K11" t="s">
        <v>1719</v>
      </c>
      <c r="L11" t="s">
        <v>1728</v>
      </c>
      <c r="M11" t="s">
        <v>1721</v>
      </c>
      <c r="N11" t="s">
        <v>1722</v>
      </c>
    </row>
    <row r="12" spans="1:14" x14ac:dyDescent="0.25">
      <c r="A12">
        <v>8</v>
      </c>
      <c r="B12" t="s">
        <v>1733</v>
      </c>
      <c r="C12" t="s">
        <v>244</v>
      </c>
      <c r="D12" t="s">
        <v>1716</v>
      </c>
      <c r="E12">
        <v>3</v>
      </c>
      <c r="F12" t="s">
        <v>1717</v>
      </c>
      <c r="G12" t="s">
        <v>1718</v>
      </c>
      <c r="H12" t="s">
        <v>401</v>
      </c>
      <c r="I12">
        <v>4</v>
      </c>
      <c r="J12">
        <v>8</v>
      </c>
      <c r="K12" t="s">
        <v>1719</v>
      </c>
      <c r="L12" t="s">
        <v>1720</v>
      </c>
      <c r="M12" t="s">
        <v>1721</v>
      </c>
      <c r="N12" t="s">
        <v>1722</v>
      </c>
    </row>
    <row r="13" spans="1:14" x14ac:dyDescent="0.25">
      <c r="A13" s="462">
        <v>9</v>
      </c>
      <c r="B13" s="462" t="s">
        <v>1734</v>
      </c>
      <c r="C13" s="462" t="s">
        <v>243</v>
      </c>
      <c r="D13" s="462" t="s">
        <v>1726</v>
      </c>
      <c r="E13" s="462">
        <v>3</v>
      </c>
      <c r="F13" s="462" t="s">
        <v>1717</v>
      </c>
      <c r="G13" s="462" t="s">
        <v>1727</v>
      </c>
      <c r="H13" s="462" t="s">
        <v>397</v>
      </c>
      <c r="I13" s="462">
        <v>4</v>
      </c>
      <c r="J13" s="462">
        <v>8</v>
      </c>
      <c r="K13" s="462" t="s">
        <v>1719</v>
      </c>
      <c r="L13" s="462" t="s">
        <v>1728</v>
      </c>
      <c r="M13" t="s">
        <v>1721</v>
      </c>
      <c r="N13" t="s">
        <v>1722</v>
      </c>
    </row>
    <row r="14" spans="1:14" x14ac:dyDescent="0.25">
      <c r="A14" s="268">
        <v>10</v>
      </c>
      <c r="B14" s="268" t="s">
        <v>1735</v>
      </c>
      <c r="C14" s="268" t="s">
        <v>241</v>
      </c>
      <c r="D14" s="268" t="s">
        <v>1716</v>
      </c>
      <c r="E14" s="268">
        <v>3</v>
      </c>
      <c r="F14" s="268" t="s">
        <v>1717</v>
      </c>
      <c r="G14" s="268" t="s">
        <v>1718</v>
      </c>
      <c r="H14" s="268" t="s">
        <v>401</v>
      </c>
      <c r="I14" s="263">
        <v>4</v>
      </c>
      <c r="J14" s="263">
        <v>8</v>
      </c>
      <c r="K14" s="263" t="s">
        <v>1719</v>
      </c>
      <c r="L14" s="263" t="s">
        <v>1720</v>
      </c>
      <c r="M14" t="s">
        <v>1721</v>
      </c>
      <c r="N14" t="s">
        <v>1722</v>
      </c>
    </row>
    <row r="15" spans="1:14" x14ac:dyDescent="0.25">
      <c r="A15">
        <v>11</v>
      </c>
      <c r="B15" t="s">
        <v>1736</v>
      </c>
      <c r="C15" t="s">
        <v>248</v>
      </c>
      <c r="D15" t="s">
        <v>1726</v>
      </c>
      <c r="E15">
        <v>3</v>
      </c>
      <c r="F15" t="s">
        <v>1717</v>
      </c>
      <c r="G15" t="s">
        <v>1727</v>
      </c>
      <c r="H15" t="s">
        <v>397</v>
      </c>
      <c r="I15">
        <v>4</v>
      </c>
      <c r="J15">
        <v>8</v>
      </c>
      <c r="K15" t="s">
        <v>1719</v>
      </c>
      <c r="L15" t="s">
        <v>1728</v>
      </c>
      <c r="M15" t="s">
        <v>1721</v>
      </c>
      <c r="N15" t="s">
        <v>1722</v>
      </c>
    </row>
    <row r="16" spans="1:14" x14ac:dyDescent="0.25">
      <c r="A16">
        <v>12</v>
      </c>
      <c r="B16" t="s">
        <v>1737</v>
      </c>
      <c r="C16" t="s">
        <v>247</v>
      </c>
      <c r="D16" t="s">
        <v>1716</v>
      </c>
      <c r="E16">
        <v>3</v>
      </c>
      <c r="F16" t="s">
        <v>1717</v>
      </c>
      <c r="G16" t="s">
        <v>1724</v>
      </c>
      <c r="H16" t="s">
        <v>399</v>
      </c>
      <c r="I16">
        <v>4</v>
      </c>
      <c r="J16">
        <v>8</v>
      </c>
      <c r="K16" t="s">
        <v>1719</v>
      </c>
      <c r="L16" t="s">
        <v>1720</v>
      </c>
      <c r="M16" t="s">
        <v>1721</v>
      </c>
      <c r="N16" t="s">
        <v>1722</v>
      </c>
    </row>
    <row r="17" spans="1:14" x14ac:dyDescent="0.25">
      <c r="A17" s="240">
        <v>13</v>
      </c>
      <c r="B17" s="240" t="s">
        <v>1738</v>
      </c>
      <c r="C17" s="240" t="s">
        <v>238</v>
      </c>
      <c r="D17" s="240" t="s">
        <v>1716</v>
      </c>
      <c r="E17" s="240">
        <v>3</v>
      </c>
      <c r="F17" s="240" t="s">
        <v>1717</v>
      </c>
      <c r="G17" s="240" t="s">
        <v>1718</v>
      </c>
      <c r="H17" s="240" t="s">
        <v>401</v>
      </c>
      <c r="I17" s="240">
        <v>4</v>
      </c>
      <c r="J17" s="240">
        <v>8</v>
      </c>
      <c r="K17" s="240" t="s">
        <v>1719</v>
      </c>
      <c r="L17" s="240" t="s">
        <v>1720</v>
      </c>
      <c r="M17" s="240" t="s">
        <v>1721</v>
      </c>
      <c r="N17" s="240" t="s">
        <v>1722</v>
      </c>
    </row>
    <row r="20" spans="1:14" x14ac:dyDescent="0.25">
      <c r="A20" s="464" t="s">
        <v>1739</v>
      </c>
      <c r="B20" s="464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5"/>
      <c r="N20" s="465"/>
    </row>
    <row r="22" spans="1:14" x14ac:dyDescent="0.25">
      <c r="A22" s="279" t="s">
        <v>1740</v>
      </c>
      <c r="B22" s="279" t="s">
        <v>510</v>
      </c>
      <c r="C22" s="279" t="s">
        <v>511</v>
      </c>
      <c r="D22" s="279" t="s">
        <v>627</v>
      </c>
      <c r="E22" s="279" t="s">
        <v>1741</v>
      </c>
      <c r="F22" s="279" t="s">
        <v>1742</v>
      </c>
    </row>
    <row r="23" spans="1:14" x14ac:dyDescent="0.25">
      <c r="A23" t="s">
        <v>1743</v>
      </c>
      <c r="B23" t="s">
        <v>427</v>
      </c>
      <c r="C23" t="s">
        <v>1744</v>
      </c>
      <c r="D23">
        <v>1</v>
      </c>
      <c r="E23" t="s">
        <v>1745</v>
      </c>
      <c r="F23" t="s">
        <v>1746</v>
      </c>
    </row>
    <row r="24" spans="1:14" x14ac:dyDescent="0.25">
      <c r="A24" t="s">
        <v>1743</v>
      </c>
      <c r="B24" t="s">
        <v>373</v>
      </c>
      <c r="C24" t="s">
        <v>1747</v>
      </c>
      <c r="D24">
        <v>1</v>
      </c>
      <c r="E24" t="s">
        <v>1745</v>
      </c>
      <c r="F24" t="s">
        <v>1746</v>
      </c>
    </row>
    <row r="25" spans="1:14" x14ac:dyDescent="0.25">
      <c r="A25" t="s">
        <v>1748</v>
      </c>
      <c r="B25" t="s">
        <v>425</v>
      </c>
      <c r="C25" t="s">
        <v>1749</v>
      </c>
      <c r="D25">
        <v>4</v>
      </c>
      <c r="E25" t="s">
        <v>1750</v>
      </c>
      <c r="F25" t="s">
        <v>1751</v>
      </c>
    </row>
    <row r="26" spans="1:14" x14ac:dyDescent="0.25">
      <c r="A26" t="s">
        <v>1748</v>
      </c>
      <c r="B26" t="s">
        <v>369</v>
      </c>
      <c r="C26" t="s">
        <v>1752</v>
      </c>
      <c r="D26">
        <v>4</v>
      </c>
      <c r="E26" t="s">
        <v>1750</v>
      </c>
      <c r="F26" t="s">
        <v>1751</v>
      </c>
    </row>
    <row r="27" spans="1:14" x14ac:dyDescent="0.25">
      <c r="A27" s="240" t="s">
        <v>1753</v>
      </c>
      <c r="B27" s="240" t="s">
        <v>1754</v>
      </c>
      <c r="C27" s="240" t="s">
        <v>1755</v>
      </c>
      <c r="D27" s="240">
        <v>4</v>
      </c>
      <c r="E27" s="240" t="s">
        <v>1756</v>
      </c>
      <c r="F27" s="240" t="s">
        <v>1751</v>
      </c>
    </row>
    <row r="29" spans="1:14" x14ac:dyDescent="0.25">
      <c r="A29" s="466"/>
      <c r="B29" s="466"/>
      <c r="C29" s="466"/>
      <c r="D29" s="466"/>
      <c r="E29" s="466"/>
      <c r="F29" s="466"/>
      <c r="G29" s="466"/>
      <c r="H29" s="466"/>
      <c r="I29" s="466"/>
      <c r="J29" s="466"/>
      <c r="K29" s="466"/>
      <c r="L29" s="466"/>
      <c r="M29" s="465"/>
      <c r="N29" s="465"/>
    </row>
    <row r="31" spans="1:14" x14ac:dyDescent="0.25">
      <c r="M31" t="s">
        <v>1757</v>
      </c>
      <c r="N31" t="s">
        <v>1758</v>
      </c>
    </row>
    <row r="32" spans="1:14" x14ac:dyDescent="0.25">
      <c r="A32" s="463"/>
      <c r="B32" s="463"/>
      <c r="C32" s="463"/>
      <c r="D32" s="463"/>
      <c r="E32" s="463"/>
      <c r="F32" s="463"/>
      <c r="G32" s="463"/>
      <c r="H32" s="463"/>
      <c r="I32" s="463"/>
      <c r="J32" s="463"/>
      <c r="K32" s="463"/>
      <c r="L32" s="463"/>
      <c r="M32" t="s">
        <v>1757</v>
      </c>
      <c r="N32" t="s">
        <v>1758</v>
      </c>
    </row>
    <row r="33" spans="1:14" x14ac:dyDescent="0.25">
      <c r="A33" s="267"/>
      <c r="B33" s="267"/>
      <c r="C33" s="267"/>
      <c r="D33" s="267"/>
      <c r="M33" t="s">
        <v>1757</v>
      </c>
      <c r="N33" t="s">
        <v>1758</v>
      </c>
    </row>
    <row r="34" spans="1:14" x14ac:dyDescent="0.25">
      <c r="M34" t="s">
        <v>1757</v>
      </c>
      <c r="N34" t="s">
        <v>1759</v>
      </c>
    </row>
    <row r="38" spans="1:14" x14ac:dyDescent="0.25">
      <c r="A38" s="240"/>
      <c r="B38" s="240"/>
      <c r="C38" s="240"/>
      <c r="D38" s="240"/>
    </row>
    <row r="40" spans="1:14" x14ac:dyDescent="0.25">
      <c r="A40" s="267"/>
      <c r="B40" s="267"/>
      <c r="C40" s="267"/>
      <c r="D40" s="267"/>
    </row>
    <row r="42" spans="1:14" x14ac:dyDescent="0.25">
      <c r="A42" s="240"/>
      <c r="B42" s="240"/>
      <c r="C42" s="240"/>
      <c r="D42" s="240"/>
    </row>
  </sheetData>
  <mergeCells count="7">
    <mergeCell ref="A1:H1"/>
    <mergeCell ref="A2:H2"/>
    <mergeCell ref="A4:L4"/>
    <mergeCell ref="A13:L13"/>
    <mergeCell ref="A32:L32"/>
    <mergeCell ref="A20:N20"/>
    <mergeCell ref="A29:N29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36" filterMode="1"/>
  <dimension ref="A1:Q134"/>
  <sheetViews>
    <sheetView workbookViewId="0">
      <selection activeCell="E3" sqref="E1:E1048576"/>
    </sheetView>
  </sheetViews>
  <sheetFormatPr defaultRowHeight="15" x14ac:dyDescent="0.25"/>
  <cols>
    <col min="1" max="1" width="8" customWidth="1"/>
    <col min="2" max="3" width="9" customWidth="1"/>
    <col min="4" max="4" width="17" customWidth="1"/>
    <col min="5" max="5" width="22" customWidth="1"/>
    <col min="6" max="6" width="13" customWidth="1"/>
    <col min="7" max="7" width="10" customWidth="1"/>
    <col min="8" max="10" width="18" customWidth="1"/>
    <col min="11" max="11" width="16" customWidth="1"/>
    <col min="12" max="12" width="15" customWidth="1"/>
    <col min="13" max="13" width="31" customWidth="1"/>
    <col min="14" max="14" width="14" customWidth="1"/>
    <col min="15" max="15" width="19" customWidth="1"/>
    <col min="16" max="16" width="20" customWidth="1"/>
    <col min="17" max="17" width="34" customWidth="1"/>
  </cols>
  <sheetData>
    <row r="1" spans="1:17" ht="18.75" x14ac:dyDescent="0.25">
      <c r="A1" s="387" t="s">
        <v>1760</v>
      </c>
      <c r="B1" s="387"/>
      <c r="C1" s="387"/>
      <c r="D1" s="387"/>
      <c r="E1" s="387"/>
      <c r="F1" s="387"/>
      <c r="G1" s="387"/>
      <c r="H1" s="387"/>
      <c r="I1" s="387"/>
      <c r="J1" s="387"/>
      <c r="K1" s="269"/>
      <c r="L1" s="269"/>
      <c r="M1" s="269"/>
      <c r="N1" s="269"/>
      <c r="O1" s="269"/>
      <c r="P1" s="269"/>
      <c r="Q1" s="269"/>
    </row>
    <row r="2" spans="1:17" x14ac:dyDescent="0.25">
      <c r="A2" s="388" t="s">
        <v>1761</v>
      </c>
      <c r="B2" s="388"/>
      <c r="C2" s="388"/>
      <c r="D2" s="388"/>
      <c r="E2" s="388"/>
      <c r="F2" s="388"/>
      <c r="G2" s="388"/>
      <c r="H2" s="388"/>
      <c r="I2" s="388"/>
      <c r="J2" s="388"/>
      <c r="K2" s="270"/>
      <c r="L2" s="270"/>
      <c r="M2" s="270"/>
      <c r="N2" s="270"/>
      <c r="O2" s="270"/>
      <c r="P2" s="270"/>
      <c r="Q2" s="270"/>
    </row>
    <row r="4" spans="1:17" ht="27" x14ac:dyDescent="0.25">
      <c r="A4" s="282" t="s">
        <v>1762</v>
      </c>
      <c r="B4" s="282" t="s">
        <v>1706</v>
      </c>
      <c r="C4" s="282" t="s">
        <v>102</v>
      </c>
      <c r="D4" s="282" t="s">
        <v>1386</v>
      </c>
      <c r="E4" s="282" t="s">
        <v>1763</v>
      </c>
      <c r="F4" s="282" t="s">
        <v>1373</v>
      </c>
      <c r="G4" s="282" t="s">
        <v>1764</v>
      </c>
      <c r="H4" s="282" t="s">
        <v>1765</v>
      </c>
      <c r="I4" s="282" t="s">
        <v>1766</v>
      </c>
      <c r="J4" s="282" t="s">
        <v>1767</v>
      </c>
      <c r="K4" s="282" t="s">
        <v>1768</v>
      </c>
      <c r="L4" s="282" t="s">
        <v>1769</v>
      </c>
      <c r="M4" s="282" t="s">
        <v>567</v>
      </c>
      <c r="N4" s="282" t="s">
        <v>1770</v>
      </c>
      <c r="O4" s="282" t="s">
        <v>1771</v>
      </c>
      <c r="P4" s="282" t="s">
        <v>1772</v>
      </c>
      <c r="Q4" s="272" t="s">
        <v>53</v>
      </c>
    </row>
    <row r="5" spans="1:17" hidden="1" x14ac:dyDescent="0.25">
      <c r="A5">
        <v>10</v>
      </c>
      <c r="B5" t="s">
        <v>1715</v>
      </c>
      <c r="C5" t="s">
        <v>238</v>
      </c>
      <c r="D5" t="s">
        <v>1716</v>
      </c>
      <c r="E5" t="s">
        <v>1773</v>
      </c>
      <c r="F5" s="274" t="s">
        <v>76</v>
      </c>
      <c r="G5" s="264">
        <f t="shared" ref="G5:G36" si="0">IF(F5="SIM",1,0)</f>
        <v>0</v>
      </c>
      <c r="H5" t="str">
        <f t="shared" ref="H5:H36" si="1">IF(F5="SIM","PROCESSADA","PENDENTE")</f>
        <v>PENDENTE</v>
      </c>
      <c r="I5">
        <v>3</v>
      </c>
      <c r="J5" s="274">
        <v>3</v>
      </c>
      <c r="K5">
        <f t="shared" ref="K5:K36" si="2">I5+J5</f>
        <v>6</v>
      </c>
      <c r="L5" t="s">
        <v>401</v>
      </c>
      <c r="M5" t="s">
        <v>1718</v>
      </c>
      <c r="N5">
        <v>4</v>
      </c>
      <c r="O5">
        <f t="shared" ref="O5:O36" si="3">I5*N5</f>
        <v>12</v>
      </c>
      <c r="P5">
        <f t="shared" ref="P5:P36" si="4">K5*N5</f>
        <v>24</v>
      </c>
      <c r="Q5" t="s">
        <v>1774</v>
      </c>
    </row>
    <row r="6" spans="1:17" hidden="1" x14ac:dyDescent="0.25">
      <c r="A6">
        <v>10</v>
      </c>
      <c r="B6" t="s">
        <v>1723</v>
      </c>
      <c r="C6" t="s">
        <v>247</v>
      </c>
      <c r="D6" t="s">
        <v>1716</v>
      </c>
      <c r="E6" t="s">
        <v>1775</v>
      </c>
      <c r="F6" s="274" t="s">
        <v>76</v>
      </c>
      <c r="G6" s="264">
        <f t="shared" si="0"/>
        <v>0</v>
      </c>
      <c r="H6" t="str">
        <f t="shared" si="1"/>
        <v>PENDENTE</v>
      </c>
      <c r="I6">
        <v>3</v>
      </c>
      <c r="J6" s="274">
        <v>3</v>
      </c>
      <c r="K6">
        <f t="shared" si="2"/>
        <v>6</v>
      </c>
      <c r="L6" t="s">
        <v>399</v>
      </c>
      <c r="M6" t="s">
        <v>1724</v>
      </c>
      <c r="N6">
        <v>4</v>
      </c>
      <c r="O6">
        <f t="shared" si="3"/>
        <v>12</v>
      </c>
      <c r="P6">
        <f t="shared" si="4"/>
        <v>24</v>
      </c>
      <c r="Q6" t="s">
        <v>1774</v>
      </c>
    </row>
    <row r="7" spans="1:17" hidden="1" x14ac:dyDescent="0.25">
      <c r="A7">
        <v>10</v>
      </c>
      <c r="B7" t="s">
        <v>1725</v>
      </c>
      <c r="C7" t="s">
        <v>248</v>
      </c>
      <c r="D7" t="s">
        <v>1726</v>
      </c>
      <c r="E7" t="s">
        <v>1776</v>
      </c>
      <c r="F7" s="274" t="s">
        <v>76</v>
      </c>
      <c r="G7" s="264">
        <f t="shared" si="0"/>
        <v>0</v>
      </c>
      <c r="H7" t="str">
        <f t="shared" si="1"/>
        <v>PENDENTE</v>
      </c>
      <c r="I7">
        <v>3</v>
      </c>
      <c r="J7" s="274">
        <v>3</v>
      </c>
      <c r="K7">
        <f t="shared" si="2"/>
        <v>6</v>
      </c>
      <c r="L7" t="s">
        <v>397</v>
      </c>
      <c r="M7" t="s">
        <v>1727</v>
      </c>
      <c r="N7">
        <v>4</v>
      </c>
      <c r="O7">
        <f t="shared" si="3"/>
        <v>12</v>
      </c>
      <c r="P7">
        <f t="shared" si="4"/>
        <v>24</v>
      </c>
      <c r="Q7" t="s">
        <v>1774</v>
      </c>
    </row>
    <row r="8" spans="1:17" hidden="1" x14ac:dyDescent="0.25">
      <c r="A8">
        <v>10</v>
      </c>
      <c r="B8" t="s">
        <v>1729</v>
      </c>
      <c r="C8" t="s">
        <v>241</v>
      </c>
      <c r="D8" t="s">
        <v>1716</v>
      </c>
      <c r="E8" t="s">
        <v>1777</v>
      </c>
      <c r="F8" s="274" t="s">
        <v>76</v>
      </c>
      <c r="G8" s="264">
        <f t="shared" si="0"/>
        <v>0</v>
      </c>
      <c r="H8" t="str">
        <f t="shared" si="1"/>
        <v>PENDENTE</v>
      </c>
      <c r="I8">
        <v>3</v>
      </c>
      <c r="J8" s="274">
        <v>3</v>
      </c>
      <c r="K8">
        <f t="shared" si="2"/>
        <v>6</v>
      </c>
      <c r="L8" t="s">
        <v>401</v>
      </c>
      <c r="M8" t="s">
        <v>1718</v>
      </c>
      <c r="N8">
        <v>4</v>
      </c>
      <c r="O8">
        <f t="shared" si="3"/>
        <v>12</v>
      </c>
      <c r="P8">
        <f t="shared" si="4"/>
        <v>24</v>
      </c>
      <c r="Q8" t="s">
        <v>1774</v>
      </c>
    </row>
    <row r="9" spans="1:17" hidden="1" x14ac:dyDescent="0.25">
      <c r="A9">
        <v>10</v>
      </c>
      <c r="B9" t="s">
        <v>1730</v>
      </c>
      <c r="C9" t="s">
        <v>243</v>
      </c>
      <c r="D9" t="s">
        <v>1726</v>
      </c>
      <c r="E9" t="s">
        <v>1778</v>
      </c>
      <c r="F9" s="274" t="s">
        <v>76</v>
      </c>
      <c r="G9" s="264">
        <f t="shared" si="0"/>
        <v>0</v>
      </c>
      <c r="H9" t="str">
        <f t="shared" si="1"/>
        <v>PENDENTE</v>
      </c>
      <c r="I9">
        <v>3</v>
      </c>
      <c r="J9" s="274">
        <v>3</v>
      </c>
      <c r="K9">
        <f t="shared" si="2"/>
        <v>6</v>
      </c>
      <c r="L9" t="s">
        <v>397</v>
      </c>
      <c r="M9" t="s">
        <v>1727</v>
      </c>
      <c r="N9">
        <v>4</v>
      </c>
      <c r="O9">
        <f t="shared" si="3"/>
        <v>12</v>
      </c>
      <c r="P9">
        <f t="shared" si="4"/>
        <v>24</v>
      </c>
      <c r="Q9" t="s">
        <v>1774</v>
      </c>
    </row>
    <row r="10" spans="1:17" hidden="1" x14ac:dyDescent="0.25">
      <c r="A10">
        <v>10</v>
      </c>
      <c r="B10" t="s">
        <v>1731</v>
      </c>
      <c r="C10" t="s">
        <v>244</v>
      </c>
      <c r="D10" t="s">
        <v>1716</v>
      </c>
      <c r="E10" t="s">
        <v>1779</v>
      </c>
      <c r="F10" s="274" t="s">
        <v>76</v>
      </c>
      <c r="G10" s="264">
        <f t="shared" si="0"/>
        <v>0</v>
      </c>
      <c r="H10" t="str">
        <f t="shared" si="1"/>
        <v>PENDENTE</v>
      </c>
      <c r="I10">
        <v>3</v>
      </c>
      <c r="J10" s="274">
        <v>3</v>
      </c>
      <c r="K10">
        <f t="shared" si="2"/>
        <v>6</v>
      </c>
      <c r="L10" t="s">
        <v>401</v>
      </c>
      <c r="M10" t="s">
        <v>1718</v>
      </c>
      <c r="N10">
        <v>4</v>
      </c>
      <c r="O10">
        <f t="shared" si="3"/>
        <v>12</v>
      </c>
      <c r="P10">
        <f t="shared" si="4"/>
        <v>24</v>
      </c>
      <c r="Q10" t="s">
        <v>1774</v>
      </c>
    </row>
    <row r="11" spans="1:17" hidden="1" x14ac:dyDescent="0.25">
      <c r="A11">
        <v>10</v>
      </c>
      <c r="B11" t="s">
        <v>1732</v>
      </c>
      <c r="C11" t="s">
        <v>245</v>
      </c>
      <c r="D11" t="s">
        <v>1726</v>
      </c>
      <c r="E11" t="s">
        <v>1780</v>
      </c>
      <c r="F11" s="274" t="s">
        <v>76</v>
      </c>
      <c r="G11" s="264">
        <f t="shared" si="0"/>
        <v>0</v>
      </c>
      <c r="H11" t="str">
        <f t="shared" si="1"/>
        <v>PENDENTE</v>
      </c>
      <c r="I11">
        <v>3</v>
      </c>
      <c r="J11" s="274">
        <v>3</v>
      </c>
      <c r="K11">
        <f t="shared" si="2"/>
        <v>6</v>
      </c>
      <c r="L11" t="s">
        <v>397</v>
      </c>
      <c r="M11" t="s">
        <v>1727</v>
      </c>
      <c r="N11">
        <v>4</v>
      </c>
      <c r="O11">
        <f t="shared" si="3"/>
        <v>12</v>
      </c>
      <c r="P11">
        <f t="shared" si="4"/>
        <v>24</v>
      </c>
      <c r="Q11" t="s">
        <v>1774</v>
      </c>
    </row>
    <row r="12" spans="1:17" hidden="1" x14ac:dyDescent="0.25">
      <c r="A12">
        <v>10</v>
      </c>
      <c r="B12" t="s">
        <v>1733</v>
      </c>
      <c r="C12" t="s">
        <v>244</v>
      </c>
      <c r="D12" t="s">
        <v>1716</v>
      </c>
      <c r="E12" t="s">
        <v>1781</v>
      </c>
      <c r="F12" s="274" t="s">
        <v>76</v>
      </c>
      <c r="G12" s="264">
        <f t="shared" si="0"/>
        <v>0</v>
      </c>
      <c r="H12" t="str">
        <f t="shared" si="1"/>
        <v>PENDENTE</v>
      </c>
      <c r="I12">
        <v>3</v>
      </c>
      <c r="J12" s="274">
        <v>3</v>
      </c>
      <c r="K12">
        <f t="shared" si="2"/>
        <v>6</v>
      </c>
      <c r="L12" t="s">
        <v>401</v>
      </c>
      <c r="M12" t="s">
        <v>1718</v>
      </c>
      <c r="N12">
        <v>4</v>
      </c>
      <c r="O12">
        <f t="shared" si="3"/>
        <v>12</v>
      </c>
      <c r="P12">
        <f t="shared" si="4"/>
        <v>24</v>
      </c>
      <c r="Q12" t="s">
        <v>1774</v>
      </c>
    </row>
    <row r="13" spans="1:17" hidden="1" x14ac:dyDescent="0.25">
      <c r="A13">
        <v>10</v>
      </c>
      <c r="B13" t="s">
        <v>1734</v>
      </c>
      <c r="C13" t="s">
        <v>243</v>
      </c>
      <c r="D13" t="s">
        <v>1726</v>
      </c>
      <c r="E13" t="s">
        <v>1782</v>
      </c>
      <c r="F13" s="274" t="s">
        <v>76</v>
      </c>
      <c r="G13" s="264">
        <f t="shared" si="0"/>
        <v>0</v>
      </c>
      <c r="H13" t="str">
        <f t="shared" si="1"/>
        <v>PENDENTE</v>
      </c>
      <c r="I13">
        <v>3</v>
      </c>
      <c r="J13" s="274">
        <v>3</v>
      </c>
      <c r="K13">
        <f t="shared" si="2"/>
        <v>6</v>
      </c>
      <c r="L13" t="s">
        <v>397</v>
      </c>
      <c r="M13" t="s">
        <v>1727</v>
      </c>
      <c r="N13">
        <v>4</v>
      </c>
      <c r="O13">
        <f t="shared" si="3"/>
        <v>12</v>
      </c>
      <c r="P13">
        <f t="shared" si="4"/>
        <v>24</v>
      </c>
      <c r="Q13" t="s">
        <v>1774</v>
      </c>
    </row>
    <row r="14" spans="1:17" hidden="1" x14ac:dyDescent="0.25">
      <c r="A14">
        <v>10</v>
      </c>
      <c r="B14" t="s">
        <v>1735</v>
      </c>
      <c r="C14" t="s">
        <v>241</v>
      </c>
      <c r="D14" t="s">
        <v>1716</v>
      </c>
      <c r="E14" t="s">
        <v>1783</v>
      </c>
      <c r="F14" s="274" t="s">
        <v>76</v>
      </c>
      <c r="G14" s="264">
        <f t="shared" si="0"/>
        <v>0</v>
      </c>
      <c r="H14" t="str">
        <f t="shared" si="1"/>
        <v>PENDENTE</v>
      </c>
      <c r="I14">
        <v>3</v>
      </c>
      <c r="J14" s="274">
        <v>3</v>
      </c>
      <c r="K14">
        <f t="shared" si="2"/>
        <v>6</v>
      </c>
      <c r="L14" t="s">
        <v>401</v>
      </c>
      <c r="M14" t="s">
        <v>1718</v>
      </c>
      <c r="N14">
        <v>4</v>
      </c>
      <c r="O14">
        <f t="shared" si="3"/>
        <v>12</v>
      </c>
      <c r="P14">
        <f t="shared" si="4"/>
        <v>24</v>
      </c>
      <c r="Q14" t="s">
        <v>1774</v>
      </c>
    </row>
    <row r="15" spans="1:17" hidden="1" x14ac:dyDescent="0.25">
      <c r="A15">
        <v>10</v>
      </c>
      <c r="B15" t="s">
        <v>1736</v>
      </c>
      <c r="C15" t="s">
        <v>248</v>
      </c>
      <c r="D15" t="s">
        <v>1726</v>
      </c>
      <c r="E15" t="s">
        <v>1784</v>
      </c>
      <c r="F15" s="274" t="s">
        <v>76</v>
      </c>
      <c r="G15" s="264">
        <f t="shared" si="0"/>
        <v>0</v>
      </c>
      <c r="H15" t="str">
        <f t="shared" si="1"/>
        <v>PENDENTE</v>
      </c>
      <c r="I15">
        <v>3</v>
      </c>
      <c r="J15" s="274">
        <v>3</v>
      </c>
      <c r="K15">
        <f t="shared" si="2"/>
        <v>6</v>
      </c>
      <c r="L15" t="s">
        <v>397</v>
      </c>
      <c r="M15" t="s">
        <v>1727</v>
      </c>
      <c r="N15">
        <v>4</v>
      </c>
      <c r="O15">
        <f t="shared" si="3"/>
        <v>12</v>
      </c>
      <c r="P15">
        <f t="shared" si="4"/>
        <v>24</v>
      </c>
      <c r="Q15" t="s">
        <v>1774</v>
      </c>
    </row>
    <row r="16" spans="1:17" hidden="1" x14ac:dyDescent="0.25">
      <c r="A16">
        <v>10</v>
      </c>
      <c r="B16" t="s">
        <v>1737</v>
      </c>
      <c r="C16" t="s">
        <v>247</v>
      </c>
      <c r="D16" t="s">
        <v>1716</v>
      </c>
      <c r="E16" t="s">
        <v>1785</v>
      </c>
      <c r="F16" s="274" t="s">
        <v>76</v>
      </c>
      <c r="G16" s="264">
        <f t="shared" si="0"/>
        <v>0</v>
      </c>
      <c r="H16" t="str">
        <f t="shared" si="1"/>
        <v>PENDENTE</v>
      </c>
      <c r="I16">
        <v>3</v>
      </c>
      <c r="J16" s="274">
        <v>3</v>
      </c>
      <c r="K16">
        <f t="shared" si="2"/>
        <v>6</v>
      </c>
      <c r="L16" t="s">
        <v>399</v>
      </c>
      <c r="M16" t="s">
        <v>1724</v>
      </c>
      <c r="N16">
        <v>4</v>
      </c>
      <c r="O16">
        <f t="shared" si="3"/>
        <v>12</v>
      </c>
      <c r="P16">
        <f t="shared" si="4"/>
        <v>24</v>
      </c>
      <c r="Q16" t="s">
        <v>1774</v>
      </c>
    </row>
    <row r="17" spans="1:17" hidden="1" x14ac:dyDescent="0.25">
      <c r="A17">
        <v>10</v>
      </c>
      <c r="B17" t="s">
        <v>1738</v>
      </c>
      <c r="C17" t="s">
        <v>238</v>
      </c>
      <c r="D17" t="s">
        <v>1716</v>
      </c>
      <c r="E17" t="s">
        <v>1786</v>
      </c>
      <c r="F17" s="274" t="s">
        <v>76</v>
      </c>
      <c r="G17" s="264">
        <f t="shared" si="0"/>
        <v>0</v>
      </c>
      <c r="H17" t="str">
        <f t="shared" si="1"/>
        <v>PENDENTE</v>
      </c>
      <c r="I17">
        <v>3</v>
      </c>
      <c r="J17" s="274">
        <v>3</v>
      </c>
      <c r="K17">
        <f t="shared" si="2"/>
        <v>6</v>
      </c>
      <c r="L17" t="s">
        <v>401</v>
      </c>
      <c r="M17" t="s">
        <v>1718</v>
      </c>
      <c r="N17">
        <v>4</v>
      </c>
      <c r="O17">
        <f t="shared" si="3"/>
        <v>12</v>
      </c>
      <c r="P17">
        <f t="shared" si="4"/>
        <v>24</v>
      </c>
      <c r="Q17" t="s">
        <v>1774</v>
      </c>
    </row>
    <row r="18" spans="1:17" hidden="1" x14ac:dyDescent="0.25">
      <c r="A18">
        <v>11</v>
      </c>
      <c r="B18" t="s">
        <v>1715</v>
      </c>
      <c r="C18" t="s">
        <v>238</v>
      </c>
      <c r="D18" t="s">
        <v>1716</v>
      </c>
      <c r="E18" t="s">
        <v>1787</v>
      </c>
      <c r="F18" s="274" t="s">
        <v>2047</v>
      </c>
      <c r="G18" s="264">
        <f t="shared" si="0"/>
        <v>1</v>
      </c>
      <c r="H18" t="str">
        <f t="shared" si="1"/>
        <v>PROCESSADA</v>
      </c>
      <c r="I18">
        <v>3</v>
      </c>
      <c r="J18" s="274">
        <v>3</v>
      </c>
      <c r="K18">
        <f t="shared" si="2"/>
        <v>6</v>
      </c>
      <c r="L18" t="s">
        <v>401</v>
      </c>
      <c r="M18" t="s">
        <v>1718</v>
      </c>
      <c r="N18">
        <v>4</v>
      </c>
      <c r="O18">
        <f t="shared" si="3"/>
        <v>12</v>
      </c>
      <c r="P18">
        <f t="shared" si="4"/>
        <v>24</v>
      </c>
    </row>
    <row r="19" spans="1:17" hidden="1" x14ac:dyDescent="0.25">
      <c r="A19">
        <v>11</v>
      </c>
      <c r="B19" t="s">
        <v>1723</v>
      </c>
      <c r="C19" t="s">
        <v>247</v>
      </c>
      <c r="D19" t="s">
        <v>1716</v>
      </c>
      <c r="E19" t="s">
        <v>1788</v>
      </c>
      <c r="F19" s="274" t="s">
        <v>2047</v>
      </c>
      <c r="G19" s="264">
        <f t="shared" si="0"/>
        <v>1</v>
      </c>
      <c r="H19" t="str">
        <f t="shared" si="1"/>
        <v>PROCESSADA</v>
      </c>
      <c r="I19">
        <v>3</v>
      </c>
      <c r="J19" s="274">
        <v>3</v>
      </c>
      <c r="K19">
        <f t="shared" si="2"/>
        <v>6</v>
      </c>
      <c r="L19" t="s">
        <v>399</v>
      </c>
      <c r="M19" t="s">
        <v>1724</v>
      </c>
      <c r="N19">
        <v>4</v>
      </c>
      <c r="O19">
        <f t="shared" si="3"/>
        <v>12</v>
      </c>
      <c r="P19">
        <f t="shared" si="4"/>
        <v>24</v>
      </c>
    </row>
    <row r="20" spans="1:17" hidden="1" x14ac:dyDescent="0.25">
      <c r="A20">
        <v>11</v>
      </c>
      <c r="B20" t="s">
        <v>1725</v>
      </c>
      <c r="C20" t="s">
        <v>248</v>
      </c>
      <c r="D20" t="s">
        <v>1726</v>
      </c>
      <c r="E20" t="s">
        <v>1789</v>
      </c>
      <c r="F20" s="274" t="s">
        <v>2047</v>
      </c>
      <c r="G20" s="264">
        <f t="shared" si="0"/>
        <v>1</v>
      </c>
      <c r="H20" t="str">
        <f t="shared" si="1"/>
        <v>PROCESSADA</v>
      </c>
      <c r="I20">
        <v>3</v>
      </c>
      <c r="J20" s="274">
        <v>3</v>
      </c>
      <c r="K20">
        <f t="shared" si="2"/>
        <v>6</v>
      </c>
      <c r="L20" t="s">
        <v>397</v>
      </c>
      <c r="M20" t="s">
        <v>1727</v>
      </c>
      <c r="N20">
        <v>4</v>
      </c>
      <c r="O20">
        <f t="shared" si="3"/>
        <v>12</v>
      </c>
      <c r="P20">
        <f t="shared" si="4"/>
        <v>24</v>
      </c>
    </row>
    <row r="21" spans="1:17" hidden="1" x14ac:dyDescent="0.25">
      <c r="A21">
        <v>11</v>
      </c>
      <c r="B21" t="s">
        <v>1729</v>
      </c>
      <c r="C21" t="s">
        <v>241</v>
      </c>
      <c r="D21" t="s">
        <v>1716</v>
      </c>
      <c r="E21" t="s">
        <v>1790</v>
      </c>
      <c r="F21" s="274" t="s">
        <v>2047</v>
      </c>
      <c r="G21" s="264">
        <f t="shared" si="0"/>
        <v>1</v>
      </c>
      <c r="H21" t="str">
        <f t="shared" si="1"/>
        <v>PROCESSADA</v>
      </c>
      <c r="I21">
        <v>3</v>
      </c>
      <c r="J21" s="274">
        <v>3</v>
      </c>
      <c r="K21">
        <f t="shared" si="2"/>
        <v>6</v>
      </c>
      <c r="L21" t="s">
        <v>401</v>
      </c>
      <c r="M21" t="s">
        <v>1718</v>
      </c>
      <c r="N21">
        <v>4</v>
      </c>
      <c r="O21">
        <f t="shared" si="3"/>
        <v>12</v>
      </c>
      <c r="P21">
        <f t="shared" si="4"/>
        <v>24</v>
      </c>
    </row>
    <row r="22" spans="1:17" hidden="1" x14ac:dyDescent="0.25">
      <c r="A22">
        <v>11</v>
      </c>
      <c r="B22" t="s">
        <v>1730</v>
      </c>
      <c r="C22" t="s">
        <v>243</v>
      </c>
      <c r="D22" t="s">
        <v>1726</v>
      </c>
      <c r="E22" t="s">
        <v>1791</v>
      </c>
      <c r="F22" s="274" t="s">
        <v>2047</v>
      </c>
      <c r="G22" s="264">
        <f t="shared" si="0"/>
        <v>1</v>
      </c>
      <c r="H22" t="str">
        <f t="shared" si="1"/>
        <v>PROCESSADA</v>
      </c>
      <c r="I22">
        <v>3</v>
      </c>
      <c r="J22" s="274">
        <v>3</v>
      </c>
      <c r="K22">
        <f t="shared" si="2"/>
        <v>6</v>
      </c>
      <c r="L22" t="s">
        <v>397</v>
      </c>
      <c r="M22" t="s">
        <v>1727</v>
      </c>
      <c r="N22">
        <v>4</v>
      </c>
      <c r="O22">
        <f t="shared" si="3"/>
        <v>12</v>
      </c>
      <c r="P22">
        <f t="shared" si="4"/>
        <v>24</v>
      </c>
    </row>
    <row r="23" spans="1:17" hidden="1" x14ac:dyDescent="0.25">
      <c r="A23">
        <v>11</v>
      </c>
      <c r="B23" t="s">
        <v>1731</v>
      </c>
      <c r="C23" t="s">
        <v>244</v>
      </c>
      <c r="D23" t="s">
        <v>1716</v>
      </c>
      <c r="E23" t="s">
        <v>1792</v>
      </c>
      <c r="F23" s="274" t="s">
        <v>2047</v>
      </c>
      <c r="G23" s="264">
        <f t="shared" si="0"/>
        <v>1</v>
      </c>
      <c r="H23" t="str">
        <f t="shared" si="1"/>
        <v>PROCESSADA</v>
      </c>
      <c r="I23">
        <v>3</v>
      </c>
      <c r="J23" s="274">
        <v>3</v>
      </c>
      <c r="K23">
        <f t="shared" si="2"/>
        <v>6</v>
      </c>
      <c r="L23" t="s">
        <v>401</v>
      </c>
      <c r="M23" t="s">
        <v>1718</v>
      </c>
      <c r="N23">
        <v>4</v>
      </c>
      <c r="O23">
        <f t="shared" si="3"/>
        <v>12</v>
      </c>
      <c r="P23">
        <f t="shared" si="4"/>
        <v>24</v>
      </c>
    </row>
    <row r="24" spans="1:17" hidden="1" x14ac:dyDescent="0.25">
      <c r="A24">
        <v>11</v>
      </c>
      <c r="B24" t="s">
        <v>1732</v>
      </c>
      <c r="C24" t="s">
        <v>245</v>
      </c>
      <c r="D24" t="s">
        <v>1726</v>
      </c>
      <c r="E24" t="s">
        <v>1793</v>
      </c>
      <c r="F24" s="274" t="s">
        <v>2047</v>
      </c>
      <c r="G24" s="264">
        <f t="shared" si="0"/>
        <v>1</v>
      </c>
      <c r="H24" t="str">
        <f t="shared" si="1"/>
        <v>PROCESSADA</v>
      </c>
      <c r="I24">
        <v>3</v>
      </c>
      <c r="J24" s="274">
        <v>3</v>
      </c>
      <c r="K24">
        <f t="shared" si="2"/>
        <v>6</v>
      </c>
      <c r="L24" t="s">
        <v>397</v>
      </c>
      <c r="M24" t="s">
        <v>1727</v>
      </c>
      <c r="N24">
        <v>4</v>
      </c>
      <c r="O24">
        <f t="shared" si="3"/>
        <v>12</v>
      </c>
      <c r="P24">
        <f t="shared" si="4"/>
        <v>24</v>
      </c>
    </row>
    <row r="25" spans="1:17" hidden="1" x14ac:dyDescent="0.25">
      <c r="A25">
        <v>11</v>
      </c>
      <c r="B25" t="s">
        <v>1733</v>
      </c>
      <c r="C25" t="s">
        <v>244</v>
      </c>
      <c r="D25" t="s">
        <v>1716</v>
      </c>
      <c r="E25" t="s">
        <v>1794</v>
      </c>
      <c r="F25" s="274" t="s">
        <v>2047</v>
      </c>
      <c r="G25" s="264">
        <f t="shared" si="0"/>
        <v>1</v>
      </c>
      <c r="H25" t="str">
        <f t="shared" si="1"/>
        <v>PROCESSADA</v>
      </c>
      <c r="I25">
        <v>3</v>
      </c>
      <c r="J25" s="274">
        <v>3</v>
      </c>
      <c r="K25">
        <f t="shared" si="2"/>
        <v>6</v>
      </c>
      <c r="L25" t="s">
        <v>401</v>
      </c>
      <c r="M25" t="s">
        <v>1718</v>
      </c>
      <c r="N25">
        <v>4</v>
      </c>
      <c r="O25">
        <f t="shared" si="3"/>
        <v>12</v>
      </c>
      <c r="P25">
        <f t="shared" si="4"/>
        <v>24</v>
      </c>
    </row>
    <row r="26" spans="1:17" hidden="1" x14ac:dyDescent="0.25">
      <c r="A26">
        <v>11</v>
      </c>
      <c r="B26" t="s">
        <v>1734</v>
      </c>
      <c r="C26" t="s">
        <v>243</v>
      </c>
      <c r="D26" t="s">
        <v>1726</v>
      </c>
      <c r="E26" t="s">
        <v>1795</v>
      </c>
      <c r="F26" s="295" t="s">
        <v>2047</v>
      </c>
      <c r="G26" s="264">
        <f t="shared" si="0"/>
        <v>1</v>
      </c>
      <c r="H26" t="str">
        <f t="shared" si="1"/>
        <v>PROCESSADA</v>
      </c>
      <c r="I26">
        <v>3</v>
      </c>
      <c r="J26" s="274">
        <v>3</v>
      </c>
      <c r="K26">
        <f t="shared" si="2"/>
        <v>6</v>
      </c>
      <c r="L26" t="s">
        <v>397</v>
      </c>
      <c r="M26" t="s">
        <v>1727</v>
      </c>
      <c r="N26">
        <v>4</v>
      </c>
      <c r="O26">
        <f t="shared" si="3"/>
        <v>12</v>
      </c>
      <c r="P26">
        <f t="shared" si="4"/>
        <v>24</v>
      </c>
    </row>
    <row r="27" spans="1:17" hidden="1" x14ac:dyDescent="0.25">
      <c r="A27">
        <v>11</v>
      </c>
      <c r="B27" t="s">
        <v>1735</v>
      </c>
      <c r="C27" t="s">
        <v>241</v>
      </c>
      <c r="D27" t="s">
        <v>1716</v>
      </c>
      <c r="E27" t="s">
        <v>1796</v>
      </c>
      <c r="F27" s="274" t="s">
        <v>2047</v>
      </c>
      <c r="G27" s="264">
        <f t="shared" si="0"/>
        <v>1</v>
      </c>
      <c r="H27" t="str">
        <f t="shared" si="1"/>
        <v>PROCESSADA</v>
      </c>
      <c r="I27">
        <v>3</v>
      </c>
      <c r="J27" s="274">
        <v>3</v>
      </c>
      <c r="K27">
        <f t="shared" si="2"/>
        <v>6</v>
      </c>
      <c r="L27" t="s">
        <v>401</v>
      </c>
      <c r="M27" t="s">
        <v>1718</v>
      </c>
      <c r="N27">
        <v>4</v>
      </c>
      <c r="O27">
        <f t="shared" si="3"/>
        <v>12</v>
      </c>
      <c r="P27">
        <f t="shared" si="4"/>
        <v>24</v>
      </c>
    </row>
    <row r="28" spans="1:17" hidden="1" x14ac:dyDescent="0.25">
      <c r="A28">
        <v>11</v>
      </c>
      <c r="B28" t="s">
        <v>1736</v>
      </c>
      <c r="C28" t="s">
        <v>248</v>
      </c>
      <c r="D28" t="s">
        <v>1726</v>
      </c>
      <c r="E28" t="s">
        <v>1797</v>
      </c>
      <c r="F28" s="274" t="s">
        <v>2047</v>
      </c>
      <c r="G28" s="264">
        <f t="shared" si="0"/>
        <v>1</v>
      </c>
      <c r="H28" t="str">
        <f t="shared" si="1"/>
        <v>PROCESSADA</v>
      </c>
      <c r="I28">
        <v>3</v>
      </c>
      <c r="J28" s="274">
        <v>3</v>
      </c>
      <c r="K28">
        <f t="shared" si="2"/>
        <v>6</v>
      </c>
      <c r="L28" t="s">
        <v>397</v>
      </c>
      <c r="M28" t="s">
        <v>1727</v>
      </c>
      <c r="N28">
        <v>4</v>
      </c>
      <c r="O28">
        <f t="shared" si="3"/>
        <v>12</v>
      </c>
      <c r="P28">
        <f t="shared" si="4"/>
        <v>24</v>
      </c>
    </row>
    <row r="29" spans="1:17" hidden="1" x14ac:dyDescent="0.25">
      <c r="A29">
        <v>11</v>
      </c>
      <c r="B29" t="s">
        <v>1737</v>
      </c>
      <c r="C29" t="s">
        <v>247</v>
      </c>
      <c r="D29" t="s">
        <v>1716</v>
      </c>
      <c r="E29" t="s">
        <v>1798</v>
      </c>
      <c r="F29" s="274" t="s">
        <v>2047</v>
      </c>
      <c r="G29" s="264">
        <f t="shared" si="0"/>
        <v>1</v>
      </c>
      <c r="H29" t="str">
        <f t="shared" si="1"/>
        <v>PROCESSADA</v>
      </c>
      <c r="I29">
        <v>3</v>
      </c>
      <c r="J29" s="274">
        <v>3</v>
      </c>
      <c r="K29">
        <f t="shared" si="2"/>
        <v>6</v>
      </c>
      <c r="L29" t="s">
        <v>399</v>
      </c>
      <c r="M29" t="s">
        <v>1724</v>
      </c>
      <c r="N29">
        <v>4</v>
      </c>
      <c r="O29">
        <f t="shared" si="3"/>
        <v>12</v>
      </c>
      <c r="P29">
        <f t="shared" si="4"/>
        <v>24</v>
      </c>
    </row>
    <row r="30" spans="1:17" hidden="1" x14ac:dyDescent="0.25">
      <c r="A30">
        <v>11</v>
      </c>
      <c r="B30" t="s">
        <v>1738</v>
      </c>
      <c r="C30" t="s">
        <v>238</v>
      </c>
      <c r="D30" t="s">
        <v>1716</v>
      </c>
      <c r="E30" t="s">
        <v>1799</v>
      </c>
      <c r="F30" s="274" t="s">
        <v>76</v>
      </c>
      <c r="G30" s="264">
        <f t="shared" si="0"/>
        <v>0</v>
      </c>
      <c r="H30" t="str">
        <f t="shared" si="1"/>
        <v>PENDENTE</v>
      </c>
      <c r="I30">
        <v>3</v>
      </c>
      <c r="J30" s="274">
        <v>3</v>
      </c>
      <c r="K30">
        <f t="shared" si="2"/>
        <v>6</v>
      </c>
      <c r="L30" t="s">
        <v>401</v>
      </c>
      <c r="M30" t="s">
        <v>1718</v>
      </c>
      <c r="N30">
        <v>4</v>
      </c>
      <c r="O30">
        <f t="shared" si="3"/>
        <v>12</v>
      </c>
      <c r="P30">
        <f t="shared" si="4"/>
        <v>24</v>
      </c>
    </row>
    <row r="31" spans="1:17" hidden="1" x14ac:dyDescent="0.25">
      <c r="A31">
        <v>12</v>
      </c>
      <c r="B31" t="s">
        <v>1715</v>
      </c>
      <c r="C31" t="s">
        <v>238</v>
      </c>
      <c r="D31" t="s">
        <v>1716</v>
      </c>
      <c r="E31" t="s">
        <v>1800</v>
      </c>
      <c r="F31" s="274" t="s">
        <v>2047</v>
      </c>
      <c r="G31" s="264">
        <f t="shared" si="0"/>
        <v>1</v>
      </c>
      <c r="H31" t="str">
        <f t="shared" si="1"/>
        <v>PROCESSADA</v>
      </c>
      <c r="I31">
        <v>3</v>
      </c>
      <c r="J31" s="274">
        <v>3</v>
      </c>
      <c r="K31">
        <f t="shared" si="2"/>
        <v>6</v>
      </c>
      <c r="L31" t="s">
        <v>401</v>
      </c>
      <c r="M31" t="s">
        <v>1718</v>
      </c>
      <c r="N31">
        <v>4</v>
      </c>
      <c r="O31">
        <f t="shared" si="3"/>
        <v>12</v>
      </c>
      <c r="P31">
        <f t="shared" si="4"/>
        <v>24</v>
      </c>
    </row>
    <row r="32" spans="1:17" hidden="1" x14ac:dyDescent="0.25">
      <c r="A32">
        <v>12</v>
      </c>
      <c r="B32" t="s">
        <v>1723</v>
      </c>
      <c r="C32" t="s">
        <v>247</v>
      </c>
      <c r="D32" t="s">
        <v>1716</v>
      </c>
      <c r="E32" t="s">
        <v>1801</v>
      </c>
      <c r="F32" s="274" t="s">
        <v>2047</v>
      </c>
      <c r="G32" s="264">
        <f t="shared" si="0"/>
        <v>1</v>
      </c>
      <c r="H32" t="str">
        <f t="shared" si="1"/>
        <v>PROCESSADA</v>
      </c>
      <c r="I32">
        <v>3</v>
      </c>
      <c r="J32" s="274">
        <v>3</v>
      </c>
      <c r="K32">
        <f t="shared" si="2"/>
        <v>6</v>
      </c>
      <c r="L32" t="s">
        <v>399</v>
      </c>
      <c r="M32" t="s">
        <v>1724</v>
      </c>
      <c r="N32">
        <v>4</v>
      </c>
      <c r="O32">
        <f t="shared" si="3"/>
        <v>12</v>
      </c>
      <c r="P32">
        <f t="shared" si="4"/>
        <v>24</v>
      </c>
    </row>
    <row r="33" spans="1:16" hidden="1" x14ac:dyDescent="0.25">
      <c r="A33">
        <v>12</v>
      </c>
      <c r="B33" t="s">
        <v>1725</v>
      </c>
      <c r="C33" t="s">
        <v>248</v>
      </c>
      <c r="D33" t="s">
        <v>1726</v>
      </c>
      <c r="E33" t="s">
        <v>1802</v>
      </c>
      <c r="F33" s="274" t="s">
        <v>2047</v>
      </c>
      <c r="G33" s="264">
        <f t="shared" si="0"/>
        <v>1</v>
      </c>
      <c r="H33" t="str">
        <f t="shared" si="1"/>
        <v>PROCESSADA</v>
      </c>
      <c r="I33">
        <v>3</v>
      </c>
      <c r="J33" s="274">
        <v>3</v>
      </c>
      <c r="K33">
        <f t="shared" si="2"/>
        <v>6</v>
      </c>
      <c r="L33" t="s">
        <v>397</v>
      </c>
      <c r="M33" t="s">
        <v>1727</v>
      </c>
      <c r="N33">
        <v>4</v>
      </c>
      <c r="O33">
        <f t="shared" si="3"/>
        <v>12</v>
      </c>
      <c r="P33">
        <f t="shared" si="4"/>
        <v>24</v>
      </c>
    </row>
    <row r="34" spans="1:16" hidden="1" x14ac:dyDescent="0.25">
      <c r="A34">
        <v>12</v>
      </c>
      <c r="B34" t="s">
        <v>1729</v>
      </c>
      <c r="C34" t="s">
        <v>241</v>
      </c>
      <c r="D34" t="s">
        <v>1716</v>
      </c>
      <c r="E34" t="s">
        <v>1803</v>
      </c>
      <c r="F34" s="274" t="s">
        <v>2047</v>
      </c>
      <c r="G34" s="264">
        <f t="shared" si="0"/>
        <v>1</v>
      </c>
      <c r="H34" t="str">
        <f t="shared" si="1"/>
        <v>PROCESSADA</v>
      </c>
      <c r="I34">
        <v>3</v>
      </c>
      <c r="J34" s="274">
        <v>3</v>
      </c>
      <c r="K34">
        <f t="shared" si="2"/>
        <v>6</v>
      </c>
      <c r="L34" t="s">
        <v>401</v>
      </c>
      <c r="M34" t="s">
        <v>1718</v>
      </c>
      <c r="N34">
        <v>4</v>
      </c>
      <c r="O34">
        <f t="shared" si="3"/>
        <v>12</v>
      </c>
      <c r="P34">
        <f t="shared" si="4"/>
        <v>24</v>
      </c>
    </row>
    <row r="35" spans="1:16" hidden="1" x14ac:dyDescent="0.25">
      <c r="A35">
        <v>12</v>
      </c>
      <c r="B35" t="s">
        <v>1730</v>
      </c>
      <c r="C35" t="s">
        <v>243</v>
      </c>
      <c r="D35" t="s">
        <v>1726</v>
      </c>
      <c r="E35" t="s">
        <v>1804</v>
      </c>
      <c r="F35" s="274" t="s">
        <v>2047</v>
      </c>
      <c r="G35" s="264">
        <f t="shared" si="0"/>
        <v>1</v>
      </c>
      <c r="H35" t="str">
        <f t="shared" si="1"/>
        <v>PROCESSADA</v>
      </c>
      <c r="I35">
        <v>3</v>
      </c>
      <c r="J35" s="274">
        <v>3</v>
      </c>
      <c r="K35">
        <f t="shared" si="2"/>
        <v>6</v>
      </c>
      <c r="L35" t="s">
        <v>397</v>
      </c>
      <c r="M35" t="s">
        <v>1727</v>
      </c>
      <c r="N35">
        <v>4</v>
      </c>
      <c r="O35">
        <f t="shared" si="3"/>
        <v>12</v>
      </c>
      <c r="P35">
        <f t="shared" si="4"/>
        <v>24</v>
      </c>
    </row>
    <row r="36" spans="1:16" hidden="1" x14ac:dyDescent="0.25">
      <c r="A36">
        <v>12</v>
      </c>
      <c r="B36" t="s">
        <v>1731</v>
      </c>
      <c r="C36" t="s">
        <v>244</v>
      </c>
      <c r="D36" t="s">
        <v>1716</v>
      </c>
      <c r="E36" t="s">
        <v>1805</v>
      </c>
      <c r="F36" s="274" t="s">
        <v>2047</v>
      </c>
      <c r="G36" s="264">
        <f t="shared" si="0"/>
        <v>1</v>
      </c>
      <c r="H36" t="str">
        <f t="shared" si="1"/>
        <v>PROCESSADA</v>
      </c>
      <c r="I36">
        <v>3</v>
      </c>
      <c r="J36" s="274">
        <v>3</v>
      </c>
      <c r="K36">
        <f t="shared" si="2"/>
        <v>6</v>
      </c>
      <c r="L36" t="s">
        <v>401</v>
      </c>
      <c r="M36" t="s">
        <v>1718</v>
      </c>
      <c r="N36">
        <v>4</v>
      </c>
      <c r="O36">
        <f t="shared" si="3"/>
        <v>12</v>
      </c>
      <c r="P36">
        <f t="shared" si="4"/>
        <v>24</v>
      </c>
    </row>
    <row r="37" spans="1:16" hidden="1" x14ac:dyDescent="0.25">
      <c r="A37">
        <v>12</v>
      </c>
      <c r="B37" t="s">
        <v>1732</v>
      </c>
      <c r="C37" t="s">
        <v>245</v>
      </c>
      <c r="D37" t="s">
        <v>1726</v>
      </c>
      <c r="E37" t="s">
        <v>1806</v>
      </c>
      <c r="F37" s="274" t="s">
        <v>2047</v>
      </c>
      <c r="G37" s="264">
        <f t="shared" ref="G37:G68" si="5">IF(F37="SIM",1,0)</f>
        <v>1</v>
      </c>
      <c r="H37" t="str">
        <f t="shared" ref="H37:H68" si="6">IF(F37="SIM","PROCESSADA","PENDENTE")</f>
        <v>PROCESSADA</v>
      </c>
      <c r="I37">
        <v>3</v>
      </c>
      <c r="J37" s="274">
        <v>3</v>
      </c>
      <c r="K37">
        <f t="shared" ref="K37:K68" si="7">I37+J37</f>
        <v>6</v>
      </c>
      <c r="L37" t="s">
        <v>397</v>
      </c>
      <c r="M37" t="s">
        <v>1727</v>
      </c>
      <c r="N37">
        <v>4</v>
      </c>
      <c r="O37">
        <f t="shared" ref="O37:O68" si="8">I37*N37</f>
        <v>12</v>
      </c>
      <c r="P37">
        <f t="shared" ref="P37:P68" si="9">K37*N37</f>
        <v>24</v>
      </c>
    </row>
    <row r="38" spans="1:16" hidden="1" x14ac:dyDescent="0.25">
      <c r="A38">
        <v>12</v>
      </c>
      <c r="B38" t="s">
        <v>1733</v>
      </c>
      <c r="C38" t="s">
        <v>244</v>
      </c>
      <c r="D38" t="s">
        <v>1716</v>
      </c>
      <c r="E38" t="s">
        <v>1807</v>
      </c>
      <c r="F38" s="274" t="s">
        <v>2047</v>
      </c>
      <c r="G38" s="264">
        <f t="shared" si="5"/>
        <v>1</v>
      </c>
      <c r="H38" t="str">
        <f t="shared" si="6"/>
        <v>PROCESSADA</v>
      </c>
      <c r="I38">
        <v>3</v>
      </c>
      <c r="J38" s="274">
        <v>3</v>
      </c>
      <c r="K38">
        <f t="shared" si="7"/>
        <v>6</v>
      </c>
      <c r="L38" t="s">
        <v>401</v>
      </c>
      <c r="M38" t="s">
        <v>1718</v>
      </c>
      <c r="N38">
        <v>4</v>
      </c>
      <c r="O38">
        <f t="shared" si="8"/>
        <v>12</v>
      </c>
      <c r="P38">
        <f t="shared" si="9"/>
        <v>24</v>
      </c>
    </row>
    <row r="39" spans="1:16" hidden="1" x14ac:dyDescent="0.25">
      <c r="A39">
        <v>12</v>
      </c>
      <c r="B39" t="s">
        <v>1734</v>
      </c>
      <c r="C39" t="s">
        <v>243</v>
      </c>
      <c r="D39" t="s">
        <v>1726</v>
      </c>
      <c r="E39" t="s">
        <v>1808</v>
      </c>
      <c r="F39" s="274" t="s">
        <v>2047</v>
      </c>
      <c r="G39" s="264">
        <f t="shared" si="5"/>
        <v>1</v>
      </c>
      <c r="H39" t="str">
        <f t="shared" si="6"/>
        <v>PROCESSADA</v>
      </c>
      <c r="I39">
        <v>3</v>
      </c>
      <c r="J39" s="274">
        <v>3</v>
      </c>
      <c r="K39">
        <f t="shared" si="7"/>
        <v>6</v>
      </c>
      <c r="L39" t="s">
        <v>397</v>
      </c>
      <c r="M39" t="s">
        <v>1727</v>
      </c>
      <c r="N39">
        <v>4</v>
      </c>
      <c r="O39">
        <f t="shared" si="8"/>
        <v>12</v>
      </c>
      <c r="P39">
        <f t="shared" si="9"/>
        <v>24</v>
      </c>
    </row>
    <row r="40" spans="1:16" hidden="1" x14ac:dyDescent="0.25">
      <c r="A40">
        <v>12</v>
      </c>
      <c r="B40" t="s">
        <v>1735</v>
      </c>
      <c r="C40" t="s">
        <v>241</v>
      </c>
      <c r="D40" t="s">
        <v>1716</v>
      </c>
      <c r="E40" t="s">
        <v>1809</v>
      </c>
      <c r="F40" s="274" t="s">
        <v>2047</v>
      </c>
      <c r="G40" s="264">
        <f t="shared" si="5"/>
        <v>1</v>
      </c>
      <c r="H40" t="str">
        <f t="shared" si="6"/>
        <v>PROCESSADA</v>
      </c>
      <c r="I40">
        <v>3</v>
      </c>
      <c r="J40" s="274">
        <v>3</v>
      </c>
      <c r="K40">
        <f t="shared" si="7"/>
        <v>6</v>
      </c>
      <c r="L40" t="s">
        <v>401</v>
      </c>
      <c r="M40" t="s">
        <v>1718</v>
      </c>
      <c r="N40">
        <v>4</v>
      </c>
      <c r="O40">
        <f t="shared" si="8"/>
        <v>12</v>
      </c>
      <c r="P40">
        <f t="shared" si="9"/>
        <v>24</v>
      </c>
    </row>
    <row r="41" spans="1:16" hidden="1" x14ac:dyDescent="0.25">
      <c r="A41">
        <v>12</v>
      </c>
      <c r="B41" t="s">
        <v>1736</v>
      </c>
      <c r="C41" t="s">
        <v>248</v>
      </c>
      <c r="D41" t="s">
        <v>1726</v>
      </c>
      <c r="E41" t="s">
        <v>1810</v>
      </c>
      <c r="F41" s="274" t="s">
        <v>2047</v>
      </c>
      <c r="G41" s="264">
        <f t="shared" si="5"/>
        <v>1</v>
      </c>
      <c r="H41" t="str">
        <f t="shared" si="6"/>
        <v>PROCESSADA</v>
      </c>
      <c r="I41">
        <v>3</v>
      </c>
      <c r="J41" s="274">
        <v>3</v>
      </c>
      <c r="K41">
        <f t="shared" si="7"/>
        <v>6</v>
      </c>
      <c r="L41" t="s">
        <v>397</v>
      </c>
      <c r="M41" t="s">
        <v>1727</v>
      </c>
      <c r="N41">
        <v>4</v>
      </c>
      <c r="O41">
        <f t="shared" si="8"/>
        <v>12</v>
      </c>
      <c r="P41">
        <f t="shared" si="9"/>
        <v>24</v>
      </c>
    </row>
    <row r="42" spans="1:16" hidden="1" x14ac:dyDescent="0.25">
      <c r="A42">
        <v>12</v>
      </c>
      <c r="B42" t="s">
        <v>1737</v>
      </c>
      <c r="C42" t="s">
        <v>247</v>
      </c>
      <c r="D42" t="s">
        <v>1716</v>
      </c>
      <c r="E42" t="s">
        <v>1811</v>
      </c>
      <c r="F42" s="274" t="s">
        <v>2047</v>
      </c>
      <c r="G42" s="264">
        <f t="shared" si="5"/>
        <v>1</v>
      </c>
      <c r="H42" t="str">
        <f t="shared" si="6"/>
        <v>PROCESSADA</v>
      </c>
      <c r="I42">
        <v>3</v>
      </c>
      <c r="J42" s="274">
        <v>3</v>
      </c>
      <c r="K42">
        <f t="shared" si="7"/>
        <v>6</v>
      </c>
      <c r="L42" t="s">
        <v>399</v>
      </c>
      <c r="M42" t="s">
        <v>1724</v>
      </c>
      <c r="N42">
        <v>4</v>
      </c>
      <c r="O42">
        <f t="shared" si="8"/>
        <v>12</v>
      </c>
      <c r="P42">
        <f t="shared" si="9"/>
        <v>24</v>
      </c>
    </row>
    <row r="43" spans="1:16" hidden="1" x14ac:dyDescent="0.25">
      <c r="A43">
        <v>12</v>
      </c>
      <c r="B43" t="s">
        <v>1738</v>
      </c>
      <c r="C43" t="s">
        <v>238</v>
      </c>
      <c r="D43" t="s">
        <v>1716</v>
      </c>
      <c r="E43" t="s">
        <v>1812</v>
      </c>
      <c r="F43" s="274" t="s">
        <v>76</v>
      </c>
      <c r="G43" s="264">
        <f t="shared" si="5"/>
        <v>0</v>
      </c>
      <c r="H43" t="str">
        <f t="shared" si="6"/>
        <v>PENDENTE</v>
      </c>
      <c r="I43">
        <v>3</v>
      </c>
      <c r="J43" s="274">
        <v>3</v>
      </c>
      <c r="K43">
        <f t="shared" si="7"/>
        <v>6</v>
      </c>
      <c r="L43" t="s">
        <v>401</v>
      </c>
      <c r="M43" t="s">
        <v>1718</v>
      </c>
      <c r="N43">
        <v>4</v>
      </c>
      <c r="O43">
        <f t="shared" si="8"/>
        <v>12</v>
      </c>
      <c r="P43">
        <f t="shared" si="9"/>
        <v>24</v>
      </c>
    </row>
    <row r="44" spans="1:16" hidden="1" x14ac:dyDescent="0.25">
      <c r="A44">
        <v>13</v>
      </c>
      <c r="B44" t="s">
        <v>1715</v>
      </c>
      <c r="C44" t="s">
        <v>238</v>
      </c>
      <c r="D44" t="s">
        <v>1716</v>
      </c>
      <c r="E44" t="s">
        <v>1813</v>
      </c>
      <c r="F44" s="274" t="s">
        <v>2047</v>
      </c>
      <c r="G44" s="264">
        <f t="shared" si="5"/>
        <v>1</v>
      </c>
      <c r="H44" t="str">
        <f t="shared" si="6"/>
        <v>PROCESSADA</v>
      </c>
      <c r="I44">
        <v>3</v>
      </c>
      <c r="J44" s="274">
        <v>3</v>
      </c>
      <c r="K44">
        <f t="shared" si="7"/>
        <v>6</v>
      </c>
      <c r="L44" t="s">
        <v>401</v>
      </c>
      <c r="M44" t="s">
        <v>1718</v>
      </c>
      <c r="N44">
        <v>4</v>
      </c>
      <c r="O44">
        <f t="shared" si="8"/>
        <v>12</v>
      </c>
      <c r="P44">
        <f t="shared" si="9"/>
        <v>24</v>
      </c>
    </row>
    <row r="45" spans="1:16" hidden="1" x14ac:dyDescent="0.25">
      <c r="A45">
        <v>13</v>
      </c>
      <c r="B45" t="s">
        <v>1723</v>
      </c>
      <c r="C45" t="s">
        <v>247</v>
      </c>
      <c r="D45" t="s">
        <v>1716</v>
      </c>
      <c r="E45" t="s">
        <v>1814</v>
      </c>
      <c r="F45" s="274" t="s">
        <v>2047</v>
      </c>
      <c r="G45" s="264">
        <f t="shared" si="5"/>
        <v>1</v>
      </c>
      <c r="H45" t="str">
        <f t="shared" si="6"/>
        <v>PROCESSADA</v>
      </c>
      <c r="I45">
        <v>3</v>
      </c>
      <c r="J45" s="274">
        <v>3</v>
      </c>
      <c r="K45">
        <f t="shared" si="7"/>
        <v>6</v>
      </c>
      <c r="L45" t="s">
        <v>399</v>
      </c>
      <c r="M45" t="s">
        <v>1724</v>
      </c>
      <c r="N45">
        <v>4</v>
      </c>
      <c r="O45">
        <f t="shared" si="8"/>
        <v>12</v>
      </c>
      <c r="P45">
        <f t="shared" si="9"/>
        <v>24</v>
      </c>
    </row>
    <row r="46" spans="1:16" hidden="1" x14ac:dyDescent="0.25">
      <c r="A46">
        <v>13</v>
      </c>
      <c r="B46" t="s">
        <v>1725</v>
      </c>
      <c r="C46" t="s">
        <v>248</v>
      </c>
      <c r="D46" t="s">
        <v>1726</v>
      </c>
      <c r="E46" t="s">
        <v>1815</v>
      </c>
      <c r="F46" s="274" t="s">
        <v>2047</v>
      </c>
      <c r="G46" s="264">
        <f t="shared" si="5"/>
        <v>1</v>
      </c>
      <c r="H46" t="str">
        <f t="shared" si="6"/>
        <v>PROCESSADA</v>
      </c>
      <c r="I46">
        <v>3</v>
      </c>
      <c r="J46" s="274">
        <v>3</v>
      </c>
      <c r="K46">
        <f t="shared" si="7"/>
        <v>6</v>
      </c>
      <c r="L46" t="s">
        <v>397</v>
      </c>
      <c r="M46" t="s">
        <v>1727</v>
      </c>
      <c r="N46">
        <v>4</v>
      </c>
      <c r="O46">
        <f t="shared" si="8"/>
        <v>12</v>
      </c>
      <c r="P46">
        <f t="shared" si="9"/>
        <v>24</v>
      </c>
    </row>
    <row r="47" spans="1:16" hidden="1" x14ac:dyDescent="0.25">
      <c r="A47">
        <v>13</v>
      </c>
      <c r="B47" t="s">
        <v>1729</v>
      </c>
      <c r="C47" t="s">
        <v>241</v>
      </c>
      <c r="D47" t="s">
        <v>1716</v>
      </c>
      <c r="E47" t="s">
        <v>1816</v>
      </c>
      <c r="F47" s="274" t="s">
        <v>2047</v>
      </c>
      <c r="G47" s="264">
        <f t="shared" si="5"/>
        <v>1</v>
      </c>
      <c r="H47" t="str">
        <f t="shared" si="6"/>
        <v>PROCESSADA</v>
      </c>
      <c r="I47">
        <v>3</v>
      </c>
      <c r="J47" s="274">
        <v>3</v>
      </c>
      <c r="K47">
        <f t="shared" si="7"/>
        <v>6</v>
      </c>
      <c r="L47" t="s">
        <v>401</v>
      </c>
      <c r="M47" t="s">
        <v>1718</v>
      </c>
      <c r="N47">
        <v>4</v>
      </c>
      <c r="O47">
        <f t="shared" si="8"/>
        <v>12</v>
      </c>
      <c r="P47">
        <f t="shared" si="9"/>
        <v>24</v>
      </c>
    </row>
    <row r="48" spans="1:16" hidden="1" x14ac:dyDescent="0.25">
      <c r="A48">
        <v>13</v>
      </c>
      <c r="B48" t="s">
        <v>1730</v>
      </c>
      <c r="C48" t="s">
        <v>243</v>
      </c>
      <c r="D48" t="s">
        <v>1726</v>
      </c>
      <c r="E48" t="s">
        <v>1817</v>
      </c>
      <c r="F48" s="274" t="s">
        <v>2047</v>
      </c>
      <c r="G48" s="264">
        <f t="shared" si="5"/>
        <v>1</v>
      </c>
      <c r="H48" t="str">
        <f t="shared" si="6"/>
        <v>PROCESSADA</v>
      </c>
      <c r="I48">
        <v>3</v>
      </c>
      <c r="J48" s="274">
        <v>3</v>
      </c>
      <c r="K48">
        <f t="shared" si="7"/>
        <v>6</v>
      </c>
      <c r="L48" t="s">
        <v>397</v>
      </c>
      <c r="M48" t="s">
        <v>1727</v>
      </c>
      <c r="N48">
        <v>4</v>
      </c>
      <c r="O48">
        <f t="shared" si="8"/>
        <v>12</v>
      </c>
      <c r="P48">
        <f t="shared" si="9"/>
        <v>24</v>
      </c>
    </row>
    <row r="49" spans="1:16" hidden="1" x14ac:dyDescent="0.25">
      <c r="A49">
        <v>13</v>
      </c>
      <c r="B49" t="s">
        <v>1731</v>
      </c>
      <c r="C49" t="s">
        <v>244</v>
      </c>
      <c r="D49" t="s">
        <v>1716</v>
      </c>
      <c r="E49" t="s">
        <v>1818</v>
      </c>
      <c r="F49" s="274" t="s">
        <v>2047</v>
      </c>
      <c r="G49" s="264">
        <f t="shared" si="5"/>
        <v>1</v>
      </c>
      <c r="H49" t="str">
        <f t="shared" si="6"/>
        <v>PROCESSADA</v>
      </c>
      <c r="I49">
        <v>3</v>
      </c>
      <c r="J49" s="274">
        <v>3</v>
      </c>
      <c r="K49">
        <f t="shared" si="7"/>
        <v>6</v>
      </c>
      <c r="L49" t="s">
        <v>401</v>
      </c>
      <c r="M49" t="s">
        <v>1718</v>
      </c>
      <c r="N49">
        <v>4</v>
      </c>
      <c r="O49">
        <f t="shared" si="8"/>
        <v>12</v>
      </c>
      <c r="P49">
        <f t="shared" si="9"/>
        <v>24</v>
      </c>
    </row>
    <row r="50" spans="1:16" hidden="1" x14ac:dyDescent="0.25">
      <c r="A50">
        <v>13</v>
      </c>
      <c r="B50" t="s">
        <v>1732</v>
      </c>
      <c r="C50" t="s">
        <v>245</v>
      </c>
      <c r="D50" t="s">
        <v>1726</v>
      </c>
      <c r="E50" t="s">
        <v>1819</v>
      </c>
      <c r="F50" s="274" t="s">
        <v>2047</v>
      </c>
      <c r="G50" s="264">
        <f t="shared" si="5"/>
        <v>1</v>
      </c>
      <c r="H50" t="str">
        <f t="shared" si="6"/>
        <v>PROCESSADA</v>
      </c>
      <c r="I50">
        <v>3</v>
      </c>
      <c r="J50" s="274">
        <v>3</v>
      </c>
      <c r="K50">
        <f t="shared" si="7"/>
        <v>6</v>
      </c>
      <c r="L50" t="s">
        <v>397</v>
      </c>
      <c r="M50" t="s">
        <v>1727</v>
      </c>
      <c r="N50">
        <v>4</v>
      </c>
      <c r="O50">
        <f t="shared" si="8"/>
        <v>12</v>
      </c>
      <c r="P50">
        <f t="shared" si="9"/>
        <v>24</v>
      </c>
    </row>
    <row r="51" spans="1:16" hidden="1" x14ac:dyDescent="0.25">
      <c r="A51">
        <v>13</v>
      </c>
      <c r="B51" t="s">
        <v>1733</v>
      </c>
      <c r="C51" t="s">
        <v>244</v>
      </c>
      <c r="D51" t="s">
        <v>1716</v>
      </c>
      <c r="E51" t="s">
        <v>1820</v>
      </c>
      <c r="F51" s="274" t="s">
        <v>2047</v>
      </c>
      <c r="G51" s="264">
        <f t="shared" si="5"/>
        <v>1</v>
      </c>
      <c r="H51" t="str">
        <f t="shared" si="6"/>
        <v>PROCESSADA</v>
      </c>
      <c r="I51">
        <v>3</v>
      </c>
      <c r="J51" s="274">
        <v>3</v>
      </c>
      <c r="K51">
        <f t="shared" si="7"/>
        <v>6</v>
      </c>
      <c r="L51" t="s">
        <v>401</v>
      </c>
      <c r="M51" t="s">
        <v>1718</v>
      </c>
      <c r="N51">
        <v>4</v>
      </c>
      <c r="O51">
        <f t="shared" si="8"/>
        <v>12</v>
      </c>
      <c r="P51">
        <f t="shared" si="9"/>
        <v>24</v>
      </c>
    </row>
    <row r="52" spans="1:16" hidden="1" x14ac:dyDescent="0.25">
      <c r="A52">
        <v>13</v>
      </c>
      <c r="B52" t="s">
        <v>1734</v>
      </c>
      <c r="C52" t="s">
        <v>243</v>
      </c>
      <c r="D52" t="s">
        <v>1726</v>
      </c>
      <c r="E52" t="s">
        <v>1821</v>
      </c>
      <c r="F52" s="274" t="s">
        <v>2047</v>
      </c>
      <c r="G52" s="264">
        <f t="shared" si="5"/>
        <v>1</v>
      </c>
      <c r="H52" t="str">
        <f t="shared" si="6"/>
        <v>PROCESSADA</v>
      </c>
      <c r="I52">
        <v>3</v>
      </c>
      <c r="J52" s="274">
        <v>3</v>
      </c>
      <c r="K52">
        <f t="shared" si="7"/>
        <v>6</v>
      </c>
      <c r="L52" t="s">
        <v>397</v>
      </c>
      <c r="M52" t="s">
        <v>1727</v>
      </c>
      <c r="N52">
        <v>4</v>
      </c>
      <c r="O52">
        <f t="shared" si="8"/>
        <v>12</v>
      </c>
      <c r="P52">
        <f t="shared" si="9"/>
        <v>24</v>
      </c>
    </row>
    <row r="53" spans="1:16" hidden="1" x14ac:dyDescent="0.25">
      <c r="A53">
        <v>13</v>
      </c>
      <c r="B53" t="s">
        <v>1735</v>
      </c>
      <c r="C53" t="s">
        <v>241</v>
      </c>
      <c r="D53" t="s">
        <v>1716</v>
      </c>
      <c r="E53" t="s">
        <v>1822</v>
      </c>
      <c r="F53" s="274" t="s">
        <v>2047</v>
      </c>
      <c r="G53" s="264">
        <f t="shared" si="5"/>
        <v>1</v>
      </c>
      <c r="H53" t="str">
        <f t="shared" si="6"/>
        <v>PROCESSADA</v>
      </c>
      <c r="I53">
        <v>3</v>
      </c>
      <c r="J53" s="274">
        <v>3</v>
      </c>
      <c r="K53">
        <f t="shared" si="7"/>
        <v>6</v>
      </c>
      <c r="L53" t="s">
        <v>401</v>
      </c>
      <c r="M53" t="s">
        <v>1718</v>
      </c>
      <c r="N53">
        <v>4</v>
      </c>
      <c r="O53">
        <f t="shared" si="8"/>
        <v>12</v>
      </c>
      <c r="P53">
        <f t="shared" si="9"/>
        <v>24</v>
      </c>
    </row>
    <row r="54" spans="1:16" hidden="1" x14ac:dyDescent="0.25">
      <c r="A54">
        <v>13</v>
      </c>
      <c r="B54" t="s">
        <v>1736</v>
      </c>
      <c r="C54" t="s">
        <v>248</v>
      </c>
      <c r="D54" t="s">
        <v>1726</v>
      </c>
      <c r="E54" t="s">
        <v>1823</v>
      </c>
      <c r="F54" s="274" t="s">
        <v>2047</v>
      </c>
      <c r="G54" s="264">
        <f t="shared" si="5"/>
        <v>1</v>
      </c>
      <c r="H54" t="str">
        <f t="shared" si="6"/>
        <v>PROCESSADA</v>
      </c>
      <c r="I54">
        <v>3</v>
      </c>
      <c r="J54" s="274">
        <v>3</v>
      </c>
      <c r="K54">
        <f t="shared" si="7"/>
        <v>6</v>
      </c>
      <c r="L54" t="s">
        <v>397</v>
      </c>
      <c r="M54" t="s">
        <v>1727</v>
      </c>
      <c r="N54">
        <v>4</v>
      </c>
      <c r="O54">
        <f t="shared" si="8"/>
        <v>12</v>
      </c>
      <c r="P54">
        <f t="shared" si="9"/>
        <v>24</v>
      </c>
    </row>
    <row r="55" spans="1:16" hidden="1" x14ac:dyDescent="0.25">
      <c r="A55">
        <v>13</v>
      </c>
      <c r="B55" t="s">
        <v>1737</v>
      </c>
      <c r="C55" t="s">
        <v>247</v>
      </c>
      <c r="D55" t="s">
        <v>1716</v>
      </c>
      <c r="E55" t="s">
        <v>1824</v>
      </c>
      <c r="F55" s="274" t="s">
        <v>2047</v>
      </c>
      <c r="G55" s="264">
        <f t="shared" si="5"/>
        <v>1</v>
      </c>
      <c r="H55" t="str">
        <f t="shared" si="6"/>
        <v>PROCESSADA</v>
      </c>
      <c r="I55">
        <v>3</v>
      </c>
      <c r="J55" s="274">
        <v>3</v>
      </c>
      <c r="K55">
        <f t="shared" si="7"/>
        <v>6</v>
      </c>
      <c r="L55" t="s">
        <v>399</v>
      </c>
      <c r="M55" t="s">
        <v>1724</v>
      </c>
      <c r="N55">
        <v>4</v>
      </c>
      <c r="O55">
        <f t="shared" si="8"/>
        <v>12</v>
      </c>
      <c r="P55">
        <f t="shared" si="9"/>
        <v>24</v>
      </c>
    </row>
    <row r="56" spans="1:16" hidden="1" x14ac:dyDescent="0.25">
      <c r="A56">
        <v>13</v>
      </c>
      <c r="B56" t="s">
        <v>1738</v>
      </c>
      <c r="C56" t="s">
        <v>238</v>
      </c>
      <c r="D56" t="s">
        <v>1716</v>
      </c>
      <c r="E56" t="s">
        <v>1825</v>
      </c>
      <c r="F56" s="274" t="s">
        <v>76</v>
      </c>
      <c r="G56" s="264">
        <f t="shared" si="5"/>
        <v>0</v>
      </c>
      <c r="H56" t="str">
        <f t="shared" si="6"/>
        <v>PENDENTE</v>
      </c>
      <c r="I56">
        <v>3</v>
      </c>
      <c r="J56" s="274">
        <v>3</v>
      </c>
      <c r="K56">
        <f t="shared" si="7"/>
        <v>6</v>
      </c>
      <c r="L56" t="s">
        <v>401</v>
      </c>
      <c r="M56" t="s">
        <v>1718</v>
      </c>
      <c r="N56">
        <v>4</v>
      </c>
      <c r="O56">
        <f t="shared" si="8"/>
        <v>12</v>
      </c>
      <c r="P56">
        <f t="shared" si="9"/>
        <v>24</v>
      </c>
    </row>
    <row r="57" spans="1:16" x14ac:dyDescent="0.25">
      <c r="A57">
        <v>14</v>
      </c>
      <c r="B57" t="s">
        <v>1715</v>
      </c>
      <c r="C57" t="s">
        <v>238</v>
      </c>
      <c r="D57" t="s">
        <v>1716</v>
      </c>
      <c r="E57" t="s">
        <v>1826</v>
      </c>
      <c r="F57" s="274" t="s">
        <v>2047</v>
      </c>
      <c r="G57" s="264">
        <f t="shared" si="5"/>
        <v>1</v>
      </c>
      <c r="H57" t="str">
        <f t="shared" si="6"/>
        <v>PROCESSADA</v>
      </c>
      <c r="I57">
        <v>3</v>
      </c>
      <c r="J57" s="274">
        <v>3</v>
      </c>
      <c r="K57">
        <f t="shared" si="7"/>
        <v>6</v>
      </c>
      <c r="L57" t="s">
        <v>401</v>
      </c>
      <c r="M57" t="s">
        <v>1718</v>
      </c>
      <c r="N57">
        <v>4</v>
      </c>
      <c r="O57">
        <f t="shared" si="8"/>
        <v>12</v>
      </c>
      <c r="P57">
        <f t="shared" si="9"/>
        <v>24</v>
      </c>
    </row>
    <row r="58" spans="1:16" x14ac:dyDescent="0.25">
      <c r="A58">
        <v>14</v>
      </c>
      <c r="B58" t="s">
        <v>1723</v>
      </c>
      <c r="C58" t="s">
        <v>247</v>
      </c>
      <c r="D58" t="s">
        <v>1716</v>
      </c>
      <c r="E58" t="s">
        <v>1827</v>
      </c>
      <c r="F58" s="274" t="s">
        <v>2047</v>
      </c>
      <c r="G58" s="264">
        <f t="shared" si="5"/>
        <v>1</v>
      </c>
      <c r="H58" t="str">
        <f t="shared" si="6"/>
        <v>PROCESSADA</v>
      </c>
      <c r="I58">
        <v>3</v>
      </c>
      <c r="J58" s="274">
        <v>3</v>
      </c>
      <c r="K58">
        <f t="shared" si="7"/>
        <v>6</v>
      </c>
      <c r="L58" t="s">
        <v>399</v>
      </c>
      <c r="M58" t="s">
        <v>1724</v>
      </c>
      <c r="N58">
        <v>4</v>
      </c>
      <c r="O58">
        <f t="shared" si="8"/>
        <v>12</v>
      </c>
      <c r="P58">
        <f t="shared" si="9"/>
        <v>24</v>
      </c>
    </row>
    <row r="59" spans="1:16" x14ac:dyDescent="0.25">
      <c r="A59">
        <v>14</v>
      </c>
      <c r="B59" t="s">
        <v>1725</v>
      </c>
      <c r="C59" t="s">
        <v>248</v>
      </c>
      <c r="D59" t="s">
        <v>1726</v>
      </c>
      <c r="E59" t="s">
        <v>1828</v>
      </c>
      <c r="F59" s="274" t="s">
        <v>2047</v>
      </c>
      <c r="G59" s="264">
        <f t="shared" si="5"/>
        <v>1</v>
      </c>
      <c r="H59" t="str">
        <f t="shared" si="6"/>
        <v>PROCESSADA</v>
      </c>
      <c r="I59">
        <v>3</v>
      </c>
      <c r="J59" s="274">
        <v>3</v>
      </c>
      <c r="K59">
        <f t="shared" si="7"/>
        <v>6</v>
      </c>
      <c r="L59" t="s">
        <v>397</v>
      </c>
      <c r="M59" t="s">
        <v>1727</v>
      </c>
      <c r="N59">
        <v>4</v>
      </c>
      <c r="O59">
        <f t="shared" si="8"/>
        <v>12</v>
      </c>
      <c r="P59">
        <f t="shared" si="9"/>
        <v>24</v>
      </c>
    </row>
    <row r="60" spans="1:16" x14ac:dyDescent="0.25">
      <c r="A60">
        <v>14</v>
      </c>
      <c r="B60" t="s">
        <v>1729</v>
      </c>
      <c r="C60" t="s">
        <v>241</v>
      </c>
      <c r="D60" t="s">
        <v>1716</v>
      </c>
      <c r="E60" t="s">
        <v>1829</v>
      </c>
      <c r="F60" s="274" t="s">
        <v>2047</v>
      </c>
      <c r="G60" s="264">
        <f t="shared" si="5"/>
        <v>1</v>
      </c>
      <c r="H60" t="str">
        <f t="shared" si="6"/>
        <v>PROCESSADA</v>
      </c>
      <c r="I60">
        <v>3</v>
      </c>
      <c r="J60" s="274">
        <v>3</v>
      </c>
      <c r="K60">
        <f t="shared" si="7"/>
        <v>6</v>
      </c>
      <c r="L60" t="s">
        <v>401</v>
      </c>
      <c r="M60" t="s">
        <v>1718</v>
      </c>
      <c r="N60">
        <v>4</v>
      </c>
      <c r="O60">
        <f t="shared" si="8"/>
        <v>12</v>
      </c>
      <c r="P60">
        <f t="shared" si="9"/>
        <v>24</v>
      </c>
    </row>
    <row r="61" spans="1:16" x14ac:dyDescent="0.25">
      <c r="A61">
        <v>14</v>
      </c>
      <c r="B61" t="s">
        <v>1730</v>
      </c>
      <c r="C61" t="s">
        <v>243</v>
      </c>
      <c r="D61" t="s">
        <v>1726</v>
      </c>
      <c r="E61" t="s">
        <v>1830</v>
      </c>
      <c r="F61" s="274" t="s">
        <v>2047</v>
      </c>
      <c r="G61" s="264">
        <f t="shared" si="5"/>
        <v>1</v>
      </c>
      <c r="H61" t="str">
        <f t="shared" si="6"/>
        <v>PROCESSADA</v>
      </c>
      <c r="I61">
        <v>3</v>
      </c>
      <c r="J61" s="274">
        <v>3</v>
      </c>
      <c r="K61">
        <f t="shared" si="7"/>
        <v>6</v>
      </c>
      <c r="L61" t="s">
        <v>397</v>
      </c>
      <c r="M61" t="s">
        <v>1727</v>
      </c>
      <c r="N61">
        <v>4</v>
      </c>
      <c r="O61">
        <f t="shared" si="8"/>
        <v>12</v>
      </c>
      <c r="P61">
        <f t="shared" si="9"/>
        <v>24</v>
      </c>
    </row>
    <row r="62" spans="1:16" x14ac:dyDescent="0.25">
      <c r="A62">
        <v>14</v>
      </c>
      <c r="B62" t="s">
        <v>1731</v>
      </c>
      <c r="C62" t="s">
        <v>244</v>
      </c>
      <c r="D62" t="s">
        <v>1716</v>
      </c>
      <c r="E62" t="s">
        <v>1831</v>
      </c>
      <c r="F62" s="274" t="s">
        <v>2047</v>
      </c>
      <c r="G62" s="264">
        <f t="shared" si="5"/>
        <v>1</v>
      </c>
      <c r="H62" t="str">
        <f t="shared" si="6"/>
        <v>PROCESSADA</v>
      </c>
      <c r="I62">
        <v>3</v>
      </c>
      <c r="J62" s="274">
        <v>3</v>
      </c>
      <c r="K62">
        <f t="shared" si="7"/>
        <v>6</v>
      </c>
      <c r="L62" t="s">
        <v>401</v>
      </c>
      <c r="M62" t="s">
        <v>1718</v>
      </c>
      <c r="N62">
        <v>4</v>
      </c>
      <c r="O62">
        <f t="shared" si="8"/>
        <v>12</v>
      </c>
      <c r="P62">
        <f t="shared" si="9"/>
        <v>24</v>
      </c>
    </row>
    <row r="63" spans="1:16" x14ac:dyDescent="0.25">
      <c r="A63">
        <v>14</v>
      </c>
      <c r="B63" t="s">
        <v>1732</v>
      </c>
      <c r="C63" t="s">
        <v>245</v>
      </c>
      <c r="D63" t="s">
        <v>1726</v>
      </c>
      <c r="E63" t="s">
        <v>1832</v>
      </c>
      <c r="F63" s="274" t="s">
        <v>2047</v>
      </c>
      <c r="G63" s="264">
        <f t="shared" si="5"/>
        <v>1</v>
      </c>
      <c r="H63" t="str">
        <f t="shared" si="6"/>
        <v>PROCESSADA</v>
      </c>
      <c r="I63">
        <v>3</v>
      </c>
      <c r="J63" s="274">
        <v>3</v>
      </c>
      <c r="K63">
        <f t="shared" si="7"/>
        <v>6</v>
      </c>
      <c r="L63" t="s">
        <v>397</v>
      </c>
      <c r="M63" t="s">
        <v>1727</v>
      </c>
      <c r="N63">
        <v>4</v>
      </c>
      <c r="O63">
        <f t="shared" si="8"/>
        <v>12</v>
      </c>
      <c r="P63">
        <f t="shared" si="9"/>
        <v>24</v>
      </c>
    </row>
    <row r="64" spans="1:16" x14ac:dyDescent="0.25">
      <c r="A64">
        <v>14</v>
      </c>
      <c r="B64" t="s">
        <v>1733</v>
      </c>
      <c r="C64" t="s">
        <v>244</v>
      </c>
      <c r="D64" t="s">
        <v>1716</v>
      </c>
      <c r="E64" t="s">
        <v>1833</v>
      </c>
      <c r="F64" s="274" t="s">
        <v>2047</v>
      </c>
      <c r="G64" s="264">
        <f t="shared" si="5"/>
        <v>1</v>
      </c>
      <c r="H64" t="str">
        <f t="shared" si="6"/>
        <v>PROCESSADA</v>
      </c>
      <c r="I64">
        <v>3</v>
      </c>
      <c r="J64" s="274">
        <v>3</v>
      </c>
      <c r="K64">
        <f t="shared" si="7"/>
        <v>6</v>
      </c>
      <c r="L64" t="s">
        <v>401</v>
      </c>
      <c r="M64" t="s">
        <v>1718</v>
      </c>
      <c r="N64">
        <v>4</v>
      </c>
      <c r="O64">
        <f t="shared" si="8"/>
        <v>12</v>
      </c>
      <c r="P64">
        <f t="shared" si="9"/>
        <v>24</v>
      </c>
    </row>
    <row r="65" spans="1:16" x14ac:dyDescent="0.25">
      <c r="A65">
        <v>14</v>
      </c>
      <c r="B65" t="s">
        <v>1734</v>
      </c>
      <c r="C65" t="s">
        <v>243</v>
      </c>
      <c r="D65" t="s">
        <v>1726</v>
      </c>
      <c r="E65" t="s">
        <v>1834</v>
      </c>
      <c r="F65" s="274" t="s">
        <v>2047</v>
      </c>
      <c r="G65" s="264">
        <f t="shared" si="5"/>
        <v>1</v>
      </c>
      <c r="H65" t="str">
        <f t="shared" si="6"/>
        <v>PROCESSADA</v>
      </c>
      <c r="I65">
        <v>3</v>
      </c>
      <c r="J65" s="274">
        <v>3</v>
      </c>
      <c r="K65">
        <f t="shared" si="7"/>
        <v>6</v>
      </c>
      <c r="L65" t="s">
        <v>397</v>
      </c>
      <c r="M65" t="s">
        <v>1727</v>
      </c>
      <c r="N65">
        <v>4</v>
      </c>
      <c r="O65">
        <f t="shared" si="8"/>
        <v>12</v>
      </c>
      <c r="P65">
        <f t="shared" si="9"/>
        <v>24</v>
      </c>
    </row>
    <row r="66" spans="1:16" x14ac:dyDescent="0.25">
      <c r="A66">
        <v>14</v>
      </c>
      <c r="B66" t="s">
        <v>1735</v>
      </c>
      <c r="C66" t="s">
        <v>241</v>
      </c>
      <c r="D66" t="s">
        <v>1716</v>
      </c>
      <c r="E66" t="s">
        <v>1835</v>
      </c>
      <c r="F66" s="274" t="s">
        <v>2047</v>
      </c>
      <c r="G66" s="264">
        <f t="shared" si="5"/>
        <v>1</v>
      </c>
      <c r="H66" t="str">
        <f t="shared" si="6"/>
        <v>PROCESSADA</v>
      </c>
      <c r="I66">
        <v>3</v>
      </c>
      <c r="J66" s="274">
        <v>3</v>
      </c>
      <c r="K66">
        <f t="shared" si="7"/>
        <v>6</v>
      </c>
      <c r="L66" t="s">
        <v>401</v>
      </c>
      <c r="M66" t="s">
        <v>1718</v>
      </c>
      <c r="N66">
        <v>4</v>
      </c>
      <c r="O66">
        <f t="shared" si="8"/>
        <v>12</v>
      </c>
      <c r="P66">
        <f t="shared" si="9"/>
        <v>24</v>
      </c>
    </row>
    <row r="67" spans="1:16" x14ac:dyDescent="0.25">
      <c r="A67">
        <v>14</v>
      </c>
      <c r="B67" t="s">
        <v>1736</v>
      </c>
      <c r="C67" t="s">
        <v>248</v>
      </c>
      <c r="D67" t="s">
        <v>1726</v>
      </c>
      <c r="E67" t="s">
        <v>1836</v>
      </c>
      <c r="F67" s="274" t="s">
        <v>2047</v>
      </c>
      <c r="G67" s="264">
        <f t="shared" si="5"/>
        <v>1</v>
      </c>
      <c r="H67" t="str">
        <f t="shared" si="6"/>
        <v>PROCESSADA</v>
      </c>
      <c r="I67">
        <v>3</v>
      </c>
      <c r="J67" s="274">
        <v>3</v>
      </c>
      <c r="K67">
        <f t="shared" si="7"/>
        <v>6</v>
      </c>
      <c r="L67" t="s">
        <v>397</v>
      </c>
      <c r="M67" t="s">
        <v>1727</v>
      </c>
      <c r="N67">
        <v>4</v>
      </c>
      <c r="O67">
        <f t="shared" si="8"/>
        <v>12</v>
      </c>
      <c r="P67">
        <f t="shared" si="9"/>
        <v>24</v>
      </c>
    </row>
    <row r="68" spans="1:16" x14ac:dyDescent="0.25">
      <c r="A68">
        <v>14</v>
      </c>
      <c r="B68" t="s">
        <v>1737</v>
      </c>
      <c r="C68" t="s">
        <v>247</v>
      </c>
      <c r="D68" t="s">
        <v>1716</v>
      </c>
      <c r="E68" t="s">
        <v>1837</v>
      </c>
      <c r="F68" s="274" t="s">
        <v>2047</v>
      </c>
      <c r="G68" s="264">
        <f t="shared" si="5"/>
        <v>1</v>
      </c>
      <c r="H68" t="str">
        <f t="shared" si="6"/>
        <v>PROCESSADA</v>
      </c>
      <c r="I68">
        <v>3</v>
      </c>
      <c r="J68" s="274">
        <v>3</v>
      </c>
      <c r="K68">
        <f t="shared" si="7"/>
        <v>6</v>
      </c>
      <c r="L68" t="s">
        <v>399</v>
      </c>
      <c r="M68" t="s">
        <v>1724</v>
      </c>
      <c r="N68">
        <v>4</v>
      </c>
      <c r="O68">
        <f t="shared" si="8"/>
        <v>12</v>
      </c>
      <c r="P68">
        <f t="shared" si="9"/>
        <v>24</v>
      </c>
    </row>
    <row r="69" spans="1:16" x14ac:dyDescent="0.25">
      <c r="A69">
        <v>14</v>
      </c>
      <c r="B69" t="s">
        <v>1738</v>
      </c>
      <c r="C69" t="s">
        <v>238</v>
      </c>
      <c r="D69" t="s">
        <v>1716</v>
      </c>
      <c r="E69" t="s">
        <v>1838</v>
      </c>
      <c r="F69" s="274" t="s">
        <v>2047</v>
      </c>
      <c r="G69" s="264">
        <f t="shared" ref="G69:G100" si="10">IF(F69="SIM",1,0)</f>
        <v>1</v>
      </c>
      <c r="H69" t="str">
        <f t="shared" ref="H69:H100" si="11">IF(F69="SIM","PROCESSADA","PENDENTE")</f>
        <v>PROCESSADA</v>
      </c>
      <c r="I69">
        <v>3</v>
      </c>
      <c r="J69" s="274">
        <v>3</v>
      </c>
      <c r="K69">
        <f t="shared" ref="K69:K100" si="12">I69+J69</f>
        <v>6</v>
      </c>
      <c r="L69" t="s">
        <v>401</v>
      </c>
      <c r="M69" t="s">
        <v>1718</v>
      </c>
      <c r="N69">
        <v>4</v>
      </c>
      <c r="O69">
        <f t="shared" ref="O69:O100" si="13">I69*N69</f>
        <v>12</v>
      </c>
      <c r="P69">
        <f t="shared" ref="P69:P100" si="14">K69*N69</f>
        <v>24</v>
      </c>
    </row>
    <row r="70" spans="1:16" x14ac:dyDescent="0.25">
      <c r="A70">
        <v>15</v>
      </c>
      <c r="B70" t="s">
        <v>1715</v>
      </c>
      <c r="C70" t="s">
        <v>238</v>
      </c>
      <c r="D70" t="s">
        <v>1716</v>
      </c>
      <c r="E70" t="s">
        <v>1839</v>
      </c>
      <c r="F70" s="274" t="s">
        <v>2047</v>
      </c>
      <c r="G70" s="264">
        <f t="shared" si="10"/>
        <v>1</v>
      </c>
      <c r="H70" t="str">
        <f t="shared" si="11"/>
        <v>PROCESSADA</v>
      </c>
      <c r="I70">
        <v>3</v>
      </c>
      <c r="J70" s="274">
        <v>3</v>
      </c>
      <c r="K70">
        <f t="shared" si="12"/>
        <v>6</v>
      </c>
      <c r="L70" t="s">
        <v>401</v>
      </c>
      <c r="M70" t="s">
        <v>1718</v>
      </c>
      <c r="N70">
        <v>4</v>
      </c>
      <c r="O70">
        <f t="shared" si="13"/>
        <v>12</v>
      </c>
      <c r="P70">
        <f t="shared" si="14"/>
        <v>24</v>
      </c>
    </row>
    <row r="71" spans="1:16" x14ac:dyDescent="0.25">
      <c r="A71">
        <v>15</v>
      </c>
      <c r="B71" t="s">
        <v>1723</v>
      </c>
      <c r="C71" t="s">
        <v>247</v>
      </c>
      <c r="D71" t="s">
        <v>1716</v>
      </c>
      <c r="E71" t="s">
        <v>1840</v>
      </c>
      <c r="F71" s="274" t="s">
        <v>2047</v>
      </c>
      <c r="G71" s="264">
        <f t="shared" si="10"/>
        <v>1</v>
      </c>
      <c r="H71" t="str">
        <f t="shared" si="11"/>
        <v>PROCESSADA</v>
      </c>
      <c r="I71">
        <v>3</v>
      </c>
      <c r="J71" s="274">
        <v>3</v>
      </c>
      <c r="K71">
        <f t="shared" si="12"/>
        <v>6</v>
      </c>
      <c r="L71" t="s">
        <v>399</v>
      </c>
      <c r="M71" t="s">
        <v>1724</v>
      </c>
      <c r="N71">
        <v>4</v>
      </c>
      <c r="O71">
        <f t="shared" si="13"/>
        <v>12</v>
      </c>
      <c r="P71">
        <f t="shared" si="14"/>
        <v>24</v>
      </c>
    </row>
    <row r="72" spans="1:16" x14ac:dyDescent="0.25">
      <c r="A72">
        <v>15</v>
      </c>
      <c r="B72" t="s">
        <v>1725</v>
      </c>
      <c r="C72" t="s">
        <v>248</v>
      </c>
      <c r="D72" t="s">
        <v>1726</v>
      </c>
      <c r="E72" t="s">
        <v>1841</v>
      </c>
      <c r="F72" s="274" t="s">
        <v>2047</v>
      </c>
      <c r="G72" s="264">
        <f t="shared" si="10"/>
        <v>1</v>
      </c>
      <c r="H72" t="str">
        <f t="shared" si="11"/>
        <v>PROCESSADA</v>
      </c>
      <c r="I72">
        <v>3</v>
      </c>
      <c r="J72" s="274">
        <v>3</v>
      </c>
      <c r="K72">
        <f t="shared" si="12"/>
        <v>6</v>
      </c>
      <c r="L72" t="s">
        <v>397</v>
      </c>
      <c r="M72" t="s">
        <v>1727</v>
      </c>
      <c r="N72">
        <v>4</v>
      </c>
      <c r="O72">
        <f t="shared" si="13"/>
        <v>12</v>
      </c>
      <c r="P72">
        <f t="shared" si="14"/>
        <v>24</v>
      </c>
    </row>
    <row r="73" spans="1:16" x14ac:dyDescent="0.25">
      <c r="A73">
        <v>15</v>
      </c>
      <c r="B73" t="s">
        <v>1729</v>
      </c>
      <c r="C73" t="s">
        <v>241</v>
      </c>
      <c r="D73" t="s">
        <v>1716</v>
      </c>
      <c r="E73" t="s">
        <v>1842</v>
      </c>
      <c r="F73" s="274" t="s">
        <v>2047</v>
      </c>
      <c r="G73" s="264">
        <f t="shared" si="10"/>
        <v>1</v>
      </c>
      <c r="H73" t="str">
        <f t="shared" si="11"/>
        <v>PROCESSADA</v>
      </c>
      <c r="I73">
        <v>3</v>
      </c>
      <c r="J73" s="274">
        <v>3</v>
      </c>
      <c r="K73">
        <f t="shared" si="12"/>
        <v>6</v>
      </c>
      <c r="L73" t="s">
        <v>401</v>
      </c>
      <c r="M73" t="s">
        <v>1718</v>
      </c>
      <c r="N73">
        <v>4</v>
      </c>
      <c r="O73">
        <f t="shared" si="13"/>
        <v>12</v>
      </c>
      <c r="P73">
        <f t="shared" si="14"/>
        <v>24</v>
      </c>
    </row>
    <row r="74" spans="1:16" x14ac:dyDescent="0.25">
      <c r="A74">
        <v>15</v>
      </c>
      <c r="B74" t="s">
        <v>1730</v>
      </c>
      <c r="C74" t="s">
        <v>243</v>
      </c>
      <c r="D74" t="s">
        <v>1726</v>
      </c>
      <c r="E74" t="s">
        <v>1843</v>
      </c>
      <c r="F74" s="274" t="s">
        <v>2047</v>
      </c>
      <c r="G74" s="264">
        <f t="shared" si="10"/>
        <v>1</v>
      </c>
      <c r="H74" t="str">
        <f t="shared" si="11"/>
        <v>PROCESSADA</v>
      </c>
      <c r="I74">
        <v>3</v>
      </c>
      <c r="J74" s="274">
        <v>3</v>
      </c>
      <c r="K74">
        <f t="shared" si="12"/>
        <v>6</v>
      </c>
      <c r="L74" t="s">
        <v>397</v>
      </c>
      <c r="M74" t="s">
        <v>1727</v>
      </c>
      <c r="N74">
        <v>4</v>
      </c>
      <c r="O74">
        <f t="shared" si="13"/>
        <v>12</v>
      </c>
      <c r="P74">
        <f t="shared" si="14"/>
        <v>24</v>
      </c>
    </row>
    <row r="75" spans="1:16" x14ac:dyDescent="0.25">
      <c r="A75">
        <v>15</v>
      </c>
      <c r="B75" t="s">
        <v>1731</v>
      </c>
      <c r="C75" t="s">
        <v>244</v>
      </c>
      <c r="D75" t="s">
        <v>1716</v>
      </c>
      <c r="E75" t="s">
        <v>1844</v>
      </c>
      <c r="F75" s="274" t="s">
        <v>2047</v>
      </c>
      <c r="G75" s="264">
        <f t="shared" si="10"/>
        <v>1</v>
      </c>
      <c r="H75" t="str">
        <f t="shared" si="11"/>
        <v>PROCESSADA</v>
      </c>
      <c r="I75">
        <v>3</v>
      </c>
      <c r="J75" s="274">
        <v>3</v>
      </c>
      <c r="K75">
        <f t="shared" si="12"/>
        <v>6</v>
      </c>
      <c r="L75" t="s">
        <v>401</v>
      </c>
      <c r="M75" t="s">
        <v>1718</v>
      </c>
      <c r="N75">
        <v>4</v>
      </c>
      <c r="O75">
        <f t="shared" si="13"/>
        <v>12</v>
      </c>
      <c r="P75">
        <f t="shared" si="14"/>
        <v>24</v>
      </c>
    </row>
    <row r="76" spans="1:16" x14ac:dyDescent="0.25">
      <c r="A76">
        <v>15</v>
      </c>
      <c r="B76" t="s">
        <v>1732</v>
      </c>
      <c r="C76" t="s">
        <v>245</v>
      </c>
      <c r="D76" t="s">
        <v>1726</v>
      </c>
      <c r="E76" t="s">
        <v>1845</v>
      </c>
      <c r="F76" s="274" t="s">
        <v>2047</v>
      </c>
      <c r="G76" s="264">
        <f t="shared" si="10"/>
        <v>1</v>
      </c>
      <c r="H76" t="str">
        <f t="shared" si="11"/>
        <v>PROCESSADA</v>
      </c>
      <c r="I76">
        <v>3</v>
      </c>
      <c r="J76" s="274">
        <v>3</v>
      </c>
      <c r="K76">
        <f t="shared" si="12"/>
        <v>6</v>
      </c>
      <c r="L76" t="s">
        <v>397</v>
      </c>
      <c r="M76" t="s">
        <v>1727</v>
      </c>
      <c r="N76">
        <v>4</v>
      </c>
      <c r="O76">
        <f t="shared" si="13"/>
        <v>12</v>
      </c>
      <c r="P76">
        <f t="shared" si="14"/>
        <v>24</v>
      </c>
    </row>
    <row r="77" spans="1:16" x14ac:dyDescent="0.25">
      <c r="A77">
        <v>15</v>
      </c>
      <c r="B77" t="s">
        <v>1733</v>
      </c>
      <c r="C77" t="s">
        <v>244</v>
      </c>
      <c r="D77" t="s">
        <v>1716</v>
      </c>
      <c r="E77" t="s">
        <v>1846</v>
      </c>
      <c r="F77" s="274" t="s">
        <v>2047</v>
      </c>
      <c r="G77" s="264">
        <f t="shared" si="10"/>
        <v>1</v>
      </c>
      <c r="H77" t="str">
        <f t="shared" si="11"/>
        <v>PROCESSADA</v>
      </c>
      <c r="I77">
        <v>3</v>
      </c>
      <c r="J77" s="274">
        <v>3</v>
      </c>
      <c r="K77">
        <f t="shared" si="12"/>
        <v>6</v>
      </c>
      <c r="L77" t="s">
        <v>401</v>
      </c>
      <c r="M77" t="s">
        <v>1718</v>
      </c>
      <c r="N77">
        <v>4</v>
      </c>
      <c r="O77">
        <f t="shared" si="13"/>
        <v>12</v>
      </c>
      <c r="P77">
        <f t="shared" si="14"/>
        <v>24</v>
      </c>
    </row>
    <row r="78" spans="1:16" x14ac:dyDescent="0.25">
      <c r="A78">
        <v>15</v>
      </c>
      <c r="B78" t="s">
        <v>1734</v>
      </c>
      <c r="C78" t="s">
        <v>243</v>
      </c>
      <c r="D78" t="s">
        <v>1726</v>
      </c>
      <c r="E78" t="s">
        <v>1847</v>
      </c>
      <c r="F78" s="274" t="s">
        <v>2047</v>
      </c>
      <c r="G78" s="264">
        <f t="shared" si="10"/>
        <v>1</v>
      </c>
      <c r="H78" t="str">
        <f t="shared" si="11"/>
        <v>PROCESSADA</v>
      </c>
      <c r="I78">
        <v>3</v>
      </c>
      <c r="J78" s="274">
        <v>3</v>
      </c>
      <c r="K78">
        <f t="shared" si="12"/>
        <v>6</v>
      </c>
      <c r="L78" t="s">
        <v>397</v>
      </c>
      <c r="M78" t="s">
        <v>1727</v>
      </c>
      <c r="N78">
        <v>4</v>
      </c>
      <c r="O78">
        <f t="shared" si="13"/>
        <v>12</v>
      </c>
      <c r="P78">
        <f t="shared" si="14"/>
        <v>24</v>
      </c>
    </row>
    <row r="79" spans="1:16" x14ac:dyDescent="0.25">
      <c r="A79">
        <v>15</v>
      </c>
      <c r="B79" t="s">
        <v>1735</v>
      </c>
      <c r="C79" t="s">
        <v>241</v>
      </c>
      <c r="D79" t="s">
        <v>1716</v>
      </c>
      <c r="E79" t="s">
        <v>1848</v>
      </c>
      <c r="F79" s="274" t="s">
        <v>2047</v>
      </c>
      <c r="G79" s="264">
        <f t="shared" si="10"/>
        <v>1</v>
      </c>
      <c r="H79" t="str">
        <f t="shared" si="11"/>
        <v>PROCESSADA</v>
      </c>
      <c r="I79">
        <v>3</v>
      </c>
      <c r="J79" s="274">
        <v>3</v>
      </c>
      <c r="K79">
        <f t="shared" si="12"/>
        <v>6</v>
      </c>
      <c r="L79" t="s">
        <v>401</v>
      </c>
      <c r="M79" t="s">
        <v>1718</v>
      </c>
      <c r="N79">
        <v>4</v>
      </c>
      <c r="O79">
        <f t="shared" si="13"/>
        <v>12</v>
      </c>
      <c r="P79">
        <f t="shared" si="14"/>
        <v>24</v>
      </c>
    </row>
    <row r="80" spans="1:16" x14ac:dyDescent="0.25">
      <c r="A80">
        <v>15</v>
      </c>
      <c r="B80" t="s">
        <v>1736</v>
      </c>
      <c r="C80" t="s">
        <v>248</v>
      </c>
      <c r="D80" t="s">
        <v>1726</v>
      </c>
      <c r="E80" t="s">
        <v>1849</v>
      </c>
      <c r="F80" s="274" t="s">
        <v>2047</v>
      </c>
      <c r="G80" s="264">
        <f t="shared" si="10"/>
        <v>1</v>
      </c>
      <c r="H80" t="str">
        <f t="shared" si="11"/>
        <v>PROCESSADA</v>
      </c>
      <c r="I80">
        <v>3</v>
      </c>
      <c r="J80" s="274">
        <v>3</v>
      </c>
      <c r="K80">
        <f t="shared" si="12"/>
        <v>6</v>
      </c>
      <c r="L80" t="s">
        <v>397</v>
      </c>
      <c r="M80" t="s">
        <v>1727</v>
      </c>
      <c r="N80">
        <v>4</v>
      </c>
      <c r="O80">
        <f t="shared" si="13"/>
        <v>12</v>
      </c>
      <c r="P80">
        <f t="shared" si="14"/>
        <v>24</v>
      </c>
    </row>
    <row r="81" spans="1:16" x14ac:dyDescent="0.25">
      <c r="A81">
        <v>15</v>
      </c>
      <c r="B81" t="s">
        <v>1737</v>
      </c>
      <c r="C81" t="s">
        <v>247</v>
      </c>
      <c r="D81" t="s">
        <v>1716</v>
      </c>
      <c r="E81" t="s">
        <v>1850</v>
      </c>
      <c r="F81" s="274" t="s">
        <v>2047</v>
      </c>
      <c r="G81" s="264">
        <f t="shared" si="10"/>
        <v>1</v>
      </c>
      <c r="H81" t="str">
        <f t="shared" si="11"/>
        <v>PROCESSADA</v>
      </c>
      <c r="I81">
        <v>3</v>
      </c>
      <c r="J81" s="274">
        <v>3</v>
      </c>
      <c r="K81">
        <f t="shared" si="12"/>
        <v>6</v>
      </c>
      <c r="L81" t="s">
        <v>399</v>
      </c>
      <c r="M81" t="s">
        <v>1724</v>
      </c>
      <c r="N81">
        <v>4</v>
      </c>
      <c r="O81">
        <f t="shared" si="13"/>
        <v>12</v>
      </c>
      <c r="P81">
        <f t="shared" si="14"/>
        <v>24</v>
      </c>
    </row>
    <row r="82" spans="1:16" x14ac:dyDescent="0.25">
      <c r="A82">
        <v>15</v>
      </c>
      <c r="B82" t="s">
        <v>1738</v>
      </c>
      <c r="C82" t="s">
        <v>238</v>
      </c>
      <c r="D82" t="s">
        <v>1716</v>
      </c>
      <c r="E82" t="s">
        <v>1851</v>
      </c>
      <c r="F82" s="274" t="s">
        <v>2047</v>
      </c>
      <c r="G82" s="264">
        <f t="shared" si="10"/>
        <v>1</v>
      </c>
      <c r="H82" t="str">
        <f t="shared" si="11"/>
        <v>PROCESSADA</v>
      </c>
      <c r="I82">
        <v>3</v>
      </c>
      <c r="J82" s="274">
        <v>3</v>
      </c>
      <c r="K82">
        <f t="shared" si="12"/>
        <v>6</v>
      </c>
      <c r="L82" t="s">
        <v>401</v>
      </c>
      <c r="M82" t="s">
        <v>1718</v>
      </c>
      <c r="N82">
        <v>4</v>
      </c>
      <c r="O82">
        <f t="shared" si="13"/>
        <v>12</v>
      </c>
      <c r="P82">
        <f t="shared" si="14"/>
        <v>24</v>
      </c>
    </row>
    <row r="83" spans="1:16" x14ac:dyDescent="0.25">
      <c r="A83">
        <v>16</v>
      </c>
      <c r="B83" t="s">
        <v>1715</v>
      </c>
      <c r="C83" t="s">
        <v>238</v>
      </c>
      <c r="D83" t="s">
        <v>1716</v>
      </c>
      <c r="E83" t="s">
        <v>1852</v>
      </c>
      <c r="F83" s="274" t="s">
        <v>2047</v>
      </c>
      <c r="G83" s="264">
        <f t="shared" si="10"/>
        <v>1</v>
      </c>
      <c r="H83" t="str">
        <f t="shared" si="11"/>
        <v>PROCESSADA</v>
      </c>
      <c r="I83">
        <v>3</v>
      </c>
      <c r="J83" s="274">
        <v>3</v>
      </c>
      <c r="K83">
        <f t="shared" si="12"/>
        <v>6</v>
      </c>
      <c r="L83" t="s">
        <v>401</v>
      </c>
      <c r="M83" t="s">
        <v>1718</v>
      </c>
      <c r="N83">
        <v>4</v>
      </c>
      <c r="O83">
        <f t="shared" si="13"/>
        <v>12</v>
      </c>
      <c r="P83">
        <f t="shared" si="14"/>
        <v>24</v>
      </c>
    </row>
    <row r="84" spans="1:16" x14ac:dyDescent="0.25">
      <c r="A84">
        <v>16</v>
      </c>
      <c r="B84" t="s">
        <v>1723</v>
      </c>
      <c r="C84" t="s">
        <v>247</v>
      </c>
      <c r="D84" t="s">
        <v>1716</v>
      </c>
      <c r="E84" t="s">
        <v>1853</v>
      </c>
      <c r="F84" s="274" t="s">
        <v>2047</v>
      </c>
      <c r="G84" s="264">
        <f t="shared" si="10"/>
        <v>1</v>
      </c>
      <c r="H84" t="str">
        <f t="shared" si="11"/>
        <v>PROCESSADA</v>
      </c>
      <c r="I84">
        <v>3</v>
      </c>
      <c r="J84" s="274">
        <v>3</v>
      </c>
      <c r="K84">
        <f t="shared" si="12"/>
        <v>6</v>
      </c>
      <c r="L84" t="s">
        <v>399</v>
      </c>
      <c r="M84" t="s">
        <v>1724</v>
      </c>
      <c r="N84">
        <v>4</v>
      </c>
      <c r="O84">
        <f t="shared" si="13"/>
        <v>12</v>
      </c>
      <c r="P84">
        <f t="shared" si="14"/>
        <v>24</v>
      </c>
    </row>
    <row r="85" spans="1:16" x14ac:dyDescent="0.25">
      <c r="A85">
        <v>16</v>
      </c>
      <c r="B85" t="s">
        <v>1725</v>
      </c>
      <c r="C85" t="s">
        <v>248</v>
      </c>
      <c r="D85" t="s">
        <v>1726</v>
      </c>
      <c r="E85" t="s">
        <v>1854</v>
      </c>
      <c r="F85" s="274" t="s">
        <v>2047</v>
      </c>
      <c r="G85" s="264">
        <f t="shared" si="10"/>
        <v>1</v>
      </c>
      <c r="H85" t="str">
        <f t="shared" si="11"/>
        <v>PROCESSADA</v>
      </c>
      <c r="I85">
        <v>3</v>
      </c>
      <c r="J85" s="274">
        <v>3</v>
      </c>
      <c r="K85">
        <f t="shared" si="12"/>
        <v>6</v>
      </c>
      <c r="L85" t="s">
        <v>397</v>
      </c>
      <c r="M85" t="s">
        <v>1727</v>
      </c>
      <c r="N85">
        <v>4</v>
      </c>
      <c r="O85">
        <f t="shared" si="13"/>
        <v>12</v>
      </c>
      <c r="P85">
        <f t="shared" si="14"/>
        <v>24</v>
      </c>
    </row>
    <row r="86" spans="1:16" x14ac:dyDescent="0.25">
      <c r="A86">
        <v>16</v>
      </c>
      <c r="B86" t="s">
        <v>1729</v>
      </c>
      <c r="C86" t="s">
        <v>241</v>
      </c>
      <c r="D86" t="s">
        <v>1716</v>
      </c>
      <c r="E86" t="s">
        <v>1855</v>
      </c>
      <c r="F86" s="274" t="s">
        <v>2047</v>
      </c>
      <c r="G86" s="264">
        <f t="shared" si="10"/>
        <v>1</v>
      </c>
      <c r="H86" t="str">
        <f t="shared" si="11"/>
        <v>PROCESSADA</v>
      </c>
      <c r="I86">
        <v>3</v>
      </c>
      <c r="J86" s="274">
        <v>3</v>
      </c>
      <c r="K86">
        <f t="shared" si="12"/>
        <v>6</v>
      </c>
      <c r="L86" t="s">
        <v>401</v>
      </c>
      <c r="M86" t="s">
        <v>1718</v>
      </c>
      <c r="N86">
        <v>4</v>
      </c>
      <c r="O86">
        <f t="shared" si="13"/>
        <v>12</v>
      </c>
      <c r="P86">
        <f t="shared" si="14"/>
        <v>24</v>
      </c>
    </row>
    <row r="87" spans="1:16" x14ac:dyDescent="0.25">
      <c r="A87">
        <v>16</v>
      </c>
      <c r="B87" t="s">
        <v>1730</v>
      </c>
      <c r="C87" t="s">
        <v>243</v>
      </c>
      <c r="D87" t="s">
        <v>1726</v>
      </c>
      <c r="E87" t="s">
        <v>1856</v>
      </c>
      <c r="F87" s="274" t="s">
        <v>2047</v>
      </c>
      <c r="G87" s="264">
        <f t="shared" si="10"/>
        <v>1</v>
      </c>
      <c r="H87" t="str">
        <f t="shared" si="11"/>
        <v>PROCESSADA</v>
      </c>
      <c r="I87">
        <v>3</v>
      </c>
      <c r="J87" s="274">
        <v>3</v>
      </c>
      <c r="K87">
        <f t="shared" si="12"/>
        <v>6</v>
      </c>
      <c r="L87" t="s">
        <v>397</v>
      </c>
      <c r="M87" t="s">
        <v>1727</v>
      </c>
      <c r="N87">
        <v>4</v>
      </c>
      <c r="O87">
        <f t="shared" si="13"/>
        <v>12</v>
      </c>
      <c r="P87">
        <f t="shared" si="14"/>
        <v>24</v>
      </c>
    </row>
    <row r="88" spans="1:16" x14ac:dyDescent="0.25">
      <c r="A88">
        <v>16</v>
      </c>
      <c r="B88" t="s">
        <v>1731</v>
      </c>
      <c r="C88" t="s">
        <v>244</v>
      </c>
      <c r="D88" t="s">
        <v>1716</v>
      </c>
      <c r="E88" t="s">
        <v>1857</v>
      </c>
      <c r="F88" s="274" t="s">
        <v>2047</v>
      </c>
      <c r="G88" s="264">
        <f t="shared" si="10"/>
        <v>1</v>
      </c>
      <c r="H88" t="str">
        <f t="shared" si="11"/>
        <v>PROCESSADA</v>
      </c>
      <c r="I88">
        <v>3</v>
      </c>
      <c r="J88" s="274">
        <v>3</v>
      </c>
      <c r="K88">
        <f t="shared" si="12"/>
        <v>6</v>
      </c>
      <c r="L88" t="s">
        <v>401</v>
      </c>
      <c r="M88" t="s">
        <v>1718</v>
      </c>
      <c r="N88">
        <v>4</v>
      </c>
      <c r="O88">
        <f t="shared" si="13"/>
        <v>12</v>
      </c>
      <c r="P88">
        <f t="shared" si="14"/>
        <v>24</v>
      </c>
    </row>
    <row r="89" spans="1:16" x14ac:dyDescent="0.25">
      <c r="A89">
        <v>16</v>
      </c>
      <c r="B89" t="s">
        <v>1732</v>
      </c>
      <c r="C89" t="s">
        <v>245</v>
      </c>
      <c r="D89" t="s">
        <v>1726</v>
      </c>
      <c r="E89" t="s">
        <v>1858</v>
      </c>
      <c r="F89" s="274" t="s">
        <v>2047</v>
      </c>
      <c r="G89" s="264">
        <f t="shared" si="10"/>
        <v>1</v>
      </c>
      <c r="H89" t="str">
        <f t="shared" si="11"/>
        <v>PROCESSADA</v>
      </c>
      <c r="I89">
        <v>3</v>
      </c>
      <c r="J89" s="274">
        <v>3</v>
      </c>
      <c r="K89">
        <f t="shared" si="12"/>
        <v>6</v>
      </c>
      <c r="L89" t="s">
        <v>397</v>
      </c>
      <c r="M89" t="s">
        <v>1727</v>
      </c>
      <c r="N89">
        <v>4</v>
      </c>
      <c r="O89">
        <f t="shared" si="13"/>
        <v>12</v>
      </c>
      <c r="P89">
        <f t="shared" si="14"/>
        <v>24</v>
      </c>
    </row>
    <row r="90" spans="1:16" x14ac:dyDescent="0.25">
      <c r="A90">
        <v>16</v>
      </c>
      <c r="B90" t="s">
        <v>1733</v>
      </c>
      <c r="C90" t="s">
        <v>244</v>
      </c>
      <c r="D90" t="s">
        <v>1716</v>
      </c>
      <c r="E90" t="s">
        <v>1859</v>
      </c>
      <c r="F90" s="274" t="s">
        <v>2047</v>
      </c>
      <c r="G90" s="264">
        <f t="shared" si="10"/>
        <v>1</v>
      </c>
      <c r="H90" t="str">
        <f t="shared" si="11"/>
        <v>PROCESSADA</v>
      </c>
      <c r="I90">
        <v>3</v>
      </c>
      <c r="J90" s="274">
        <v>3</v>
      </c>
      <c r="K90">
        <f t="shared" si="12"/>
        <v>6</v>
      </c>
      <c r="L90" t="s">
        <v>401</v>
      </c>
      <c r="M90" t="s">
        <v>1718</v>
      </c>
      <c r="N90">
        <v>4</v>
      </c>
      <c r="O90">
        <f t="shared" si="13"/>
        <v>12</v>
      </c>
      <c r="P90">
        <f t="shared" si="14"/>
        <v>24</v>
      </c>
    </row>
    <row r="91" spans="1:16" x14ac:dyDescent="0.25">
      <c r="A91">
        <v>16</v>
      </c>
      <c r="B91" t="s">
        <v>1734</v>
      </c>
      <c r="C91" t="s">
        <v>243</v>
      </c>
      <c r="D91" t="s">
        <v>1726</v>
      </c>
      <c r="E91" t="s">
        <v>1860</v>
      </c>
      <c r="F91" s="274" t="s">
        <v>2047</v>
      </c>
      <c r="G91" s="264">
        <f t="shared" si="10"/>
        <v>1</v>
      </c>
      <c r="H91" t="str">
        <f t="shared" si="11"/>
        <v>PROCESSADA</v>
      </c>
      <c r="I91">
        <v>3</v>
      </c>
      <c r="J91" s="274">
        <v>3</v>
      </c>
      <c r="K91">
        <f t="shared" si="12"/>
        <v>6</v>
      </c>
      <c r="L91" t="s">
        <v>397</v>
      </c>
      <c r="M91" t="s">
        <v>1727</v>
      </c>
      <c r="N91">
        <v>4</v>
      </c>
      <c r="O91">
        <f t="shared" si="13"/>
        <v>12</v>
      </c>
      <c r="P91">
        <f t="shared" si="14"/>
        <v>24</v>
      </c>
    </row>
    <row r="92" spans="1:16" x14ac:dyDescent="0.25">
      <c r="A92">
        <v>16</v>
      </c>
      <c r="B92" t="s">
        <v>1735</v>
      </c>
      <c r="C92" t="s">
        <v>241</v>
      </c>
      <c r="D92" t="s">
        <v>1716</v>
      </c>
      <c r="E92" t="s">
        <v>1861</v>
      </c>
      <c r="F92" s="274" t="s">
        <v>2047</v>
      </c>
      <c r="G92" s="264">
        <f t="shared" si="10"/>
        <v>1</v>
      </c>
      <c r="H92" t="str">
        <f t="shared" si="11"/>
        <v>PROCESSADA</v>
      </c>
      <c r="I92">
        <v>3</v>
      </c>
      <c r="J92" s="274">
        <v>3</v>
      </c>
      <c r="K92">
        <f t="shared" si="12"/>
        <v>6</v>
      </c>
      <c r="L92" t="s">
        <v>401</v>
      </c>
      <c r="M92" t="s">
        <v>1718</v>
      </c>
      <c r="N92">
        <v>4</v>
      </c>
      <c r="O92">
        <f t="shared" si="13"/>
        <v>12</v>
      </c>
      <c r="P92">
        <f t="shared" si="14"/>
        <v>24</v>
      </c>
    </row>
    <row r="93" spans="1:16" x14ac:dyDescent="0.25">
      <c r="A93">
        <v>16</v>
      </c>
      <c r="B93" t="s">
        <v>1736</v>
      </c>
      <c r="C93" t="s">
        <v>248</v>
      </c>
      <c r="D93" t="s">
        <v>1726</v>
      </c>
      <c r="E93" t="s">
        <v>1862</v>
      </c>
      <c r="F93" s="274" t="s">
        <v>2047</v>
      </c>
      <c r="G93" s="264">
        <f t="shared" si="10"/>
        <v>1</v>
      </c>
      <c r="H93" t="str">
        <f t="shared" si="11"/>
        <v>PROCESSADA</v>
      </c>
      <c r="I93">
        <v>3</v>
      </c>
      <c r="J93" s="274">
        <v>3</v>
      </c>
      <c r="K93">
        <f t="shared" si="12"/>
        <v>6</v>
      </c>
      <c r="L93" t="s">
        <v>397</v>
      </c>
      <c r="M93" t="s">
        <v>1727</v>
      </c>
      <c r="N93">
        <v>4</v>
      </c>
      <c r="O93">
        <f t="shared" si="13"/>
        <v>12</v>
      </c>
      <c r="P93">
        <f t="shared" si="14"/>
        <v>24</v>
      </c>
    </row>
    <row r="94" spans="1:16" x14ac:dyDescent="0.25">
      <c r="A94">
        <v>16</v>
      </c>
      <c r="B94" t="s">
        <v>1737</v>
      </c>
      <c r="C94" t="s">
        <v>247</v>
      </c>
      <c r="D94" t="s">
        <v>1716</v>
      </c>
      <c r="E94" t="s">
        <v>1863</v>
      </c>
      <c r="F94" s="274" t="s">
        <v>2047</v>
      </c>
      <c r="G94" s="264">
        <f t="shared" si="10"/>
        <v>1</v>
      </c>
      <c r="H94" t="str">
        <f t="shared" si="11"/>
        <v>PROCESSADA</v>
      </c>
      <c r="I94">
        <v>3</v>
      </c>
      <c r="J94" s="274">
        <v>3</v>
      </c>
      <c r="K94">
        <f t="shared" si="12"/>
        <v>6</v>
      </c>
      <c r="L94" t="s">
        <v>399</v>
      </c>
      <c r="M94" t="s">
        <v>1724</v>
      </c>
      <c r="N94">
        <v>4</v>
      </c>
      <c r="O94">
        <f t="shared" si="13"/>
        <v>12</v>
      </c>
      <c r="P94">
        <f t="shared" si="14"/>
        <v>24</v>
      </c>
    </row>
    <row r="95" spans="1:16" x14ac:dyDescent="0.25">
      <c r="A95">
        <v>16</v>
      </c>
      <c r="B95" t="s">
        <v>1738</v>
      </c>
      <c r="C95" t="s">
        <v>238</v>
      </c>
      <c r="D95" t="s">
        <v>1716</v>
      </c>
      <c r="E95" t="s">
        <v>1864</v>
      </c>
      <c r="F95" s="274" t="s">
        <v>2047</v>
      </c>
      <c r="G95" s="264">
        <f t="shared" si="10"/>
        <v>1</v>
      </c>
      <c r="H95" t="str">
        <f t="shared" si="11"/>
        <v>PROCESSADA</v>
      </c>
      <c r="I95">
        <v>3</v>
      </c>
      <c r="J95" s="274">
        <v>3</v>
      </c>
      <c r="K95">
        <f t="shared" si="12"/>
        <v>6</v>
      </c>
      <c r="L95" t="s">
        <v>401</v>
      </c>
      <c r="M95" t="s">
        <v>1718</v>
      </c>
      <c r="N95">
        <v>4</v>
      </c>
      <c r="O95">
        <f t="shared" si="13"/>
        <v>12</v>
      </c>
      <c r="P95">
        <f t="shared" si="14"/>
        <v>24</v>
      </c>
    </row>
    <row r="96" spans="1:16" hidden="1" x14ac:dyDescent="0.25">
      <c r="A96">
        <v>17</v>
      </c>
      <c r="B96" t="s">
        <v>1715</v>
      </c>
      <c r="C96" t="s">
        <v>238</v>
      </c>
      <c r="D96" t="s">
        <v>1716</v>
      </c>
      <c r="E96" t="s">
        <v>1865</v>
      </c>
      <c r="F96" s="274" t="s">
        <v>76</v>
      </c>
      <c r="G96" s="264">
        <f t="shared" si="10"/>
        <v>0</v>
      </c>
      <c r="H96" t="str">
        <f t="shared" si="11"/>
        <v>PENDENTE</v>
      </c>
      <c r="I96">
        <v>3</v>
      </c>
      <c r="J96" s="274">
        <v>3</v>
      </c>
      <c r="K96">
        <f t="shared" si="12"/>
        <v>6</v>
      </c>
      <c r="L96" t="s">
        <v>401</v>
      </c>
      <c r="M96" t="s">
        <v>1718</v>
      </c>
      <c r="N96">
        <v>4</v>
      </c>
      <c r="O96">
        <f t="shared" si="13"/>
        <v>12</v>
      </c>
      <c r="P96">
        <f t="shared" si="14"/>
        <v>24</v>
      </c>
    </row>
    <row r="97" spans="1:16" hidden="1" x14ac:dyDescent="0.25">
      <c r="A97">
        <v>17</v>
      </c>
      <c r="B97" t="s">
        <v>1723</v>
      </c>
      <c r="C97" t="s">
        <v>247</v>
      </c>
      <c r="D97" t="s">
        <v>1716</v>
      </c>
      <c r="E97" t="s">
        <v>1866</v>
      </c>
      <c r="F97" s="274" t="s">
        <v>2047</v>
      </c>
      <c r="G97" s="264">
        <f t="shared" si="10"/>
        <v>1</v>
      </c>
      <c r="H97" t="str">
        <f t="shared" si="11"/>
        <v>PROCESSADA</v>
      </c>
      <c r="I97">
        <v>3</v>
      </c>
      <c r="J97" s="274">
        <v>3</v>
      </c>
      <c r="K97">
        <f t="shared" si="12"/>
        <v>6</v>
      </c>
      <c r="L97" t="s">
        <v>399</v>
      </c>
      <c r="M97" t="s">
        <v>1724</v>
      </c>
      <c r="N97">
        <v>4</v>
      </c>
      <c r="O97">
        <f t="shared" si="13"/>
        <v>12</v>
      </c>
      <c r="P97">
        <f t="shared" si="14"/>
        <v>24</v>
      </c>
    </row>
    <row r="98" spans="1:16" hidden="1" x14ac:dyDescent="0.25">
      <c r="A98">
        <v>17</v>
      </c>
      <c r="B98" t="s">
        <v>1725</v>
      </c>
      <c r="C98" t="s">
        <v>248</v>
      </c>
      <c r="D98" t="s">
        <v>1726</v>
      </c>
      <c r="E98" t="s">
        <v>1867</v>
      </c>
      <c r="F98" s="274" t="s">
        <v>2047</v>
      </c>
      <c r="G98" s="264">
        <f t="shared" si="10"/>
        <v>1</v>
      </c>
      <c r="H98" t="str">
        <f t="shared" si="11"/>
        <v>PROCESSADA</v>
      </c>
      <c r="I98">
        <v>3</v>
      </c>
      <c r="J98" s="274">
        <v>3</v>
      </c>
      <c r="K98">
        <f t="shared" si="12"/>
        <v>6</v>
      </c>
      <c r="L98" t="s">
        <v>397</v>
      </c>
      <c r="M98" t="s">
        <v>1727</v>
      </c>
      <c r="N98">
        <v>4</v>
      </c>
      <c r="O98">
        <f t="shared" si="13"/>
        <v>12</v>
      </c>
      <c r="P98">
        <f t="shared" si="14"/>
        <v>24</v>
      </c>
    </row>
    <row r="99" spans="1:16" hidden="1" x14ac:dyDescent="0.25">
      <c r="A99">
        <v>17</v>
      </c>
      <c r="B99" t="s">
        <v>1729</v>
      </c>
      <c r="C99" t="s">
        <v>241</v>
      </c>
      <c r="D99" t="s">
        <v>1716</v>
      </c>
      <c r="E99" t="s">
        <v>1868</v>
      </c>
      <c r="F99" s="274" t="s">
        <v>2047</v>
      </c>
      <c r="G99" s="264">
        <f t="shared" si="10"/>
        <v>1</v>
      </c>
      <c r="H99" t="str">
        <f t="shared" si="11"/>
        <v>PROCESSADA</v>
      </c>
      <c r="I99">
        <v>3</v>
      </c>
      <c r="J99" s="274">
        <v>3</v>
      </c>
      <c r="K99">
        <f t="shared" si="12"/>
        <v>6</v>
      </c>
      <c r="L99" t="s">
        <v>401</v>
      </c>
      <c r="M99" t="s">
        <v>1718</v>
      </c>
      <c r="N99">
        <v>4</v>
      </c>
      <c r="O99">
        <f t="shared" si="13"/>
        <v>12</v>
      </c>
      <c r="P99">
        <f t="shared" si="14"/>
        <v>24</v>
      </c>
    </row>
    <row r="100" spans="1:16" hidden="1" x14ac:dyDescent="0.25">
      <c r="A100">
        <v>17</v>
      </c>
      <c r="B100" t="s">
        <v>1730</v>
      </c>
      <c r="C100" t="s">
        <v>243</v>
      </c>
      <c r="D100" t="s">
        <v>1726</v>
      </c>
      <c r="E100" t="s">
        <v>1869</v>
      </c>
      <c r="F100" s="274" t="s">
        <v>2047</v>
      </c>
      <c r="G100" s="264">
        <f t="shared" si="10"/>
        <v>1</v>
      </c>
      <c r="H100" t="str">
        <f t="shared" si="11"/>
        <v>PROCESSADA</v>
      </c>
      <c r="I100">
        <v>3</v>
      </c>
      <c r="J100" s="274">
        <v>3</v>
      </c>
      <c r="K100">
        <f t="shared" si="12"/>
        <v>6</v>
      </c>
      <c r="L100" t="s">
        <v>397</v>
      </c>
      <c r="M100" t="s">
        <v>1727</v>
      </c>
      <c r="N100">
        <v>4</v>
      </c>
      <c r="O100">
        <f t="shared" si="13"/>
        <v>12</v>
      </c>
      <c r="P100">
        <f t="shared" si="14"/>
        <v>24</v>
      </c>
    </row>
    <row r="101" spans="1:16" hidden="1" x14ac:dyDescent="0.25">
      <c r="A101">
        <v>17</v>
      </c>
      <c r="B101" t="s">
        <v>1731</v>
      </c>
      <c r="C101" t="s">
        <v>244</v>
      </c>
      <c r="D101" t="s">
        <v>1716</v>
      </c>
      <c r="E101" t="s">
        <v>1870</v>
      </c>
      <c r="F101" s="274" t="s">
        <v>2047</v>
      </c>
      <c r="G101" s="264">
        <f t="shared" ref="G101:G132" si="15">IF(F101="SIM",1,0)</f>
        <v>1</v>
      </c>
      <c r="H101" t="str">
        <f t="shared" ref="H101:H134" si="16">IF(F101="SIM","PROCESSADA","PENDENTE")</f>
        <v>PROCESSADA</v>
      </c>
      <c r="I101">
        <v>3</v>
      </c>
      <c r="J101" s="274">
        <v>3</v>
      </c>
      <c r="K101">
        <f t="shared" ref="K101:K132" si="17">I101+J101</f>
        <v>6</v>
      </c>
      <c r="L101" t="s">
        <v>401</v>
      </c>
      <c r="M101" t="s">
        <v>1718</v>
      </c>
      <c r="N101">
        <v>4</v>
      </c>
      <c r="O101">
        <f t="shared" ref="O101:O132" si="18">I101*N101</f>
        <v>12</v>
      </c>
      <c r="P101">
        <f t="shared" ref="P101:P134" si="19">K101*N101</f>
        <v>24</v>
      </c>
    </row>
    <row r="102" spans="1:16" hidden="1" x14ac:dyDescent="0.25">
      <c r="A102">
        <v>17</v>
      </c>
      <c r="B102" t="s">
        <v>1732</v>
      </c>
      <c r="C102" t="s">
        <v>245</v>
      </c>
      <c r="D102" t="s">
        <v>1726</v>
      </c>
      <c r="E102" t="s">
        <v>1871</v>
      </c>
      <c r="F102" s="274" t="s">
        <v>76</v>
      </c>
      <c r="G102" s="264">
        <f t="shared" si="15"/>
        <v>0</v>
      </c>
      <c r="H102" t="str">
        <f t="shared" si="16"/>
        <v>PENDENTE</v>
      </c>
      <c r="I102">
        <v>3</v>
      </c>
      <c r="J102" s="274">
        <v>3</v>
      </c>
      <c r="K102">
        <f t="shared" si="17"/>
        <v>6</v>
      </c>
      <c r="L102" t="s">
        <v>397</v>
      </c>
      <c r="M102" t="s">
        <v>1727</v>
      </c>
      <c r="N102">
        <v>4</v>
      </c>
      <c r="O102">
        <f t="shared" si="18"/>
        <v>12</v>
      </c>
      <c r="P102">
        <f t="shared" si="19"/>
        <v>24</v>
      </c>
    </row>
    <row r="103" spans="1:16" hidden="1" x14ac:dyDescent="0.25">
      <c r="A103">
        <v>17</v>
      </c>
      <c r="B103" t="s">
        <v>1733</v>
      </c>
      <c r="C103" t="s">
        <v>244</v>
      </c>
      <c r="D103" t="s">
        <v>1716</v>
      </c>
      <c r="E103" t="s">
        <v>1872</v>
      </c>
      <c r="F103" s="274" t="s">
        <v>76</v>
      </c>
      <c r="G103" s="264">
        <f t="shared" si="15"/>
        <v>0</v>
      </c>
      <c r="H103" t="str">
        <f t="shared" si="16"/>
        <v>PENDENTE</v>
      </c>
      <c r="I103">
        <v>3</v>
      </c>
      <c r="J103" s="274">
        <v>3</v>
      </c>
      <c r="K103">
        <f t="shared" si="17"/>
        <v>6</v>
      </c>
      <c r="L103" t="s">
        <v>401</v>
      </c>
      <c r="M103" t="s">
        <v>1718</v>
      </c>
      <c r="N103">
        <v>4</v>
      </c>
      <c r="O103">
        <f t="shared" si="18"/>
        <v>12</v>
      </c>
      <c r="P103">
        <f t="shared" si="19"/>
        <v>24</v>
      </c>
    </row>
    <row r="104" spans="1:16" hidden="1" x14ac:dyDescent="0.25">
      <c r="A104">
        <v>17</v>
      </c>
      <c r="B104" t="s">
        <v>1734</v>
      </c>
      <c r="C104" t="s">
        <v>243</v>
      </c>
      <c r="D104" t="s">
        <v>1726</v>
      </c>
      <c r="E104" t="s">
        <v>1873</v>
      </c>
      <c r="F104" s="274" t="s">
        <v>76</v>
      </c>
      <c r="G104" s="264">
        <f t="shared" si="15"/>
        <v>0</v>
      </c>
      <c r="H104" t="str">
        <f t="shared" si="16"/>
        <v>PENDENTE</v>
      </c>
      <c r="I104">
        <v>3</v>
      </c>
      <c r="J104" s="274">
        <v>3</v>
      </c>
      <c r="K104">
        <f t="shared" si="17"/>
        <v>6</v>
      </c>
      <c r="L104" t="s">
        <v>397</v>
      </c>
      <c r="M104" t="s">
        <v>1727</v>
      </c>
      <c r="N104">
        <v>4</v>
      </c>
      <c r="O104">
        <f t="shared" si="18"/>
        <v>12</v>
      </c>
      <c r="P104">
        <f t="shared" si="19"/>
        <v>24</v>
      </c>
    </row>
    <row r="105" spans="1:16" hidden="1" x14ac:dyDescent="0.25">
      <c r="A105">
        <v>17</v>
      </c>
      <c r="B105" t="s">
        <v>1735</v>
      </c>
      <c r="C105" t="s">
        <v>241</v>
      </c>
      <c r="D105" t="s">
        <v>1716</v>
      </c>
      <c r="E105" t="s">
        <v>1874</v>
      </c>
      <c r="F105" s="274" t="s">
        <v>76</v>
      </c>
      <c r="G105" s="264">
        <f t="shared" si="15"/>
        <v>0</v>
      </c>
      <c r="H105" t="str">
        <f t="shared" si="16"/>
        <v>PENDENTE</v>
      </c>
      <c r="I105">
        <v>3</v>
      </c>
      <c r="J105" s="274">
        <v>3</v>
      </c>
      <c r="K105">
        <f t="shared" si="17"/>
        <v>6</v>
      </c>
      <c r="L105" t="s">
        <v>401</v>
      </c>
      <c r="M105" t="s">
        <v>1718</v>
      </c>
      <c r="N105">
        <v>4</v>
      </c>
      <c r="O105">
        <f t="shared" si="18"/>
        <v>12</v>
      </c>
      <c r="P105">
        <f t="shared" si="19"/>
        <v>24</v>
      </c>
    </row>
    <row r="106" spans="1:16" hidden="1" x14ac:dyDescent="0.25">
      <c r="A106">
        <v>17</v>
      </c>
      <c r="B106" t="s">
        <v>1736</v>
      </c>
      <c r="C106" t="s">
        <v>248</v>
      </c>
      <c r="D106" t="s">
        <v>1726</v>
      </c>
      <c r="E106" t="s">
        <v>1875</v>
      </c>
      <c r="F106" s="274" t="s">
        <v>76</v>
      </c>
      <c r="G106" s="264">
        <f t="shared" si="15"/>
        <v>0</v>
      </c>
      <c r="H106" t="str">
        <f t="shared" si="16"/>
        <v>PENDENTE</v>
      </c>
      <c r="I106">
        <v>3</v>
      </c>
      <c r="J106" s="274">
        <v>3</v>
      </c>
      <c r="K106">
        <f t="shared" si="17"/>
        <v>6</v>
      </c>
      <c r="L106" t="s">
        <v>397</v>
      </c>
      <c r="M106" t="s">
        <v>1727</v>
      </c>
      <c r="N106">
        <v>4</v>
      </c>
      <c r="O106">
        <f t="shared" si="18"/>
        <v>12</v>
      </c>
      <c r="P106">
        <f t="shared" si="19"/>
        <v>24</v>
      </c>
    </row>
    <row r="107" spans="1:16" hidden="1" x14ac:dyDescent="0.25">
      <c r="A107">
        <v>17</v>
      </c>
      <c r="B107" t="s">
        <v>1737</v>
      </c>
      <c r="C107" t="s">
        <v>247</v>
      </c>
      <c r="D107" t="s">
        <v>1716</v>
      </c>
      <c r="E107" t="s">
        <v>1876</v>
      </c>
      <c r="F107" s="274" t="s">
        <v>76</v>
      </c>
      <c r="G107" s="264">
        <f t="shared" si="15"/>
        <v>0</v>
      </c>
      <c r="H107" t="str">
        <f t="shared" si="16"/>
        <v>PENDENTE</v>
      </c>
      <c r="I107">
        <v>3</v>
      </c>
      <c r="J107" s="274">
        <v>3</v>
      </c>
      <c r="K107">
        <f t="shared" si="17"/>
        <v>6</v>
      </c>
      <c r="L107" t="s">
        <v>399</v>
      </c>
      <c r="M107" t="s">
        <v>1724</v>
      </c>
      <c r="N107">
        <v>4</v>
      </c>
      <c r="O107">
        <f t="shared" si="18"/>
        <v>12</v>
      </c>
      <c r="P107">
        <f t="shared" si="19"/>
        <v>24</v>
      </c>
    </row>
    <row r="108" spans="1:16" hidden="1" x14ac:dyDescent="0.25">
      <c r="A108">
        <v>17</v>
      </c>
      <c r="B108" t="s">
        <v>1738</v>
      </c>
      <c r="C108" t="s">
        <v>238</v>
      </c>
      <c r="D108" t="s">
        <v>1716</v>
      </c>
      <c r="E108" t="s">
        <v>1877</v>
      </c>
      <c r="F108" s="274" t="s">
        <v>76</v>
      </c>
      <c r="G108" s="264">
        <f t="shared" si="15"/>
        <v>0</v>
      </c>
      <c r="H108" t="str">
        <f t="shared" si="16"/>
        <v>PENDENTE</v>
      </c>
      <c r="I108">
        <v>3</v>
      </c>
      <c r="J108" s="274">
        <v>3</v>
      </c>
      <c r="K108">
        <f t="shared" si="17"/>
        <v>6</v>
      </c>
      <c r="L108" t="s">
        <v>401</v>
      </c>
      <c r="M108" t="s">
        <v>1718</v>
      </c>
      <c r="N108">
        <v>4</v>
      </c>
      <c r="O108">
        <f t="shared" si="18"/>
        <v>12</v>
      </c>
      <c r="P108">
        <f t="shared" si="19"/>
        <v>24</v>
      </c>
    </row>
    <row r="109" spans="1:16" hidden="1" x14ac:dyDescent="0.25">
      <c r="A109">
        <v>18</v>
      </c>
      <c r="B109" t="s">
        <v>1715</v>
      </c>
      <c r="C109" t="s">
        <v>238</v>
      </c>
      <c r="D109" t="s">
        <v>1716</v>
      </c>
      <c r="E109" t="s">
        <v>1878</v>
      </c>
      <c r="F109" s="274" t="s">
        <v>76</v>
      </c>
      <c r="G109" s="264">
        <f t="shared" si="15"/>
        <v>0</v>
      </c>
      <c r="H109" t="str">
        <f t="shared" si="16"/>
        <v>PENDENTE</v>
      </c>
      <c r="I109">
        <v>3</v>
      </c>
      <c r="J109" s="274">
        <v>3</v>
      </c>
      <c r="K109">
        <f t="shared" si="17"/>
        <v>6</v>
      </c>
      <c r="L109" t="s">
        <v>401</v>
      </c>
      <c r="M109" t="s">
        <v>1718</v>
      </c>
      <c r="N109">
        <v>4</v>
      </c>
      <c r="O109">
        <f t="shared" si="18"/>
        <v>12</v>
      </c>
      <c r="P109">
        <f t="shared" si="19"/>
        <v>24</v>
      </c>
    </row>
    <row r="110" spans="1:16" hidden="1" x14ac:dyDescent="0.25">
      <c r="A110">
        <v>18</v>
      </c>
      <c r="B110" t="s">
        <v>1723</v>
      </c>
      <c r="C110" t="s">
        <v>247</v>
      </c>
      <c r="D110" t="s">
        <v>1716</v>
      </c>
      <c r="E110" t="s">
        <v>1879</v>
      </c>
      <c r="F110" s="274" t="s">
        <v>2047</v>
      </c>
      <c r="G110" s="264">
        <f t="shared" si="15"/>
        <v>1</v>
      </c>
      <c r="H110" t="str">
        <f t="shared" si="16"/>
        <v>PROCESSADA</v>
      </c>
      <c r="I110">
        <v>3</v>
      </c>
      <c r="J110" s="274">
        <v>3</v>
      </c>
      <c r="K110">
        <f t="shared" si="17"/>
        <v>6</v>
      </c>
      <c r="L110" t="s">
        <v>399</v>
      </c>
      <c r="M110" t="s">
        <v>1724</v>
      </c>
      <c r="N110">
        <v>4</v>
      </c>
      <c r="O110">
        <f t="shared" si="18"/>
        <v>12</v>
      </c>
      <c r="P110">
        <f t="shared" si="19"/>
        <v>24</v>
      </c>
    </row>
    <row r="111" spans="1:16" hidden="1" x14ac:dyDescent="0.25">
      <c r="A111">
        <v>18</v>
      </c>
      <c r="B111" t="s">
        <v>1725</v>
      </c>
      <c r="C111" t="s">
        <v>248</v>
      </c>
      <c r="D111" t="s">
        <v>1726</v>
      </c>
      <c r="E111" t="s">
        <v>1880</v>
      </c>
      <c r="F111" s="274" t="s">
        <v>2047</v>
      </c>
      <c r="G111" s="264">
        <f t="shared" si="15"/>
        <v>1</v>
      </c>
      <c r="H111" t="str">
        <f t="shared" si="16"/>
        <v>PROCESSADA</v>
      </c>
      <c r="I111">
        <v>3</v>
      </c>
      <c r="J111" s="274">
        <v>3</v>
      </c>
      <c r="K111">
        <f t="shared" si="17"/>
        <v>6</v>
      </c>
      <c r="L111" t="s">
        <v>397</v>
      </c>
      <c r="M111" t="s">
        <v>1727</v>
      </c>
      <c r="N111">
        <v>4</v>
      </c>
      <c r="O111">
        <f t="shared" si="18"/>
        <v>12</v>
      </c>
      <c r="P111">
        <f t="shared" si="19"/>
        <v>24</v>
      </c>
    </row>
    <row r="112" spans="1:16" hidden="1" x14ac:dyDescent="0.25">
      <c r="A112">
        <v>18</v>
      </c>
      <c r="B112" t="s">
        <v>1729</v>
      </c>
      <c r="C112" t="s">
        <v>241</v>
      </c>
      <c r="D112" t="s">
        <v>1716</v>
      </c>
      <c r="E112" t="s">
        <v>1881</v>
      </c>
      <c r="F112" s="274" t="s">
        <v>2047</v>
      </c>
      <c r="G112" s="264">
        <f t="shared" si="15"/>
        <v>1</v>
      </c>
      <c r="H112" t="str">
        <f t="shared" si="16"/>
        <v>PROCESSADA</v>
      </c>
      <c r="I112">
        <v>3</v>
      </c>
      <c r="J112" s="274">
        <v>3</v>
      </c>
      <c r="K112">
        <f t="shared" si="17"/>
        <v>6</v>
      </c>
      <c r="L112" t="s">
        <v>401</v>
      </c>
      <c r="M112" t="s">
        <v>1718</v>
      </c>
      <c r="N112">
        <v>4</v>
      </c>
      <c r="O112">
        <f t="shared" si="18"/>
        <v>12</v>
      </c>
      <c r="P112">
        <f t="shared" si="19"/>
        <v>24</v>
      </c>
    </row>
    <row r="113" spans="1:16" hidden="1" x14ac:dyDescent="0.25">
      <c r="A113">
        <v>18</v>
      </c>
      <c r="B113" t="s">
        <v>1730</v>
      </c>
      <c r="C113" t="s">
        <v>243</v>
      </c>
      <c r="D113" t="s">
        <v>1726</v>
      </c>
      <c r="E113" t="s">
        <v>1882</v>
      </c>
      <c r="F113" s="274" t="s">
        <v>2047</v>
      </c>
      <c r="G113" s="264">
        <f t="shared" si="15"/>
        <v>1</v>
      </c>
      <c r="H113" t="str">
        <f t="shared" si="16"/>
        <v>PROCESSADA</v>
      </c>
      <c r="I113">
        <v>3</v>
      </c>
      <c r="J113" s="274">
        <v>3</v>
      </c>
      <c r="K113">
        <f t="shared" si="17"/>
        <v>6</v>
      </c>
      <c r="L113" t="s">
        <v>397</v>
      </c>
      <c r="M113" t="s">
        <v>1727</v>
      </c>
      <c r="N113">
        <v>4</v>
      </c>
      <c r="O113">
        <f t="shared" si="18"/>
        <v>12</v>
      </c>
      <c r="P113">
        <f t="shared" si="19"/>
        <v>24</v>
      </c>
    </row>
    <row r="114" spans="1:16" hidden="1" x14ac:dyDescent="0.25">
      <c r="A114" s="240">
        <v>18</v>
      </c>
      <c r="B114" s="240" t="s">
        <v>1731</v>
      </c>
      <c r="C114" s="240" t="s">
        <v>244</v>
      </c>
      <c r="D114" s="240" t="s">
        <v>1716</v>
      </c>
      <c r="E114" s="240" t="s">
        <v>1883</v>
      </c>
      <c r="F114" s="275" t="s">
        <v>2047</v>
      </c>
      <c r="G114" s="265">
        <f t="shared" si="15"/>
        <v>1</v>
      </c>
      <c r="H114" s="240" t="str">
        <f t="shared" si="16"/>
        <v>PROCESSADA</v>
      </c>
      <c r="I114" s="240">
        <v>3</v>
      </c>
      <c r="J114" s="275">
        <v>3</v>
      </c>
      <c r="K114">
        <f t="shared" si="17"/>
        <v>6</v>
      </c>
      <c r="L114" t="s">
        <v>401</v>
      </c>
      <c r="M114" t="s">
        <v>1718</v>
      </c>
      <c r="N114">
        <v>4</v>
      </c>
      <c r="O114">
        <f t="shared" si="18"/>
        <v>12</v>
      </c>
      <c r="P114">
        <f t="shared" si="19"/>
        <v>24</v>
      </c>
    </row>
    <row r="115" spans="1:16" hidden="1" x14ac:dyDescent="0.25">
      <c r="A115">
        <v>18</v>
      </c>
      <c r="B115" t="s">
        <v>1732</v>
      </c>
      <c r="C115" t="s">
        <v>245</v>
      </c>
      <c r="D115" t="s">
        <v>1726</v>
      </c>
      <c r="E115" t="s">
        <v>1884</v>
      </c>
      <c r="F115" s="274" t="s">
        <v>76</v>
      </c>
      <c r="G115">
        <f t="shared" si="15"/>
        <v>0</v>
      </c>
      <c r="H115" t="str">
        <f t="shared" si="16"/>
        <v>PENDENTE</v>
      </c>
      <c r="I115">
        <v>3</v>
      </c>
      <c r="J115" s="274">
        <v>3</v>
      </c>
      <c r="K115">
        <f t="shared" si="17"/>
        <v>6</v>
      </c>
      <c r="L115" t="s">
        <v>397</v>
      </c>
      <c r="M115" t="s">
        <v>1727</v>
      </c>
      <c r="N115">
        <v>4</v>
      </c>
      <c r="O115">
        <f t="shared" si="18"/>
        <v>12</v>
      </c>
      <c r="P115">
        <f t="shared" si="19"/>
        <v>24</v>
      </c>
    </row>
    <row r="116" spans="1:16" hidden="1" x14ac:dyDescent="0.25">
      <c r="A116">
        <v>18</v>
      </c>
      <c r="B116" t="s">
        <v>1733</v>
      </c>
      <c r="C116" t="s">
        <v>244</v>
      </c>
      <c r="D116" t="s">
        <v>1716</v>
      </c>
      <c r="E116" t="s">
        <v>1885</v>
      </c>
      <c r="F116" s="274" t="s">
        <v>76</v>
      </c>
      <c r="G116">
        <f t="shared" si="15"/>
        <v>0</v>
      </c>
      <c r="H116" t="str">
        <f t="shared" si="16"/>
        <v>PENDENTE</v>
      </c>
      <c r="I116">
        <v>3</v>
      </c>
      <c r="J116" s="274">
        <v>3</v>
      </c>
      <c r="K116">
        <f t="shared" si="17"/>
        <v>6</v>
      </c>
      <c r="L116" t="s">
        <v>401</v>
      </c>
      <c r="M116" t="s">
        <v>1718</v>
      </c>
      <c r="N116">
        <v>4</v>
      </c>
      <c r="O116">
        <f t="shared" si="18"/>
        <v>12</v>
      </c>
      <c r="P116">
        <f t="shared" si="19"/>
        <v>24</v>
      </c>
    </row>
    <row r="117" spans="1:16" hidden="1" x14ac:dyDescent="0.25">
      <c r="A117">
        <v>18</v>
      </c>
      <c r="B117" t="s">
        <v>1734</v>
      </c>
      <c r="C117" t="s">
        <v>243</v>
      </c>
      <c r="D117" t="s">
        <v>1726</v>
      </c>
      <c r="E117" t="s">
        <v>1886</v>
      </c>
      <c r="F117" s="274" t="s">
        <v>76</v>
      </c>
      <c r="G117">
        <f t="shared" si="15"/>
        <v>0</v>
      </c>
      <c r="H117" t="str">
        <f t="shared" si="16"/>
        <v>PENDENTE</v>
      </c>
      <c r="I117">
        <v>3</v>
      </c>
      <c r="J117" s="274">
        <v>3</v>
      </c>
      <c r="K117">
        <f t="shared" si="17"/>
        <v>6</v>
      </c>
      <c r="L117" t="s">
        <v>397</v>
      </c>
      <c r="M117" t="s">
        <v>1727</v>
      </c>
      <c r="N117">
        <v>4</v>
      </c>
      <c r="O117">
        <f t="shared" si="18"/>
        <v>12</v>
      </c>
      <c r="P117">
        <f t="shared" si="19"/>
        <v>24</v>
      </c>
    </row>
    <row r="118" spans="1:16" hidden="1" x14ac:dyDescent="0.25">
      <c r="A118">
        <v>18</v>
      </c>
      <c r="B118" t="s">
        <v>1735</v>
      </c>
      <c r="C118" t="s">
        <v>241</v>
      </c>
      <c r="D118" t="s">
        <v>1716</v>
      </c>
      <c r="E118" t="s">
        <v>1887</v>
      </c>
      <c r="F118" s="274" t="s">
        <v>76</v>
      </c>
      <c r="G118">
        <f t="shared" si="15"/>
        <v>0</v>
      </c>
      <c r="H118" t="str">
        <f t="shared" si="16"/>
        <v>PENDENTE</v>
      </c>
      <c r="I118">
        <v>3</v>
      </c>
      <c r="J118" s="274">
        <v>3</v>
      </c>
      <c r="K118">
        <f t="shared" si="17"/>
        <v>6</v>
      </c>
      <c r="L118" t="s">
        <v>401</v>
      </c>
      <c r="M118" t="s">
        <v>1718</v>
      </c>
      <c r="N118">
        <v>4</v>
      </c>
      <c r="O118">
        <f t="shared" si="18"/>
        <v>12</v>
      </c>
      <c r="P118">
        <f t="shared" si="19"/>
        <v>24</v>
      </c>
    </row>
    <row r="119" spans="1:16" hidden="1" x14ac:dyDescent="0.25">
      <c r="A119">
        <v>18</v>
      </c>
      <c r="B119" t="s">
        <v>1736</v>
      </c>
      <c r="C119" t="s">
        <v>248</v>
      </c>
      <c r="D119" t="s">
        <v>1726</v>
      </c>
      <c r="E119" t="s">
        <v>1888</v>
      </c>
      <c r="F119" s="274" t="s">
        <v>76</v>
      </c>
      <c r="G119">
        <f t="shared" si="15"/>
        <v>0</v>
      </c>
      <c r="H119" t="str">
        <f t="shared" si="16"/>
        <v>PENDENTE</v>
      </c>
      <c r="I119">
        <v>3</v>
      </c>
      <c r="J119" s="274">
        <v>3</v>
      </c>
      <c r="K119">
        <f t="shared" si="17"/>
        <v>6</v>
      </c>
      <c r="L119" t="s">
        <v>397</v>
      </c>
      <c r="M119" t="s">
        <v>1727</v>
      </c>
      <c r="N119">
        <v>4</v>
      </c>
      <c r="O119">
        <f t="shared" si="18"/>
        <v>12</v>
      </c>
      <c r="P119">
        <f t="shared" si="19"/>
        <v>24</v>
      </c>
    </row>
    <row r="120" spans="1:16" hidden="1" x14ac:dyDescent="0.25">
      <c r="A120">
        <v>18</v>
      </c>
      <c r="B120" t="s">
        <v>1737</v>
      </c>
      <c r="C120" t="s">
        <v>247</v>
      </c>
      <c r="D120" t="s">
        <v>1716</v>
      </c>
      <c r="E120" t="s">
        <v>1889</v>
      </c>
      <c r="F120" s="274" t="s">
        <v>76</v>
      </c>
      <c r="G120">
        <f t="shared" si="15"/>
        <v>0</v>
      </c>
      <c r="H120" t="str">
        <f t="shared" si="16"/>
        <v>PENDENTE</v>
      </c>
      <c r="I120">
        <v>3</v>
      </c>
      <c r="J120" s="274">
        <v>3</v>
      </c>
      <c r="K120">
        <f t="shared" si="17"/>
        <v>6</v>
      </c>
      <c r="L120" t="s">
        <v>399</v>
      </c>
      <c r="M120" t="s">
        <v>1724</v>
      </c>
      <c r="N120">
        <v>4</v>
      </c>
      <c r="O120">
        <f t="shared" si="18"/>
        <v>12</v>
      </c>
      <c r="P120">
        <f t="shared" si="19"/>
        <v>24</v>
      </c>
    </row>
    <row r="121" spans="1:16" hidden="1" x14ac:dyDescent="0.25">
      <c r="A121">
        <v>18</v>
      </c>
      <c r="B121" t="s">
        <v>1738</v>
      </c>
      <c r="C121" t="s">
        <v>238</v>
      </c>
      <c r="D121" t="s">
        <v>1716</v>
      </c>
      <c r="E121" t="s">
        <v>1890</v>
      </c>
      <c r="F121" s="274" t="s">
        <v>76</v>
      </c>
      <c r="G121">
        <f t="shared" si="15"/>
        <v>0</v>
      </c>
      <c r="H121" t="str">
        <f t="shared" si="16"/>
        <v>PENDENTE</v>
      </c>
      <c r="I121">
        <v>3</v>
      </c>
      <c r="J121" s="274">
        <v>3</v>
      </c>
      <c r="K121">
        <f t="shared" si="17"/>
        <v>6</v>
      </c>
      <c r="L121" t="s">
        <v>401</v>
      </c>
      <c r="M121" t="s">
        <v>1718</v>
      </c>
      <c r="N121">
        <v>4</v>
      </c>
      <c r="O121">
        <f t="shared" si="18"/>
        <v>12</v>
      </c>
      <c r="P121">
        <f t="shared" si="19"/>
        <v>24</v>
      </c>
    </row>
    <row r="122" spans="1:16" hidden="1" x14ac:dyDescent="0.25">
      <c r="A122">
        <v>19</v>
      </c>
      <c r="B122" t="s">
        <v>1715</v>
      </c>
      <c r="C122" t="s">
        <v>238</v>
      </c>
      <c r="D122" t="s">
        <v>1716</v>
      </c>
      <c r="E122" t="s">
        <v>1891</v>
      </c>
      <c r="F122" s="274" t="s">
        <v>76</v>
      </c>
      <c r="G122">
        <f t="shared" si="15"/>
        <v>0</v>
      </c>
      <c r="H122" t="str">
        <f t="shared" si="16"/>
        <v>PENDENTE</v>
      </c>
      <c r="I122">
        <v>3</v>
      </c>
      <c r="J122" s="274">
        <v>3</v>
      </c>
      <c r="K122">
        <f t="shared" si="17"/>
        <v>6</v>
      </c>
      <c r="L122" t="s">
        <v>401</v>
      </c>
      <c r="M122" t="s">
        <v>1718</v>
      </c>
      <c r="N122">
        <v>4</v>
      </c>
      <c r="O122">
        <f t="shared" si="18"/>
        <v>12</v>
      </c>
      <c r="P122">
        <f t="shared" si="19"/>
        <v>24</v>
      </c>
    </row>
    <row r="123" spans="1:16" hidden="1" x14ac:dyDescent="0.25">
      <c r="A123">
        <v>19</v>
      </c>
      <c r="B123" t="s">
        <v>1723</v>
      </c>
      <c r="C123" t="s">
        <v>247</v>
      </c>
      <c r="D123" t="s">
        <v>1716</v>
      </c>
      <c r="E123" t="s">
        <v>1892</v>
      </c>
      <c r="F123" s="274" t="s">
        <v>76</v>
      </c>
      <c r="G123">
        <f t="shared" si="15"/>
        <v>0</v>
      </c>
      <c r="H123" t="str">
        <f t="shared" si="16"/>
        <v>PENDENTE</v>
      </c>
      <c r="I123">
        <v>3</v>
      </c>
      <c r="J123" s="274">
        <v>3</v>
      </c>
      <c r="K123">
        <f t="shared" si="17"/>
        <v>6</v>
      </c>
      <c r="L123" t="s">
        <v>399</v>
      </c>
      <c r="M123" t="s">
        <v>1724</v>
      </c>
      <c r="N123">
        <v>4</v>
      </c>
      <c r="O123">
        <f t="shared" si="18"/>
        <v>12</v>
      </c>
      <c r="P123">
        <f t="shared" si="19"/>
        <v>24</v>
      </c>
    </row>
    <row r="124" spans="1:16" hidden="1" x14ac:dyDescent="0.25">
      <c r="A124">
        <v>19</v>
      </c>
      <c r="B124" t="s">
        <v>1725</v>
      </c>
      <c r="C124" t="s">
        <v>248</v>
      </c>
      <c r="D124" t="s">
        <v>1726</v>
      </c>
      <c r="E124" t="s">
        <v>1893</v>
      </c>
      <c r="F124" s="274" t="s">
        <v>76</v>
      </c>
      <c r="G124">
        <f t="shared" si="15"/>
        <v>0</v>
      </c>
      <c r="H124" t="str">
        <f t="shared" si="16"/>
        <v>PENDENTE</v>
      </c>
      <c r="I124">
        <v>3</v>
      </c>
      <c r="J124" s="274">
        <v>3</v>
      </c>
      <c r="K124">
        <f t="shared" si="17"/>
        <v>6</v>
      </c>
      <c r="L124" t="s">
        <v>397</v>
      </c>
      <c r="M124" t="s">
        <v>1727</v>
      </c>
      <c r="N124">
        <v>4</v>
      </c>
      <c r="O124">
        <f t="shared" si="18"/>
        <v>12</v>
      </c>
      <c r="P124">
        <f t="shared" si="19"/>
        <v>24</v>
      </c>
    </row>
    <row r="125" spans="1:16" hidden="1" x14ac:dyDescent="0.25">
      <c r="A125">
        <v>19</v>
      </c>
      <c r="B125" t="s">
        <v>1729</v>
      </c>
      <c r="C125" t="s">
        <v>241</v>
      </c>
      <c r="D125" t="s">
        <v>1716</v>
      </c>
      <c r="E125" t="s">
        <v>1894</v>
      </c>
      <c r="F125" s="274" t="s">
        <v>76</v>
      </c>
      <c r="G125">
        <f t="shared" si="15"/>
        <v>0</v>
      </c>
      <c r="H125" t="str">
        <f t="shared" si="16"/>
        <v>PENDENTE</v>
      </c>
      <c r="I125">
        <v>3</v>
      </c>
      <c r="J125" s="274">
        <v>3</v>
      </c>
      <c r="K125">
        <f t="shared" si="17"/>
        <v>6</v>
      </c>
      <c r="L125" t="s">
        <v>401</v>
      </c>
      <c r="M125" t="s">
        <v>1718</v>
      </c>
      <c r="N125">
        <v>4</v>
      </c>
      <c r="O125">
        <f t="shared" si="18"/>
        <v>12</v>
      </c>
      <c r="P125">
        <f t="shared" si="19"/>
        <v>24</v>
      </c>
    </row>
    <row r="126" spans="1:16" hidden="1" x14ac:dyDescent="0.25">
      <c r="A126">
        <v>19</v>
      </c>
      <c r="B126" t="s">
        <v>1730</v>
      </c>
      <c r="C126" t="s">
        <v>243</v>
      </c>
      <c r="D126" t="s">
        <v>1726</v>
      </c>
      <c r="E126" t="s">
        <v>1895</v>
      </c>
      <c r="F126" s="274" t="s">
        <v>76</v>
      </c>
      <c r="G126">
        <f t="shared" si="15"/>
        <v>0</v>
      </c>
      <c r="H126" t="str">
        <f t="shared" si="16"/>
        <v>PENDENTE</v>
      </c>
      <c r="I126">
        <v>3</v>
      </c>
      <c r="J126" s="274">
        <v>3</v>
      </c>
      <c r="K126">
        <f t="shared" si="17"/>
        <v>6</v>
      </c>
      <c r="L126" t="s">
        <v>397</v>
      </c>
      <c r="M126" t="s">
        <v>1727</v>
      </c>
      <c r="N126">
        <v>4</v>
      </c>
      <c r="O126">
        <f t="shared" si="18"/>
        <v>12</v>
      </c>
      <c r="P126">
        <f t="shared" si="19"/>
        <v>24</v>
      </c>
    </row>
    <row r="127" spans="1:16" hidden="1" x14ac:dyDescent="0.25">
      <c r="A127">
        <v>19</v>
      </c>
      <c r="B127" t="s">
        <v>1731</v>
      </c>
      <c r="C127" t="s">
        <v>244</v>
      </c>
      <c r="D127" t="s">
        <v>1716</v>
      </c>
      <c r="E127" t="s">
        <v>1896</v>
      </c>
      <c r="F127" s="274" t="s">
        <v>76</v>
      </c>
      <c r="G127">
        <f t="shared" si="15"/>
        <v>0</v>
      </c>
      <c r="H127" t="str">
        <f t="shared" si="16"/>
        <v>PENDENTE</v>
      </c>
      <c r="I127">
        <v>3</v>
      </c>
      <c r="J127" s="274">
        <v>3</v>
      </c>
      <c r="K127">
        <f t="shared" si="17"/>
        <v>6</v>
      </c>
      <c r="L127" t="s">
        <v>401</v>
      </c>
      <c r="M127" t="s">
        <v>1718</v>
      </c>
      <c r="N127">
        <v>4</v>
      </c>
      <c r="O127">
        <f t="shared" si="18"/>
        <v>12</v>
      </c>
      <c r="P127">
        <f t="shared" si="19"/>
        <v>24</v>
      </c>
    </row>
    <row r="128" spans="1:16" hidden="1" x14ac:dyDescent="0.25">
      <c r="A128">
        <v>19</v>
      </c>
      <c r="B128" t="s">
        <v>1732</v>
      </c>
      <c r="C128" t="s">
        <v>245</v>
      </c>
      <c r="D128" t="s">
        <v>1726</v>
      </c>
      <c r="E128" t="s">
        <v>1897</v>
      </c>
      <c r="F128" s="274" t="s">
        <v>76</v>
      </c>
      <c r="G128">
        <f t="shared" si="15"/>
        <v>0</v>
      </c>
      <c r="H128" t="str">
        <f t="shared" si="16"/>
        <v>PENDENTE</v>
      </c>
      <c r="I128">
        <v>3</v>
      </c>
      <c r="J128" s="274">
        <v>3</v>
      </c>
      <c r="K128">
        <f t="shared" si="17"/>
        <v>6</v>
      </c>
      <c r="L128" t="s">
        <v>397</v>
      </c>
      <c r="M128" t="s">
        <v>1727</v>
      </c>
      <c r="N128">
        <v>4</v>
      </c>
      <c r="O128">
        <f t="shared" si="18"/>
        <v>12</v>
      </c>
      <c r="P128">
        <f t="shared" si="19"/>
        <v>24</v>
      </c>
    </row>
    <row r="129" spans="1:17" hidden="1" x14ac:dyDescent="0.25">
      <c r="A129">
        <v>19</v>
      </c>
      <c r="B129" t="s">
        <v>1733</v>
      </c>
      <c r="C129" t="s">
        <v>244</v>
      </c>
      <c r="D129" t="s">
        <v>1716</v>
      </c>
      <c r="E129" t="s">
        <v>1898</v>
      </c>
      <c r="F129" s="274" t="s">
        <v>76</v>
      </c>
      <c r="G129">
        <f t="shared" si="15"/>
        <v>0</v>
      </c>
      <c r="H129" t="str">
        <f t="shared" si="16"/>
        <v>PENDENTE</v>
      </c>
      <c r="I129">
        <v>3</v>
      </c>
      <c r="J129" s="274">
        <v>3</v>
      </c>
      <c r="K129">
        <f t="shared" si="17"/>
        <v>6</v>
      </c>
      <c r="L129" t="s">
        <v>401</v>
      </c>
      <c r="M129" t="s">
        <v>1718</v>
      </c>
      <c r="N129">
        <v>4</v>
      </c>
      <c r="O129">
        <f t="shared" si="18"/>
        <v>12</v>
      </c>
      <c r="P129">
        <f t="shared" si="19"/>
        <v>24</v>
      </c>
    </row>
    <row r="130" spans="1:17" hidden="1" x14ac:dyDescent="0.25">
      <c r="A130">
        <v>19</v>
      </c>
      <c r="B130" t="s">
        <v>1734</v>
      </c>
      <c r="C130" t="s">
        <v>243</v>
      </c>
      <c r="D130" t="s">
        <v>1726</v>
      </c>
      <c r="E130" t="s">
        <v>1899</v>
      </c>
      <c r="F130" s="274" t="s">
        <v>76</v>
      </c>
      <c r="G130">
        <f t="shared" si="15"/>
        <v>0</v>
      </c>
      <c r="H130" t="str">
        <f t="shared" si="16"/>
        <v>PENDENTE</v>
      </c>
      <c r="I130">
        <v>3</v>
      </c>
      <c r="J130" s="274">
        <v>3</v>
      </c>
      <c r="K130">
        <f t="shared" si="17"/>
        <v>6</v>
      </c>
      <c r="L130" t="s">
        <v>397</v>
      </c>
      <c r="M130" t="s">
        <v>1727</v>
      </c>
      <c r="N130">
        <v>4</v>
      </c>
      <c r="O130">
        <f t="shared" si="18"/>
        <v>12</v>
      </c>
      <c r="P130">
        <f t="shared" si="19"/>
        <v>24</v>
      </c>
    </row>
    <row r="131" spans="1:17" hidden="1" x14ac:dyDescent="0.25">
      <c r="A131">
        <v>19</v>
      </c>
      <c r="B131" t="s">
        <v>1735</v>
      </c>
      <c r="C131" t="s">
        <v>241</v>
      </c>
      <c r="D131" t="s">
        <v>1716</v>
      </c>
      <c r="E131" t="s">
        <v>1900</v>
      </c>
      <c r="F131" s="274" t="s">
        <v>76</v>
      </c>
      <c r="G131">
        <f t="shared" si="15"/>
        <v>0</v>
      </c>
      <c r="H131" t="str">
        <f t="shared" si="16"/>
        <v>PENDENTE</v>
      </c>
      <c r="I131">
        <v>3</v>
      </c>
      <c r="J131" s="274">
        <v>3</v>
      </c>
      <c r="K131">
        <f t="shared" si="17"/>
        <v>6</v>
      </c>
      <c r="L131" t="s">
        <v>401</v>
      </c>
      <c r="M131" t="s">
        <v>1718</v>
      </c>
      <c r="N131">
        <v>4</v>
      </c>
      <c r="O131">
        <f t="shared" si="18"/>
        <v>12</v>
      </c>
      <c r="P131">
        <f t="shared" si="19"/>
        <v>24</v>
      </c>
    </row>
    <row r="132" spans="1:17" hidden="1" x14ac:dyDescent="0.25">
      <c r="A132">
        <v>19</v>
      </c>
      <c r="B132" t="s">
        <v>1736</v>
      </c>
      <c r="C132" t="s">
        <v>248</v>
      </c>
      <c r="D132" t="s">
        <v>1726</v>
      </c>
      <c r="E132" t="s">
        <v>1901</v>
      </c>
      <c r="F132" s="274" t="s">
        <v>76</v>
      </c>
      <c r="G132">
        <f t="shared" si="15"/>
        <v>0</v>
      </c>
      <c r="H132" t="str">
        <f t="shared" si="16"/>
        <v>PENDENTE</v>
      </c>
      <c r="I132">
        <v>3</v>
      </c>
      <c r="J132" s="274">
        <v>3</v>
      </c>
      <c r="K132">
        <f t="shared" si="17"/>
        <v>6</v>
      </c>
      <c r="L132" t="s">
        <v>397</v>
      </c>
      <c r="M132" t="s">
        <v>1727</v>
      </c>
      <c r="N132">
        <v>4</v>
      </c>
      <c r="O132">
        <f t="shared" si="18"/>
        <v>12</v>
      </c>
      <c r="P132">
        <f t="shared" si="19"/>
        <v>24</v>
      </c>
    </row>
    <row r="133" spans="1:17" hidden="1" x14ac:dyDescent="0.25">
      <c r="A133">
        <v>19</v>
      </c>
      <c r="B133" t="s">
        <v>1737</v>
      </c>
      <c r="C133" t="s">
        <v>247</v>
      </c>
      <c r="D133" t="s">
        <v>1716</v>
      </c>
      <c r="E133" t="s">
        <v>1902</v>
      </c>
      <c r="F133" s="274" t="s">
        <v>76</v>
      </c>
      <c r="G133">
        <f t="shared" ref="G133:G134" si="20">IF(F133="SIM",1,0)</f>
        <v>0</v>
      </c>
      <c r="H133" t="str">
        <f t="shared" si="16"/>
        <v>PENDENTE</v>
      </c>
      <c r="I133">
        <v>3</v>
      </c>
      <c r="J133" s="274">
        <v>3</v>
      </c>
      <c r="K133">
        <f t="shared" ref="K133:K134" si="21">I133+J133</f>
        <v>6</v>
      </c>
      <c r="L133" t="s">
        <v>399</v>
      </c>
      <c r="M133" t="s">
        <v>1724</v>
      </c>
      <c r="N133">
        <v>4</v>
      </c>
      <c r="O133">
        <f t="shared" ref="O133:O134" si="22">I133*N133</f>
        <v>12</v>
      </c>
      <c r="P133">
        <f t="shared" si="19"/>
        <v>24</v>
      </c>
    </row>
    <row r="134" spans="1:17" hidden="1" x14ac:dyDescent="0.25">
      <c r="A134" s="240">
        <v>19</v>
      </c>
      <c r="B134" s="240" t="s">
        <v>1738</v>
      </c>
      <c r="C134" s="240" t="s">
        <v>238</v>
      </c>
      <c r="D134" s="240" t="s">
        <v>1716</v>
      </c>
      <c r="E134" s="240" t="s">
        <v>1903</v>
      </c>
      <c r="F134" s="275" t="s">
        <v>76</v>
      </c>
      <c r="G134" s="240">
        <f t="shared" si="20"/>
        <v>0</v>
      </c>
      <c r="H134" s="240" t="str">
        <f t="shared" si="16"/>
        <v>PENDENTE</v>
      </c>
      <c r="I134" s="240">
        <v>3</v>
      </c>
      <c r="J134" s="275">
        <v>3</v>
      </c>
      <c r="K134" s="240">
        <f t="shared" si="21"/>
        <v>6</v>
      </c>
      <c r="L134" s="240" t="s">
        <v>401</v>
      </c>
      <c r="M134" s="240" t="s">
        <v>1718</v>
      </c>
      <c r="N134" s="240">
        <v>4</v>
      </c>
      <c r="O134" s="240">
        <f t="shared" si="22"/>
        <v>12</v>
      </c>
      <c r="P134" s="240">
        <f t="shared" si="19"/>
        <v>24</v>
      </c>
      <c r="Q134" s="240"/>
    </row>
  </sheetData>
  <autoFilter ref="A4:Q134" xr:uid="{00000000-0001-0000-1400-000000000000}">
    <filterColumn colId="0">
      <filters>
        <filter val="14"/>
        <filter val="15"/>
        <filter val="16"/>
      </filters>
    </filterColumn>
  </autoFilter>
  <mergeCells count="2">
    <mergeCell ref="A1:J1"/>
    <mergeCell ref="A2:J2"/>
  </mergeCells>
  <conditionalFormatting sqref="G5:I114">
    <cfRule type="expression" dxfId="10" priority="1">
      <formula>G5="SIM"</formula>
    </cfRule>
  </conditionalFormatting>
  <conditionalFormatting sqref="P5:P134">
    <cfRule type="expression" dxfId="9" priority="2">
      <formula>P5="VIGA + JOIST CONCLUÍDAS"</formula>
    </cfRule>
    <cfRule type="expression" dxfId="8" priority="3">
      <formula>P5="VIGA PENDENTE"</formula>
    </cfRule>
  </conditionalFormatting>
  <dataValidations disablePrompts="1" count="1">
    <dataValidation type="list" sqref="G5:G114 J5:J134 F5:F134" xr:uid="{00000000-0002-0000-1400-000000000000}">
      <formula1>"NÃO,SIM"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38"/>
  <dimension ref="A1:L30"/>
  <sheetViews>
    <sheetView topLeftCell="F1" workbookViewId="0">
      <selection activeCell="J10" sqref="J10"/>
    </sheetView>
  </sheetViews>
  <sheetFormatPr defaultRowHeight="15" x14ac:dyDescent="0.25"/>
  <cols>
    <col min="1" max="1" width="16" customWidth="1"/>
    <col min="2" max="2" width="32" customWidth="1"/>
    <col min="3" max="3" width="27" customWidth="1"/>
    <col min="4" max="4" width="20" customWidth="1"/>
    <col min="5" max="5" width="22" customWidth="1"/>
    <col min="6" max="6" width="17" customWidth="1"/>
    <col min="7" max="7" width="19" customWidth="1"/>
    <col min="8" max="8" width="20" customWidth="1"/>
    <col min="9" max="9" width="16" customWidth="1"/>
    <col min="10" max="10" width="19" customWidth="1"/>
    <col min="11" max="11" width="32" customWidth="1"/>
    <col min="12" max="12" width="22" customWidth="1"/>
  </cols>
  <sheetData>
    <row r="1" spans="1:12" ht="18.75" x14ac:dyDescent="0.25">
      <c r="A1" s="386" t="s">
        <v>2005</v>
      </c>
      <c r="B1" s="386"/>
      <c r="C1" s="386"/>
      <c r="D1" s="386"/>
      <c r="E1" s="386"/>
      <c r="F1" s="386"/>
      <c r="G1" s="386"/>
      <c r="H1" s="386"/>
      <c r="I1" s="277"/>
      <c r="J1" s="277"/>
      <c r="K1" s="269"/>
      <c r="L1" s="269"/>
    </row>
    <row r="2" spans="1:12" x14ac:dyDescent="0.25">
      <c r="A2" s="460" t="s">
        <v>2006</v>
      </c>
      <c r="B2" s="460"/>
      <c r="C2" s="460"/>
      <c r="D2" s="460"/>
      <c r="E2" s="460"/>
      <c r="F2" s="460"/>
      <c r="G2" s="460"/>
      <c r="H2" s="460"/>
      <c r="I2" s="278"/>
      <c r="J2" s="278"/>
      <c r="K2" s="270"/>
      <c r="L2" s="270"/>
    </row>
    <row r="4" spans="1:12" ht="27" x14ac:dyDescent="0.25">
      <c r="A4" s="279" t="s">
        <v>510</v>
      </c>
      <c r="B4" s="279" t="s">
        <v>511</v>
      </c>
      <c r="C4" s="279" t="s">
        <v>2007</v>
      </c>
      <c r="D4" s="279" t="s">
        <v>2008</v>
      </c>
      <c r="E4" s="279" t="s">
        <v>2009</v>
      </c>
      <c r="F4" s="279" t="s">
        <v>542</v>
      </c>
      <c r="G4" s="279" t="s">
        <v>2010</v>
      </c>
      <c r="H4" s="279" t="s">
        <v>2011</v>
      </c>
      <c r="I4" s="279" t="s">
        <v>2012</v>
      </c>
      <c r="J4" s="279" t="s">
        <v>16</v>
      </c>
      <c r="K4" s="272" t="s">
        <v>1742</v>
      </c>
      <c r="L4" s="272" t="s">
        <v>2013</v>
      </c>
    </row>
    <row r="5" spans="1:12" x14ac:dyDescent="0.25">
      <c r="A5" t="s">
        <v>425</v>
      </c>
      <c r="B5" t="s">
        <v>1749</v>
      </c>
      <c r="C5" t="s">
        <v>2014</v>
      </c>
      <c r="D5">
        <f>COUNTIFS(Montagem_Vigas!$D:$D,"APOIO",Montagem_Vigas!$F:$F,"SIM")*4</f>
        <v>204</v>
      </c>
      <c r="E5">
        <v>0</v>
      </c>
      <c r="F5">
        <f t="shared" ref="F5:F14" si="0">D5+E5</f>
        <v>204</v>
      </c>
      <c r="G5">
        <f>IFERROR(INDEX(Controle_Materiais!$P:$P,MATCH(A5,Controle_Materiais!$A:$A,0)),0)</f>
        <v>710</v>
      </c>
      <c r="H5">
        <f t="shared" ref="H5:H14" si="1">G5-F5</f>
        <v>506</v>
      </c>
      <c r="I5" s="242">
        <f t="shared" ref="I5:I14" si="2">IF(G5=0,IF(F5=0,0,1),F5/G5)</f>
        <v>0.28732394366197184</v>
      </c>
      <c r="J5" t="str">
        <f t="shared" ref="J5:J14" si="3">IF(H5&lt;0,"CRÍTICO - FALTA",IF(H5=0,"ZERADO","OK"))</f>
        <v>OK</v>
      </c>
      <c r="K5" t="s">
        <v>2015</v>
      </c>
      <c r="L5" t="s">
        <v>2016</v>
      </c>
    </row>
    <row r="6" spans="1:12" x14ac:dyDescent="0.25">
      <c r="A6" t="s">
        <v>369</v>
      </c>
      <c r="B6" t="s">
        <v>1752</v>
      </c>
      <c r="C6" t="s">
        <v>2014</v>
      </c>
      <c r="D6">
        <f>COUNTIFS(Montagem_Vigas!$D:$D,"APOIO",Montagem_Vigas!$F:$F,"SIM")*4</f>
        <v>204</v>
      </c>
      <c r="E6">
        <v>0</v>
      </c>
      <c r="F6">
        <f t="shared" si="0"/>
        <v>204</v>
      </c>
      <c r="G6">
        <f>IFERROR(INDEX(Controle_Materiais!$P:$P,MATCH(A6,Controle_Materiais!$A:$A,0)),0)</f>
        <v>308</v>
      </c>
      <c r="H6">
        <f t="shared" si="1"/>
        <v>104</v>
      </c>
      <c r="I6" s="242">
        <f t="shared" si="2"/>
        <v>0.66233766233766234</v>
      </c>
      <c r="J6" t="str">
        <f t="shared" si="3"/>
        <v>OK</v>
      </c>
      <c r="K6" t="s">
        <v>2015</v>
      </c>
      <c r="L6" t="s">
        <v>2016</v>
      </c>
    </row>
    <row r="7" spans="1:12" x14ac:dyDescent="0.25">
      <c r="A7" t="s">
        <v>417</v>
      </c>
      <c r="B7" t="s">
        <v>2017</v>
      </c>
      <c r="C7" t="s">
        <v>2018</v>
      </c>
      <c r="D7">
        <f>COUNTIFS(Montagem_Vigas!$D:$D,"INTERMEDIARIA",Montagem_Vigas!$F:$F,"SIM")*4</f>
        <v>136</v>
      </c>
      <c r="E7">
        <v>0</v>
      </c>
      <c r="F7">
        <f t="shared" si="0"/>
        <v>136</v>
      </c>
      <c r="G7">
        <f>IFERROR(INDEX(Controle_Materiais!$P:$P,MATCH(A7,Controle_Materiais!$A:$A,0)),0)</f>
        <v>1165</v>
      </c>
      <c r="H7">
        <f t="shared" si="1"/>
        <v>1029</v>
      </c>
      <c r="I7" s="242">
        <f t="shared" si="2"/>
        <v>0.11673819742489271</v>
      </c>
      <c r="J7" t="str">
        <f t="shared" si="3"/>
        <v>OK</v>
      </c>
      <c r="K7" t="s">
        <v>2019</v>
      </c>
      <c r="L7" t="s">
        <v>2016</v>
      </c>
    </row>
    <row r="8" spans="1:12" x14ac:dyDescent="0.25">
      <c r="A8" t="s">
        <v>434</v>
      </c>
      <c r="B8" t="s">
        <v>2020</v>
      </c>
      <c r="C8" t="s">
        <v>2018</v>
      </c>
      <c r="D8">
        <f>COUNTIFS(Montagem_Vigas!$D:$D,"INTERMEDIARIA",Montagem_Vigas!$F:$F,"SIM")*4</f>
        <v>136</v>
      </c>
      <c r="E8">
        <v>0</v>
      </c>
      <c r="F8">
        <f t="shared" si="0"/>
        <v>136</v>
      </c>
      <c r="G8">
        <f>IFERROR(INDEX(Controle_Materiais!$P:$P,MATCH(A8,Controle_Materiais!$A:$A,0)),0)</f>
        <v>1099</v>
      </c>
      <c r="H8">
        <f t="shared" si="1"/>
        <v>963</v>
      </c>
      <c r="I8" s="242">
        <f t="shared" si="2"/>
        <v>0.12374886260236578</v>
      </c>
      <c r="J8" t="str">
        <f t="shared" si="3"/>
        <v>OK</v>
      </c>
      <c r="K8" t="s">
        <v>2019</v>
      </c>
      <c r="L8" t="s">
        <v>2021</v>
      </c>
    </row>
    <row r="9" spans="1:12" x14ac:dyDescent="0.25">
      <c r="A9" t="s">
        <v>380</v>
      </c>
      <c r="B9" t="s">
        <v>379</v>
      </c>
      <c r="C9" t="s">
        <v>2018</v>
      </c>
      <c r="D9">
        <f>COUNTIFS(Montagem_Vigas!$D:$D,"INTERMEDIARIA",Montagem_Vigas!$F:$F,"SIM")*4</f>
        <v>136</v>
      </c>
      <c r="E9">
        <v>0</v>
      </c>
      <c r="F9">
        <f t="shared" si="0"/>
        <v>136</v>
      </c>
      <c r="G9">
        <f>IFERROR(INDEX(Controle_Materiais!$P:$P,MATCH(A9,Controle_Materiais!$A:$A,0)),0)</f>
        <v>1185</v>
      </c>
      <c r="H9">
        <f t="shared" si="1"/>
        <v>1049</v>
      </c>
      <c r="I9" s="242">
        <f t="shared" si="2"/>
        <v>0.11476793248945148</v>
      </c>
      <c r="J9" t="str">
        <f t="shared" si="3"/>
        <v>OK</v>
      </c>
      <c r="K9" t="s">
        <v>2019</v>
      </c>
      <c r="L9" t="s">
        <v>2021</v>
      </c>
    </row>
    <row r="10" spans="1:12" x14ac:dyDescent="0.25">
      <c r="A10" s="298" t="s">
        <v>394</v>
      </c>
      <c r="B10" s="298" t="s">
        <v>393</v>
      </c>
      <c r="C10" s="240" t="s">
        <v>2022</v>
      </c>
      <c r="D10" s="240">
        <v>0</v>
      </c>
      <c r="E10" s="240">
        <f>SUM(Apontamento_Quadrantes!$AA$5:$AA$67)</f>
        <v>579</v>
      </c>
      <c r="F10" s="240">
        <f t="shared" si="0"/>
        <v>579</v>
      </c>
      <c r="G10" s="240">
        <f>IFERROR(INDEX(Controle_Materiais!$P:$P,MATCH(A10,Controle_Materiais!$A:$A,0)),0)</f>
        <v>0</v>
      </c>
      <c r="H10" s="240">
        <f t="shared" si="1"/>
        <v>-579</v>
      </c>
      <c r="I10" s="242">
        <f t="shared" si="2"/>
        <v>1</v>
      </c>
      <c r="J10" t="str">
        <f t="shared" si="3"/>
        <v>CRÍTICO - FALTA</v>
      </c>
      <c r="K10" t="s">
        <v>2023</v>
      </c>
      <c r="L10" t="s">
        <v>2024</v>
      </c>
    </row>
    <row r="11" spans="1:12" x14ac:dyDescent="0.25">
      <c r="A11" t="s">
        <v>399</v>
      </c>
      <c r="B11" t="s">
        <v>398</v>
      </c>
      <c r="C11" t="s">
        <v>2025</v>
      </c>
      <c r="D11">
        <v>0</v>
      </c>
      <c r="E11">
        <f>SUM(Apontamento_Quadrantes!$AB$5:$AB$67)</f>
        <v>152</v>
      </c>
      <c r="F11">
        <f t="shared" si="0"/>
        <v>152</v>
      </c>
      <c r="G11">
        <f>IFERROR(INDEX(Controle_Materiais!$P:$P,MATCH(A11,Controle_Materiais!$A:$A,0)),0)</f>
        <v>548</v>
      </c>
      <c r="H11">
        <f t="shared" si="1"/>
        <v>396</v>
      </c>
      <c r="I11" s="242">
        <f t="shared" si="2"/>
        <v>0.27737226277372262</v>
      </c>
      <c r="J11" t="str">
        <f t="shared" si="3"/>
        <v>OK</v>
      </c>
      <c r="K11" t="s">
        <v>2023</v>
      </c>
      <c r="L11" t="s">
        <v>2024</v>
      </c>
    </row>
    <row r="12" spans="1:12" x14ac:dyDescent="0.25">
      <c r="A12" s="240" t="s">
        <v>401</v>
      </c>
      <c r="B12" s="240" t="s">
        <v>400</v>
      </c>
      <c r="C12" s="240" t="s">
        <v>2026</v>
      </c>
      <c r="D12" s="240">
        <v>0</v>
      </c>
      <c r="E12" s="240">
        <f>SUM(Apontamento_Quadrantes!$AC$5:$AC$67)</f>
        <v>336</v>
      </c>
      <c r="F12" s="240">
        <f t="shared" si="0"/>
        <v>336</v>
      </c>
      <c r="G12" s="240">
        <f>IFERROR(INDEX(Controle_Materiais!$P:$P,MATCH(A12,Controle_Materiais!$A:$A,0)),0)</f>
        <v>3274</v>
      </c>
      <c r="H12" s="240">
        <f t="shared" si="1"/>
        <v>2938</v>
      </c>
      <c r="I12" s="246">
        <f t="shared" si="2"/>
        <v>0.10262675626145389</v>
      </c>
      <c r="J12" s="240" t="str">
        <f t="shared" si="3"/>
        <v>OK</v>
      </c>
      <c r="K12" t="s">
        <v>2023</v>
      </c>
      <c r="L12" t="s">
        <v>2024</v>
      </c>
    </row>
    <row r="13" spans="1:12" x14ac:dyDescent="0.25">
      <c r="A13" s="462" t="s">
        <v>427</v>
      </c>
      <c r="B13" s="462" t="s">
        <v>1744</v>
      </c>
      <c r="C13" s="462" t="s">
        <v>2027</v>
      </c>
      <c r="D13" s="462">
        <v>0</v>
      </c>
      <c r="E13">
        <f>SUM(Apontamento_Quadrantes!$AD$5:$AD$67)</f>
        <v>1067</v>
      </c>
      <c r="F13">
        <f t="shared" si="0"/>
        <v>1067</v>
      </c>
      <c r="G13">
        <f>IFERROR(INDEX(Controle_Materiais!$P:$P,MATCH(A13,Controle_Materiais!$A:$A,0)),0)</f>
        <v>2783</v>
      </c>
      <c r="H13">
        <f t="shared" si="1"/>
        <v>1716</v>
      </c>
      <c r="I13" s="242">
        <f t="shared" si="2"/>
        <v>0.38339920948616601</v>
      </c>
      <c r="J13" t="str">
        <f t="shared" si="3"/>
        <v>OK</v>
      </c>
    </row>
    <row r="14" spans="1:12" ht="17.25" x14ac:dyDescent="0.3">
      <c r="A14" s="280" t="s">
        <v>373</v>
      </c>
      <c r="B14" s="281" t="s">
        <v>1747</v>
      </c>
      <c r="C14" s="240" t="s">
        <v>2027</v>
      </c>
      <c r="D14" s="240">
        <v>0</v>
      </c>
      <c r="E14" s="240">
        <f>SUM(Apontamento_Quadrantes!$AE$5:$AE$67)</f>
        <v>1067</v>
      </c>
      <c r="F14" s="240">
        <f t="shared" si="0"/>
        <v>1067</v>
      </c>
      <c r="G14" s="240">
        <f>IFERROR(INDEX(Controle_Materiais!$P:$P,MATCH(A14,Controle_Materiais!$A:$A,0)),0)</f>
        <v>1733</v>
      </c>
      <c r="H14" s="240">
        <f t="shared" si="1"/>
        <v>666</v>
      </c>
      <c r="I14" s="246">
        <f t="shared" si="2"/>
        <v>0.61569532602423538</v>
      </c>
      <c r="J14" s="240" t="str">
        <f t="shared" si="3"/>
        <v>OK</v>
      </c>
    </row>
    <row r="15" spans="1:12" ht="17.25" x14ac:dyDescent="0.25">
      <c r="A15" s="465"/>
      <c r="B15" s="467"/>
      <c r="C15" s="465"/>
      <c r="D15" s="465"/>
      <c r="E15" s="465"/>
      <c r="F15" s="465"/>
      <c r="G15" s="465"/>
      <c r="H15" s="465"/>
      <c r="I15" s="465"/>
      <c r="J15" s="465"/>
      <c r="K15" s="273"/>
      <c r="L15" s="273"/>
    </row>
    <row r="16" spans="1:12" x14ac:dyDescent="0.25">
      <c r="A16" s="267"/>
      <c r="B16" s="267"/>
      <c r="C16" s="267"/>
      <c r="D16" s="267"/>
      <c r="E16" s="267"/>
      <c r="F16" s="267"/>
      <c r="G16" s="267"/>
      <c r="H16" s="267"/>
      <c r="I16" s="267"/>
      <c r="J16" s="267"/>
    </row>
    <row r="17" spans="1:12" x14ac:dyDescent="0.25">
      <c r="A17" s="464" t="s">
        <v>2028</v>
      </c>
      <c r="B17" s="464"/>
      <c r="C17" s="464"/>
      <c r="D17" s="464"/>
      <c r="E17" s="464"/>
      <c r="F17" s="464"/>
      <c r="G17" s="464"/>
      <c r="H17" s="464"/>
      <c r="I17" s="464"/>
      <c r="J17" s="464"/>
    </row>
    <row r="18" spans="1:12" ht="17.25" x14ac:dyDescent="0.3">
      <c r="A18" s="266"/>
      <c r="B18" s="262"/>
    </row>
    <row r="19" spans="1:12" x14ac:dyDescent="0.25">
      <c r="A19" s="282" t="s">
        <v>2029</v>
      </c>
      <c r="B19" s="282" t="s">
        <v>1742</v>
      </c>
      <c r="C19" s="282" t="s">
        <v>570</v>
      </c>
      <c r="D19" s="282" t="s">
        <v>2030</v>
      </c>
      <c r="E19" s="282" t="s">
        <v>16</v>
      </c>
      <c r="F19" s="282" t="s">
        <v>53</v>
      </c>
    </row>
    <row r="20" spans="1:12" x14ac:dyDescent="0.25">
      <c r="A20" t="s">
        <v>2031</v>
      </c>
      <c r="B20" t="s">
        <v>2032</v>
      </c>
      <c r="C20">
        <v>3</v>
      </c>
      <c r="D20" t="s">
        <v>2033</v>
      </c>
      <c r="E20" t="s">
        <v>21</v>
      </c>
      <c r="F20" t="s">
        <v>2034</v>
      </c>
    </row>
    <row r="21" spans="1:12" x14ac:dyDescent="0.25">
      <c r="A21" s="240" t="s">
        <v>2035</v>
      </c>
      <c r="B21" s="240" t="s">
        <v>2036</v>
      </c>
      <c r="C21" s="240">
        <v>4</v>
      </c>
      <c r="D21" s="240" t="s">
        <v>601</v>
      </c>
      <c r="E21" s="240" t="s">
        <v>21</v>
      </c>
      <c r="F21" s="240" t="s">
        <v>2037</v>
      </c>
      <c r="G21" s="240"/>
      <c r="H21" s="240"/>
      <c r="I21" s="240"/>
      <c r="J21" s="240"/>
    </row>
    <row r="22" spans="1:12" x14ac:dyDescent="0.25">
      <c r="A22" t="s">
        <v>2038</v>
      </c>
      <c r="B22" t="s">
        <v>2036</v>
      </c>
      <c r="C22">
        <v>4</v>
      </c>
      <c r="D22" t="s">
        <v>601</v>
      </c>
      <c r="E22" t="s">
        <v>21</v>
      </c>
      <c r="F22" t="s">
        <v>2039</v>
      </c>
    </row>
    <row r="23" spans="1:12" x14ac:dyDescent="0.25">
      <c r="A23" t="s">
        <v>2040</v>
      </c>
      <c r="B23" t="s">
        <v>2041</v>
      </c>
      <c r="C23">
        <v>8</v>
      </c>
      <c r="D23" t="s">
        <v>601</v>
      </c>
      <c r="E23" t="s">
        <v>21</v>
      </c>
      <c r="F23" t="s">
        <v>2042</v>
      </c>
    </row>
    <row r="24" spans="1:12" x14ac:dyDescent="0.25">
      <c r="A24" s="468" t="s">
        <v>2043</v>
      </c>
      <c r="B24" s="468" t="s">
        <v>2044</v>
      </c>
      <c r="C24" s="468">
        <v>8</v>
      </c>
      <c r="D24" s="468" t="s">
        <v>2045</v>
      </c>
      <c r="E24" s="240" t="s">
        <v>21</v>
      </c>
      <c r="F24" s="240" t="s">
        <v>2046</v>
      </c>
    </row>
    <row r="27" spans="1:12" x14ac:dyDescent="0.25">
      <c r="A27" s="465"/>
      <c r="B27" s="465"/>
      <c r="C27" s="465"/>
      <c r="D27" s="465"/>
      <c r="E27" s="465"/>
      <c r="F27" s="465"/>
      <c r="G27" s="465"/>
      <c r="H27" s="465"/>
      <c r="I27" s="465"/>
      <c r="J27" s="465"/>
      <c r="K27" s="465"/>
      <c r="L27" s="465"/>
    </row>
    <row r="29" spans="1:12" x14ac:dyDescent="0.25">
      <c r="A29" s="272"/>
      <c r="B29" s="272"/>
      <c r="C29" s="272"/>
      <c r="D29" s="272"/>
      <c r="E29" s="272"/>
      <c r="F29" s="272"/>
    </row>
    <row r="30" spans="1:12" x14ac:dyDescent="0.25">
      <c r="A30" s="240"/>
      <c r="B30" s="240"/>
    </row>
  </sheetData>
  <mergeCells count="7">
    <mergeCell ref="A27:L27"/>
    <mergeCell ref="A17:J17"/>
    <mergeCell ref="A1:H1"/>
    <mergeCell ref="A2:H2"/>
    <mergeCell ref="A13:D13"/>
    <mergeCell ref="A15:J15"/>
    <mergeCell ref="A24:D24"/>
  </mergeCells>
  <conditionalFormatting sqref="G5:G10">
    <cfRule type="expression" dxfId="7" priority="1">
      <formula>LEFT(G5,7)="CRÍTICO"</formula>
    </cfRule>
    <cfRule type="expression" dxfId="6" priority="2">
      <formula>G5="OK"</formula>
    </cfRule>
  </conditionalFormatting>
  <conditionalFormatting sqref="I5:I12">
    <cfRule type="expression" dxfId="5" priority="3">
      <formula>LEFT(I5,7)="CRÍTICO"</formula>
    </cfRule>
    <cfRule type="expression" dxfId="4" priority="4">
      <formula>I5="OK"</formula>
    </cfRule>
  </conditionalFormatting>
  <conditionalFormatting sqref="J5:J12">
    <cfRule type="expression" dxfId="3" priority="5">
      <formula>LEFT(J5,7)="CRÍTICO"</formula>
    </cfRule>
    <cfRule type="expression" dxfId="2" priority="6">
      <formula>J5="OK"</formula>
    </cfRule>
  </conditionalFormatting>
  <conditionalFormatting sqref="J5:J14">
    <cfRule type="expression" dxfId="1" priority="7">
      <formula>LEFT(J5,7)="CRÍTICO"</formula>
    </cfRule>
    <cfRule type="expression" dxfId="0" priority="8">
      <formula>J5="OK"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AE27-0A73-4AF6-B16B-B4074BB652C5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820E-85AA-4C53-BDA4-CB1CAD9B4BC5}">
  <dimension ref="A1:A59"/>
  <sheetViews>
    <sheetView topLeftCell="A57" workbookViewId="0"/>
  </sheetViews>
  <sheetFormatPr defaultRowHeight="15" x14ac:dyDescent="0.25"/>
  <cols>
    <col min="1" max="1" width="100.7109375" customWidth="1"/>
  </cols>
  <sheetData>
    <row r="1" spans="1:1" ht="18.75" x14ac:dyDescent="0.3">
      <c r="A1" s="338" t="s">
        <v>2188</v>
      </c>
    </row>
    <row r="2" spans="1:1" x14ac:dyDescent="0.25">
      <c r="A2" t="s">
        <v>2189</v>
      </c>
    </row>
    <row r="3" spans="1:1" x14ac:dyDescent="0.25">
      <c r="A3" t="s">
        <v>2190</v>
      </c>
    </row>
    <row r="4" spans="1:1" x14ac:dyDescent="0.25">
      <c r="A4" t="s">
        <v>2191</v>
      </c>
    </row>
    <row r="5" spans="1:1" x14ac:dyDescent="0.25">
      <c r="A5" t="s">
        <v>2192</v>
      </c>
    </row>
    <row r="6" spans="1:1" x14ac:dyDescent="0.25">
      <c r="A6" t="s">
        <v>2193</v>
      </c>
    </row>
    <row r="8" spans="1:1" x14ac:dyDescent="0.25">
      <c r="A8" s="337" t="s">
        <v>2194</v>
      </c>
    </row>
    <row r="9" spans="1:1" x14ac:dyDescent="0.25">
      <c r="A9" t="s">
        <v>2195</v>
      </c>
    </row>
    <row r="10" spans="1:1" x14ac:dyDescent="0.25">
      <c r="A10" t="s">
        <v>2196</v>
      </c>
    </row>
    <row r="11" spans="1:1" x14ac:dyDescent="0.25">
      <c r="A11" t="s">
        <v>2197</v>
      </c>
    </row>
    <row r="12" spans="1:1" x14ac:dyDescent="0.25">
      <c r="A12" t="s">
        <v>2198</v>
      </c>
    </row>
    <row r="13" spans="1:1" x14ac:dyDescent="0.25">
      <c r="A13" t="s">
        <v>2199</v>
      </c>
    </row>
    <row r="14" spans="1:1" x14ac:dyDescent="0.25">
      <c r="A14" t="s">
        <v>2200</v>
      </c>
    </row>
    <row r="15" spans="1:1" x14ac:dyDescent="0.25">
      <c r="A15" t="s">
        <v>2201</v>
      </c>
    </row>
    <row r="16" spans="1:1" x14ac:dyDescent="0.25">
      <c r="A16" t="s">
        <v>2202</v>
      </c>
    </row>
    <row r="17" spans="1:1" x14ac:dyDescent="0.25">
      <c r="A17" t="s">
        <v>2203</v>
      </c>
    </row>
    <row r="18" spans="1:1" x14ac:dyDescent="0.25">
      <c r="A18" t="s">
        <v>2204</v>
      </c>
    </row>
    <row r="19" spans="1:1" x14ac:dyDescent="0.25">
      <c r="A19" t="s">
        <v>2205</v>
      </c>
    </row>
    <row r="20" spans="1:1" x14ac:dyDescent="0.25">
      <c r="A20" t="s">
        <v>2206</v>
      </c>
    </row>
    <row r="21" spans="1:1" x14ac:dyDescent="0.25">
      <c r="A21" t="s">
        <v>2207</v>
      </c>
    </row>
    <row r="22" spans="1:1" x14ac:dyDescent="0.25">
      <c r="A22" t="s">
        <v>2208</v>
      </c>
    </row>
    <row r="23" spans="1:1" x14ac:dyDescent="0.25">
      <c r="A23" t="s">
        <v>2209</v>
      </c>
    </row>
    <row r="24" spans="1:1" x14ac:dyDescent="0.25">
      <c r="A24" t="s">
        <v>2210</v>
      </c>
    </row>
    <row r="25" spans="1:1" x14ac:dyDescent="0.25">
      <c r="A25" t="s">
        <v>2211</v>
      </c>
    </row>
    <row r="26" spans="1:1" x14ac:dyDescent="0.25">
      <c r="A26" t="s">
        <v>2212</v>
      </c>
    </row>
    <row r="27" spans="1:1" x14ac:dyDescent="0.25">
      <c r="A27" t="s">
        <v>2213</v>
      </c>
    </row>
    <row r="28" spans="1:1" x14ac:dyDescent="0.25">
      <c r="A28" t="s">
        <v>2214</v>
      </c>
    </row>
    <row r="29" spans="1:1" x14ac:dyDescent="0.25">
      <c r="A29" t="s">
        <v>2215</v>
      </c>
    </row>
    <row r="30" spans="1:1" x14ac:dyDescent="0.25">
      <c r="A30" t="s">
        <v>2216</v>
      </c>
    </row>
    <row r="31" spans="1:1" x14ac:dyDescent="0.25">
      <c r="A31" t="s">
        <v>2217</v>
      </c>
    </row>
    <row r="32" spans="1:1" x14ac:dyDescent="0.25">
      <c r="A32" t="s">
        <v>2218</v>
      </c>
    </row>
    <row r="33" spans="1:1" x14ac:dyDescent="0.25">
      <c r="A33" t="s">
        <v>2219</v>
      </c>
    </row>
    <row r="34" spans="1:1" x14ac:dyDescent="0.25">
      <c r="A34" t="s">
        <v>2220</v>
      </c>
    </row>
    <row r="35" spans="1:1" x14ac:dyDescent="0.25">
      <c r="A35" t="s">
        <v>2221</v>
      </c>
    </row>
    <row r="36" spans="1:1" x14ac:dyDescent="0.25">
      <c r="A36" t="s">
        <v>2222</v>
      </c>
    </row>
    <row r="37" spans="1:1" x14ac:dyDescent="0.25">
      <c r="A37" t="s">
        <v>2223</v>
      </c>
    </row>
    <row r="38" spans="1:1" x14ac:dyDescent="0.25">
      <c r="A38" t="s">
        <v>2224</v>
      </c>
    </row>
    <row r="39" spans="1:1" x14ac:dyDescent="0.25">
      <c r="A39" t="s">
        <v>2225</v>
      </c>
    </row>
    <row r="40" spans="1:1" x14ac:dyDescent="0.25">
      <c r="A40" t="s">
        <v>2226</v>
      </c>
    </row>
    <row r="41" spans="1:1" x14ac:dyDescent="0.25">
      <c r="A41" t="s">
        <v>2227</v>
      </c>
    </row>
    <row r="42" spans="1:1" x14ac:dyDescent="0.25">
      <c r="A42" t="s">
        <v>2228</v>
      </c>
    </row>
    <row r="43" spans="1:1" x14ac:dyDescent="0.25">
      <c r="A43" t="s">
        <v>2229</v>
      </c>
    </row>
    <row r="44" spans="1:1" x14ac:dyDescent="0.25">
      <c r="A44" t="s">
        <v>1523</v>
      </c>
    </row>
    <row r="46" spans="1:1" x14ac:dyDescent="0.25">
      <c r="A46" t="s">
        <v>2230</v>
      </c>
    </row>
    <row r="47" spans="1:1" x14ac:dyDescent="0.25">
      <c r="A47" t="s">
        <v>2231</v>
      </c>
    </row>
    <row r="48" spans="1:1" x14ac:dyDescent="0.25">
      <c r="A48" t="s">
        <v>2232</v>
      </c>
    </row>
    <row r="49" spans="1:1" x14ac:dyDescent="0.25">
      <c r="A49" t="s">
        <v>2233</v>
      </c>
    </row>
    <row r="50" spans="1:1" x14ac:dyDescent="0.25">
      <c r="A50" t="s">
        <v>2234</v>
      </c>
    </row>
    <row r="51" spans="1:1" x14ac:dyDescent="0.25">
      <c r="A51" t="s">
        <v>2235</v>
      </c>
    </row>
    <row r="52" spans="1:1" x14ac:dyDescent="0.25">
      <c r="A52" t="s">
        <v>2236</v>
      </c>
    </row>
    <row r="53" spans="1:1" x14ac:dyDescent="0.25">
      <c r="A53" t="s">
        <v>2237</v>
      </c>
    </row>
    <row r="54" spans="1:1" x14ac:dyDescent="0.25">
      <c r="A54" t="s">
        <v>2238</v>
      </c>
    </row>
    <row r="55" spans="1:1" x14ac:dyDescent="0.25">
      <c r="A55" t="s">
        <v>2239</v>
      </c>
    </row>
    <row r="56" spans="1:1" x14ac:dyDescent="0.25">
      <c r="A56" t="s">
        <v>2226</v>
      </c>
    </row>
    <row r="57" spans="1:1" x14ac:dyDescent="0.25">
      <c r="A57" t="s">
        <v>2240</v>
      </c>
    </row>
    <row r="58" spans="1:1" x14ac:dyDescent="0.25">
      <c r="A58" t="s">
        <v>2241</v>
      </c>
    </row>
    <row r="59" spans="1:1" x14ac:dyDescent="0.25">
      <c r="A59" t="s">
        <v>1523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PONTE</vt:lpstr>
      <vt:lpstr>Dashboard_Final</vt:lpstr>
      <vt:lpstr>Fluxo_Baixa</vt:lpstr>
      <vt:lpstr>Apontamento_Quadrantes</vt:lpstr>
      <vt:lpstr>Apontamento_Montagem</vt:lpstr>
      <vt:lpstr>REMESSAS</vt:lpstr>
      <vt:lpstr>Controle_Materiais</vt:lpstr>
      <vt:lpstr>CONSUMO FISICO</vt:lpstr>
      <vt:lpstr>INVENTARIO</vt:lpstr>
      <vt:lpstr>KPI INVENTARIO</vt:lpstr>
      <vt:lpstr>Fixadores</vt:lpstr>
      <vt:lpstr>Consumo_Joists</vt:lpstr>
      <vt:lpstr>Parametros</vt:lpstr>
      <vt:lpstr>BASE MATERIAL</vt:lpstr>
      <vt:lpstr>Dashboard</vt:lpstr>
      <vt:lpstr>lista geral fixadores, planejad</vt:lpstr>
      <vt:lpstr>INVENTÁRIO</vt:lpstr>
      <vt:lpstr>Gestao_Obra</vt:lpstr>
      <vt:lpstr>Mapa_Ruas_Estrutural</vt:lpstr>
      <vt:lpstr>Mapa_Tercas_DM002</vt:lpstr>
      <vt:lpstr>LOG_AJUSTES</vt:lpstr>
      <vt:lpstr>VBA_Processamento</vt:lpstr>
      <vt:lpstr>Criterio_Quadrantes</vt:lpstr>
      <vt:lpstr>Montagem_Vigas</vt:lpstr>
      <vt:lpstr>Consumo_Quadrantes</vt:lpstr>
      <vt:lpstr>Planilha1</vt:lpstr>
      <vt:lpstr>VBA_IFC_Baixa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Maciel</dc:creator>
  <cp:lastModifiedBy>Felipe Paixao</cp:lastModifiedBy>
  <dcterms:created xsi:type="dcterms:W3CDTF">2026-08-18T19:09:50Z</dcterms:created>
  <dcterms:modified xsi:type="dcterms:W3CDTF">2026-09-29T13:35:56Z</dcterms:modified>
</cp:coreProperties>
</file>